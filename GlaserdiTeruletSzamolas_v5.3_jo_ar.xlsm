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ka.bocz\PycharmProjects\pythonProject\streamlit_app\"/>
    </mc:Choice>
  </mc:AlternateContent>
  <xr:revisionPtr revIDLastSave="0" documentId="13_ncr:1_{DBACBD55-48F7-43EC-9A60-F7987E3FB04D}" xr6:coauthVersionLast="47" xr6:coauthVersionMax="47" xr10:uidLastSave="{00000000-0000-0000-0000-000000000000}"/>
  <bookViews>
    <workbookView xWindow="28680" yWindow="-120" windowWidth="29040" windowHeight="15720" activeTab="11" xr2:uid="{00000000-000D-0000-FFFF-FFFF00000000}"/>
  </bookViews>
  <sheets>
    <sheet name="Cimke" sheetId="1" r:id="rId1"/>
    <sheet name="OlvassEl" sheetId="2" r:id="rId2"/>
    <sheet name="Teruletszamitas" sheetId="3" r:id="rId3"/>
    <sheet name="Arlista" sheetId="4" r:id="rId4"/>
    <sheet name="Nyomtatas" sheetId="5" r:id="rId5"/>
    <sheet name="TSzTeljes" sheetId="6" state="hidden" r:id="rId6"/>
    <sheet name="MegrendelesSzam" sheetId="7" state="hidden" r:id="rId7"/>
    <sheet name="Keszlet" sheetId="8" r:id="rId8"/>
    <sheet name="keszlet 0-II" sheetId="9" state="hidden" r:id="rId9"/>
    <sheet name="Kobezol" sheetId="10" state="hidden" r:id="rId10"/>
    <sheet name="Orban, Gergely" sheetId="11" state="hidden" r:id="rId11"/>
    <sheet name="TermekKod" sheetId="12" r:id="rId12"/>
    <sheet name="EgyediTermekKod" sheetId="13" r:id="rId13"/>
    <sheet name="Termositas" sheetId="14" r:id="rId14"/>
    <sheet name="Vastagsag" sheetId="15" state="hidden" r:id="rId15"/>
    <sheet name="EgyediTermekKodArhiv" sheetId="16" r:id="rId16"/>
    <sheet name="Adalekok" sheetId="17" r:id="rId17"/>
  </sheets>
  <definedNames>
    <definedName name="_xlnm._FilterDatabase" localSheetId="7" hidden="1">Keszlet!$A$1:$J$120</definedName>
    <definedName name="_xlnm._FilterDatabase" localSheetId="11" hidden="1">TermekKod!$A$1:$K$199</definedName>
    <definedName name="EgyediTermekKod_data">OFFSET(EgyediTermekKod!$A$1,0,0,EgyediTermekKod_lrow,EgyediTermekKod_lcol)</definedName>
    <definedName name="EgyediTermekKod_lcol">COUNTA(EgyediTermekKod!$1:$1)</definedName>
    <definedName name="EgyediTermekKod_list">OFFSET(EgyediTermekKod!$A$2,0,0,EgyediTermekKod_lrow-1,1)</definedName>
    <definedName name="EgyediTermekKod_lrow">COUNTA(EgyediTermekKod!$A:$A)</definedName>
    <definedName name="Keszlet_data">OFFSET(Keszlet!$A$1,0,0,Keszlet_lrow,Keszlet_lcol)</definedName>
    <definedName name="Keszlet_lcol">COUNTA(Keszlet!$1:$1)</definedName>
    <definedName name="Keszlet_list">OFFSET(Keszlet!$A$2,0,0,Keszlet_lrow-1,1)</definedName>
    <definedName name="Keszlet_lrow">COUNTA(Keszlet!$A:$A)</definedName>
    <definedName name="lcol">COUNTA(Teruletszamitas!$1:$1)</definedName>
    <definedName name="lrow">COUNTA(Teruletszamitas!$A:$A)</definedName>
    <definedName name="MegrendelSzam">MegrendelesSzam!$A$1</definedName>
    <definedName name="melegPerem">#REF!</definedName>
    <definedName name="myData">Teruletszamitas!$A$1:INDEX(Teruletszamitas!$1:$1048576,lrow,lcol)</definedName>
    <definedName name="TermekKod_data">OFFSET(TermekKod!$A$1,0,0,TermekKod_lrow,TermekKod_lcol)</definedName>
    <definedName name="TermekKod_lcol">COUNTA(TermekKod!$1:$1)</definedName>
    <definedName name="TermekKod_list">OFFSET(TermekKod!$A$2,0,0,TermekKod_lrow-1,1)</definedName>
    <definedName name="TermekKod_lrow">COUNTA(TermekKod!$A:$A)</definedName>
    <definedName name="Termositas_data">OFFSET(Termositas!$A$1,0,0,Termositas_lrow,Termositas_lcol)</definedName>
    <definedName name="Termositas_lcol">COUNTA(Termositas!$1:$1)</definedName>
    <definedName name="Termositas_list">OFFSET(Termositas!$A$2,0,0,Termositas_lrow-1,1)</definedName>
    <definedName name="Termositas_lrow">COUNTA(Termositas!$A:$A)</definedName>
    <definedName name="Vastagsag_data">OFFSET(Vastagsag!$A$1,0,0,Vastagsag_lrow,Vastagsag_lcol)</definedName>
    <definedName name="Vastagsag_lcol">COUNTA(Vastagsag!$1:$1)</definedName>
    <definedName name="Vastagsag_list">OFFSET(Vastagsag!$A$3,0,0,Vastagsag_lrow-1,1)</definedName>
    <definedName name="Vastagsag_lrow">COUNTA(Vastagsag!$A:$A)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CiklgCL6KzzL+9YmlemeFTSqauRhMxZzbfXLREUZ0r8="/>
    </ext>
  </extLst>
</workbook>
</file>

<file path=xl/calcChain.xml><?xml version="1.0" encoding="utf-8"?>
<calcChain xmlns="http://schemas.openxmlformats.org/spreadsheetml/2006/main">
  <c r="D78" i="16" l="1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143" i="11"/>
  <c r="B143" i="11"/>
  <c r="D142" i="11"/>
  <c r="B142" i="11"/>
  <c r="D141" i="11"/>
  <c r="B141" i="11"/>
  <c r="D140" i="11"/>
  <c r="B140" i="11"/>
  <c r="D139" i="11"/>
  <c r="B139" i="11"/>
  <c r="D138" i="11"/>
  <c r="B138" i="11"/>
  <c r="D137" i="11"/>
  <c r="B137" i="11"/>
  <c r="D136" i="11"/>
  <c r="B136" i="11"/>
  <c r="D135" i="11"/>
  <c r="B135" i="11"/>
  <c r="D134" i="11"/>
  <c r="B134" i="11"/>
  <c r="D133" i="11"/>
  <c r="B133" i="11"/>
  <c r="D132" i="11"/>
  <c r="B132" i="11"/>
  <c r="D131" i="11"/>
  <c r="B131" i="11"/>
  <c r="D130" i="11"/>
  <c r="B130" i="11"/>
  <c r="D129" i="11"/>
  <c r="B129" i="11"/>
  <c r="D128" i="11"/>
  <c r="B128" i="11"/>
  <c r="D127" i="11"/>
  <c r="B127" i="11"/>
  <c r="D126" i="11"/>
  <c r="B126" i="11"/>
  <c r="D125" i="11"/>
  <c r="B125" i="11"/>
  <c r="D124" i="11"/>
  <c r="B124" i="11"/>
  <c r="D123" i="11"/>
  <c r="B123" i="11"/>
  <c r="D122" i="11"/>
  <c r="B122" i="11"/>
  <c r="D121" i="11"/>
  <c r="B121" i="11"/>
  <c r="D120" i="11"/>
  <c r="B120" i="11"/>
  <c r="D119" i="11"/>
  <c r="B119" i="11"/>
  <c r="D118" i="11"/>
  <c r="B118" i="11"/>
  <c r="D117" i="11"/>
  <c r="B117" i="11"/>
  <c r="D116" i="11"/>
  <c r="B116" i="11"/>
  <c r="D115" i="11"/>
  <c r="B115" i="11"/>
  <c r="D114" i="11"/>
  <c r="B114" i="11"/>
  <c r="D113" i="11"/>
  <c r="B113" i="11"/>
  <c r="D112" i="11"/>
  <c r="B112" i="11"/>
  <c r="D111" i="11"/>
  <c r="B111" i="11"/>
  <c r="D110" i="11"/>
  <c r="B110" i="11"/>
  <c r="D109" i="11"/>
  <c r="B109" i="11"/>
  <c r="D108" i="11"/>
  <c r="B108" i="11"/>
  <c r="D107" i="11"/>
  <c r="B107" i="11"/>
  <c r="D106" i="11"/>
  <c r="B106" i="11"/>
  <c r="D105" i="11"/>
  <c r="B105" i="11"/>
  <c r="D104" i="11"/>
  <c r="B104" i="11"/>
  <c r="D103" i="11"/>
  <c r="B103" i="11"/>
  <c r="D102" i="11"/>
  <c r="B102" i="11"/>
  <c r="D101" i="11"/>
  <c r="B101" i="11"/>
  <c r="D100" i="11"/>
  <c r="B100" i="11"/>
  <c r="D99" i="11"/>
  <c r="B99" i="11"/>
  <c r="D98" i="11"/>
  <c r="B98" i="11"/>
  <c r="D97" i="11"/>
  <c r="B97" i="11"/>
  <c r="D96" i="11"/>
  <c r="B96" i="11"/>
  <c r="D95" i="11"/>
  <c r="B95" i="11"/>
  <c r="D94" i="11"/>
  <c r="B94" i="11"/>
  <c r="D93" i="11"/>
  <c r="B93" i="11"/>
  <c r="D92" i="11"/>
  <c r="B92" i="11"/>
  <c r="D91" i="11"/>
  <c r="B91" i="11"/>
  <c r="D90" i="11"/>
  <c r="B90" i="11"/>
  <c r="D89" i="11"/>
  <c r="B89" i="11"/>
  <c r="D88" i="11"/>
  <c r="B88" i="11"/>
  <c r="D87" i="11"/>
  <c r="B87" i="11"/>
  <c r="D86" i="11"/>
  <c r="B86" i="11"/>
  <c r="D85" i="11"/>
  <c r="B85" i="11"/>
  <c r="D84" i="11"/>
  <c r="B84" i="11"/>
  <c r="D83" i="11"/>
  <c r="B83" i="11"/>
  <c r="D82" i="11"/>
  <c r="B82" i="11"/>
  <c r="D81" i="11"/>
  <c r="B81" i="11"/>
  <c r="D80" i="11"/>
  <c r="B80" i="11"/>
  <c r="D79" i="11"/>
  <c r="B79" i="11"/>
  <c r="D78" i="11"/>
  <c r="B78" i="11"/>
  <c r="D77" i="11"/>
  <c r="B77" i="11"/>
  <c r="D76" i="11"/>
  <c r="B76" i="11"/>
  <c r="D75" i="11"/>
  <c r="B75" i="11"/>
  <c r="D74" i="11"/>
  <c r="B74" i="11"/>
  <c r="D73" i="11"/>
  <c r="B73" i="11"/>
  <c r="D72" i="11"/>
  <c r="B72" i="11"/>
  <c r="D71" i="11"/>
  <c r="B71" i="11"/>
  <c r="D70" i="11"/>
  <c r="B70" i="11"/>
  <c r="D69" i="11"/>
  <c r="B69" i="11"/>
  <c r="D68" i="11"/>
  <c r="B68" i="11"/>
  <c r="D67" i="11"/>
  <c r="B67" i="11"/>
  <c r="D66" i="11"/>
  <c r="B66" i="11"/>
  <c r="D65" i="11"/>
  <c r="B65" i="11"/>
  <c r="D64" i="11"/>
  <c r="B64" i="11"/>
  <c r="D63" i="11"/>
  <c r="B63" i="11"/>
  <c r="D62" i="11"/>
  <c r="B62" i="11"/>
  <c r="D61" i="11"/>
  <c r="B61" i="11"/>
  <c r="D60" i="11"/>
  <c r="B60" i="11"/>
  <c r="D59" i="11"/>
  <c r="B59" i="11"/>
  <c r="D58" i="11"/>
  <c r="B58" i="11"/>
  <c r="D57" i="11"/>
  <c r="B57" i="11"/>
  <c r="D56" i="11"/>
  <c r="B56" i="11"/>
  <c r="D55" i="11"/>
  <c r="B55" i="11"/>
  <c r="D54" i="11"/>
  <c r="B54" i="11"/>
  <c r="D53" i="11"/>
  <c r="B53" i="11"/>
  <c r="D52" i="11"/>
  <c r="B52" i="11"/>
  <c r="D51" i="11"/>
  <c r="B51" i="11"/>
  <c r="D50" i="11"/>
  <c r="B50" i="11"/>
  <c r="D49" i="11"/>
  <c r="B49" i="11"/>
  <c r="D48" i="11"/>
  <c r="B48" i="11"/>
  <c r="D47" i="11"/>
  <c r="B47" i="11"/>
  <c r="D46" i="11"/>
  <c r="B46" i="11"/>
  <c r="D45" i="11"/>
  <c r="B45" i="11"/>
  <c r="D44" i="11"/>
  <c r="B44" i="11"/>
  <c r="D43" i="11"/>
  <c r="B43" i="11"/>
  <c r="D42" i="11"/>
  <c r="B42" i="11"/>
  <c r="D41" i="11"/>
  <c r="B41" i="11"/>
  <c r="D40" i="11"/>
  <c r="B40" i="11"/>
  <c r="D39" i="11"/>
  <c r="B39" i="11"/>
  <c r="D38" i="11"/>
  <c r="B38" i="11"/>
  <c r="D37" i="11"/>
  <c r="B37" i="11"/>
  <c r="D36" i="11"/>
  <c r="B36" i="11"/>
  <c r="D35" i="11"/>
  <c r="B35" i="11"/>
  <c r="D34" i="11"/>
  <c r="B34" i="11"/>
  <c r="D33" i="11"/>
  <c r="B33" i="11"/>
  <c r="D32" i="11"/>
  <c r="B32" i="11"/>
  <c r="D31" i="11"/>
  <c r="B31" i="11"/>
  <c r="D30" i="11"/>
  <c r="B30" i="11"/>
  <c r="D29" i="11"/>
  <c r="B29" i="11"/>
  <c r="D28" i="11"/>
  <c r="B28" i="11"/>
  <c r="D27" i="11"/>
  <c r="B27" i="11"/>
  <c r="D26" i="11"/>
  <c r="B26" i="11"/>
  <c r="D25" i="11"/>
  <c r="B25" i="11"/>
  <c r="D24" i="11"/>
  <c r="B24" i="11"/>
  <c r="D23" i="11"/>
  <c r="B23" i="11"/>
  <c r="D22" i="11"/>
  <c r="B22" i="11"/>
  <c r="D21" i="11"/>
  <c r="B21" i="11"/>
  <c r="D20" i="11"/>
  <c r="B20" i="11"/>
  <c r="D19" i="11"/>
  <c r="B19" i="11"/>
  <c r="D18" i="11"/>
  <c r="B18" i="11"/>
  <c r="D17" i="11"/>
  <c r="B17" i="11"/>
  <c r="D16" i="11"/>
  <c r="B16" i="11"/>
  <c r="D15" i="11"/>
  <c r="B15" i="11"/>
  <c r="F14" i="11"/>
  <c r="B14" i="11" s="1"/>
  <c r="D14" i="11"/>
  <c r="D13" i="11"/>
  <c r="B13" i="11"/>
  <c r="D12" i="11"/>
  <c r="B12" i="11"/>
  <c r="D11" i="11"/>
  <c r="B11" i="11"/>
  <c r="D10" i="11"/>
  <c r="B10" i="11"/>
  <c r="D9" i="11"/>
  <c r="B9" i="11"/>
  <c r="F8" i="11"/>
  <c r="B8" i="11" s="1"/>
  <c r="D8" i="11"/>
  <c r="D7" i="11"/>
  <c r="B7" i="11"/>
  <c r="D6" i="11"/>
  <c r="B6" i="11"/>
  <c r="D5" i="11"/>
  <c r="B5" i="11"/>
  <c r="D4" i="11"/>
  <c r="B4" i="11"/>
  <c r="D3" i="11"/>
  <c r="B3" i="11"/>
  <c r="D2" i="11"/>
  <c r="B2" i="11"/>
  <c r="C126" i="10"/>
  <c r="G126" i="10" s="1"/>
  <c r="G125" i="10"/>
  <c r="F125" i="10"/>
  <c r="E125" i="10"/>
  <c r="A125" i="10" s="1"/>
  <c r="C125" i="10"/>
  <c r="G124" i="10"/>
  <c r="C124" i="10"/>
  <c r="F124" i="10" s="1"/>
  <c r="E124" i="10" s="1"/>
  <c r="A124" i="10" s="1"/>
  <c r="C123" i="10"/>
  <c r="G122" i="10"/>
  <c r="F122" i="10"/>
  <c r="E122" i="10" s="1"/>
  <c r="C122" i="10"/>
  <c r="C121" i="10"/>
  <c r="F120" i="10"/>
  <c r="E120" i="10"/>
  <c r="C120" i="10"/>
  <c r="G120" i="10" s="1"/>
  <c r="C119" i="10"/>
  <c r="G118" i="10"/>
  <c r="F118" i="10"/>
  <c r="E118" i="10" s="1"/>
  <c r="C118" i="10"/>
  <c r="C117" i="10"/>
  <c r="B116" i="10"/>
  <c r="C116" i="10" s="1"/>
  <c r="G116" i="10" s="1"/>
  <c r="B115" i="10"/>
  <c r="C115" i="10" s="1"/>
  <c r="B114" i="10"/>
  <c r="C114" i="10" s="1"/>
  <c r="B113" i="10"/>
  <c r="C113" i="10" s="1"/>
  <c r="B112" i="10"/>
  <c r="C112" i="10" s="1"/>
  <c r="B111" i="10"/>
  <c r="C111" i="10" s="1"/>
  <c r="B110" i="10"/>
  <c r="C110" i="10" s="1"/>
  <c r="B109" i="10"/>
  <c r="C109" i="10" s="1"/>
  <c r="B108" i="10"/>
  <c r="C108" i="10" s="1"/>
  <c r="G108" i="10" s="1"/>
  <c r="B107" i="10"/>
  <c r="C107" i="10" s="1"/>
  <c r="B106" i="10"/>
  <c r="C106" i="10" s="1"/>
  <c r="F106" i="10" s="1"/>
  <c r="E106" i="10" s="1"/>
  <c r="B105" i="10"/>
  <c r="C105" i="10" s="1"/>
  <c r="B104" i="10"/>
  <c r="C104" i="10" s="1"/>
  <c r="B103" i="10"/>
  <c r="C103" i="10" s="1"/>
  <c r="B102" i="10"/>
  <c r="C102" i="10" s="1"/>
  <c r="G102" i="10" s="1"/>
  <c r="B101" i="10"/>
  <c r="C101" i="10" s="1"/>
  <c r="B100" i="10"/>
  <c r="C100" i="10" s="1"/>
  <c r="G100" i="10" s="1"/>
  <c r="B99" i="10"/>
  <c r="C99" i="10" s="1"/>
  <c r="B98" i="10"/>
  <c r="C98" i="10" s="1"/>
  <c r="B97" i="10"/>
  <c r="C97" i="10" s="1"/>
  <c r="F97" i="10" s="1"/>
  <c r="E97" i="10" s="1"/>
  <c r="B96" i="10"/>
  <c r="C96" i="10" s="1"/>
  <c r="B95" i="10"/>
  <c r="C95" i="10" s="1"/>
  <c r="B94" i="10"/>
  <c r="C94" i="10" s="1"/>
  <c r="B93" i="10"/>
  <c r="C93" i="10" s="1"/>
  <c r="B92" i="10"/>
  <c r="C92" i="10" s="1"/>
  <c r="F92" i="10" s="1"/>
  <c r="E92" i="10" s="1"/>
  <c r="B91" i="10"/>
  <c r="C91" i="10" s="1"/>
  <c r="B90" i="10"/>
  <c r="C90" i="10" s="1"/>
  <c r="F90" i="10" s="1"/>
  <c r="E90" i="10" s="1"/>
  <c r="B89" i="10"/>
  <c r="C89" i="10" s="1"/>
  <c r="F89" i="10" s="1"/>
  <c r="E89" i="10" s="1"/>
  <c r="B88" i="10"/>
  <c r="C88" i="10" s="1"/>
  <c r="B87" i="10"/>
  <c r="C87" i="10" s="1"/>
  <c r="B86" i="10"/>
  <c r="C86" i="10" s="1"/>
  <c r="G86" i="10" s="1"/>
  <c r="B85" i="10"/>
  <c r="C85" i="10" s="1"/>
  <c r="B84" i="10"/>
  <c r="C84" i="10" s="1"/>
  <c r="G84" i="10" s="1"/>
  <c r="B83" i="10"/>
  <c r="C83" i="10" s="1"/>
  <c r="B82" i="10"/>
  <c r="C82" i="10" s="1"/>
  <c r="B81" i="10"/>
  <c r="C81" i="10" s="1"/>
  <c r="F81" i="10" s="1"/>
  <c r="E81" i="10" s="1"/>
  <c r="B80" i="10"/>
  <c r="C80" i="10" s="1"/>
  <c r="B79" i="10"/>
  <c r="C79" i="10" s="1"/>
  <c r="B78" i="10"/>
  <c r="C78" i="10" s="1"/>
  <c r="B77" i="10"/>
  <c r="C77" i="10" s="1"/>
  <c r="B76" i="10"/>
  <c r="C76" i="10" s="1"/>
  <c r="G76" i="10" s="1"/>
  <c r="B75" i="10"/>
  <c r="C75" i="10" s="1"/>
  <c r="B74" i="10"/>
  <c r="C74" i="10" s="1"/>
  <c r="F74" i="10" s="1"/>
  <c r="E74" i="10" s="1"/>
  <c r="B73" i="10"/>
  <c r="C73" i="10" s="1"/>
  <c r="B72" i="10"/>
  <c r="C72" i="10" s="1"/>
  <c r="B71" i="10"/>
  <c r="C71" i="10" s="1"/>
  <c r="B70" i="10"/>
  <c r="C70" i="10" s="1"/>
  <c r="G70" i="10" s="1"/>
  <c r="B69" i="10"/>
  <c r="C69" i="10" s="1"/>
  <c r="B68" i="10"/>
  <c r="C68" i="10" s="1"/>
  <c r="G68" i="10" s="1"/>
  <c r="B67" i="10"/>
  <c r="C67" i="10" s="1"/>
  <c r="B66" i="10"/>
  <c r="C66" i="10" s="1"/>
  <c r="B65" i="10"/>
  <c r="C65" i="10" s="1"/>
  <c r="B64" i="10"/>
  <c r="C64" i="10" s="1"/>
  <c r="B63" i="10"/>
  <c r="C63" i="10" s="1"/>
  <c r="B62" i="10"/>
  <c r="C62" i="10" s="1"/>
  <c r="B61" i="10"/>
  <c r="C61" i="10" s="1"/>
  <c r="B60" i="10"/>
  <c r="C60" i="10" s="1"/>
  <c r="G60" i="10" s="1"/>
  <c r="B59" i="10"/>
  <c r="C59" i="10" s="1"/>
  <c r="B58" i="10"/>
  <c r="C58" i="10" s="1"/>
  <c r="F58" i="10" s="1"/>
  <c r="E58" i="10" s="1"/>
  <c r="B57" i="10"/>
  <c r="C57" i="10" s="1"/>
  <c r="B56" i="10"/>
  <c r="C56" i="10" s="1"/>
  <c r="B55" i="10"/>
  <c r="C55" i="10" s="1"/>
  <c r="B54" i="10"/>
  <c r="C54" i="10" s="1"/>
  <c r="B53" i="10"/>
  <c r="C53" i="10" s="1"/>
  <c r="B52" i="10"/>
  <c r="C52" i="10" s="1"/>
  <c r="G52" i="10" s="1"/>
  <c r="B51" i="10"/>
  <c r="C51" i="10" s="1"/>
  <c r="B50" i="10"/>
  <c r="C50" i="10" s="1"/>
  <c r="B49" i="10"/>
  <c r="C49" i="10" s="1"/>
  <c r="F49" i="10" s="1"/>
  <c r="E49" i="10" s="1"/>
  <c r="B48" i="10"/>
  <c r="C48" i="10" s="1"/>
  <c r="B47" i="10"/>
  <c r="C47" i="10" s="1"/>
  <c r="F47" i="10" s="1"/>
  <c r="E47" i="10" s="1"/>
  <c r="B46" i="10"/>
  <c r="C46" i="10" s="1"/>
  <c r="B45" i="10"/>
  <c r="C45" i="10" s="1"/>
  <c r="B44" i="10"/>
  <c r="C44" i="10" s="1"/>
  <c r="G44" i="10" s="1"/>
  <c r="B43" i="10"/>
  <c r="C43" i="10" s="1"/>
  <c r="B42" i="10"/>
  <c r="C42" i="10" s="1"/>
  <c r="F42" i="10" s="1"/>
  <c r="E42" i="10" s="1"/>
  <c r="B41" i="10"/>
  <c r="C41" i="10" s="1"/>
  <c r="B40" i="10"/>
  <c r="C40" i="10" s="1"/>
  <c r="F40" i="10" s="1"/>
  <c r="E40" i="10" s="1"/>
  <c r="B39" i="10"/>
  <c r="C39" i="10" s="1"/>
  <c r="B38" i="10"/>
  <c r="C38" i="10" s="1"/>
  <c r="G38" i="10" s="1"/>
  <c r="B37" i="10"/>
  <c r="C37" i="10" s="1"/>
  <c r="G37" i="10" s="1"/>
  <c r="B36" i="10"/>
  <c r="C36" i="10" s="1"/>
  <c r="G36" i="10" s="1"/>
  <c r="B35" i="10"/>
  <c r="C35" i="10" s="1"/>
  <c r="B34" i="10"/>
  <c r="C34" i="10" s="1"/>
  <c r="B33" i="10"/>
  <c r="C33" i="10" s="1"/>
  <c r="F33" i="10" s="1"/>
  <c r="E33" i="10" s="1"/>
  <c r="B32" i="10"/>
  <c r="C32" i="10" s="1"/>
  <c r="B31" i="10"/>
  <c r="C31" i="10" s="1"/>
  <c r="F31" i="10" s="1"/>
  <c r="E31" i="10" s="1"/>
  <c r="B30" i="10"/>
  <c r="C30" i="10" s="1"/>
  <c r="B29" i="10"/>
  <c r="C29" i="10" s="1"/>
  <c r="B28" i="10"/>
  <c r="C28" i="10" s="1"/>
  <c r="F28" i="10" s="1"/>
  <c r="E28" i="10" s="1"/>
  <c r="B27" i="10"/>
  <c r="C27" i="10" s="1"/>
  <c r="B26" i="10"/>
  <c r="C26" i="10" s="1"/>
  <c r="F26" i="10" s="1"/>
  <c r="E26" i="10" s="1"/>
  <c r="B25" i="10"/>
  <c r="C25" i="10" s="1"/>
  <c r="B24" i="10"/>
  <c r="C24" i="10" s="1"/>
  <c r="F24" i="10" s="1"/>
  <c r="E24" i="10" s="1"/>
  <c r="B23" i="10"/>
  <c r="C23" i="10" s="1"/>
  <c r="B22" i="10"/>
  <c r="C22" i="10" s="1"/>
  <c r="G22" i="10" s="1"/>
  <c r="B21" i="10"/>
  <c r="C21" i="10" s="1"/>
  <c r="G21" i="10" s="1"/>
  <c r="B20" i="10"/>
  <c r="C20" i="10" s="1"/>
  <c r="G20" i="10" s="1"/>
  <c r="B19" i="10"/>
  <c r="C19" i="10" s="1"/>
  <c r="B18" i="10"/>
  <c r="C18" i="10" s="1"/>
  <c r="B17" i="10"/>
  <c r="C17" i="10" s="1"/>
  <c r="F17" i="10" s="1"/>
  <c r="E17" i="10" s="1"/>
  <c r="B16" i="10"/>
  <c r="C16" i="10" s="1"/>
  <c r="B15" i="10"/>
  <c r="C15" i="10" s="1"/>
  <c r="B14" i="10"/>
  <c r="C14" i="10" s="1"/>
  <c r="B13" i="10"/>
  <c r="C13" i="10" s="1"/>
  <c r="B12" i="10"/>
  <c r="C12" i="10" s="1"/>
  <c r="F12" i="10" s="1"/>
  <c r="E12" i="10" s="1"/>
  <c r="B11" i="10"/>
  <c r="C11" i="10" s="1"/>
  <c r="B10" i="10"/>
  <c r="C10" i="10" s="1"/>
  <c r="F10" i="10" s="1"/>
  <c r="E10" i="10" s="1"/>
  <c r="B9" i="10"/>
  <c r="C9" i="10" s="1"/>
  <c r="B8" i="10"/>
  <c r="C8" i="10" s="1"/>
  <c r="B7" i="10"/>
  <c r="C7" i="10" s="1"/>
  <c r="B6" i="10"/>
  <c r="C6" i="10" s="1"/>
  <c r="G6" i="10" s="1"/>
  <c r="B5" i="10"/>
  <c r="C5" i="10" s="1"/>
  <c r="G5" i="10" s="1"/>
  <c r="B4" i="10"/>
  <c r="C4" i="10" s="1"/>
  <c r="G4" i="10" s="1"/>
  <c r="B3" i="10"/>
  <c r="C3" i="10" s="1"/>
  <c r="B2" i="10"/>
  <c r="C2" i="10" s="1"/>
  <c r="J125" i="9"/>
  <c r="H125" i="9"/>
  <c r="D125" i="9"/>
  <c r="J124" i="9"/>
  <c r="H124" i="9"/>
  <c r="D124" i="9"/>
  <c r="J123" i="9"/>
  <c r="H123" i="9"/>
  <c r="D123" i="9"/>
  <c r="J122" i="9"/>
  <c r="H122" i="9"/>
  <c r="D122" i="9"/>
  <c r="J121" i="9"/>
  <c r="H121" i="9"/>
  <c r="D121" i="9"/>
  <c r="J120" i="9"/>
  <c r="H120" i="9"/>
  <c r="D120" i="9"/>
  <c r="J119" i="9"/>
  <c r="H119" i="9"/>
  <c r="D119" i="9"/>
  <c r="J118" i="9"/>
  <c r="H118" i="9"/>
  <c r="D118" i="9"/>
  <c r="J117" i="9"/>
  <c r="H117" i="9"/>
  <c r="D117" i="9"/>
  <c r="B117" i="9"/>
  <c r="J116" i="9"/>
  <c r="H116" i="9"/>
  <c r="D116" i="9"/>
  <c r="B116" i="9"/>
  <c r="J115" i="9"/>
  <c r="H115" i="9"/>
  <c r="D115" i="9"/>
  <c r="B115" i="9"/>
  <c r="J114" i="9"/>
  <c r="H114" i="9"/>
  <c r="D114" i="9"/>
  <c r="B114" i="9"/>
  <c r="J113" i="9"/>
  <c r="H113" i="9"/>
  <c r="D113" i="9"/>
  <c r="B113" i="9"/>
  <c r="J112" i="9"/>
  <c r="H112" i="9"/>
  <c r="D112" i="9"/>
  <c r="B112" i="9"/>
  <c r="J111" i="9"/>
  <c r="H111" i="9"/>
  <c r="D111" i="9"/>
  <c r="B111" i="9"/>
  <c r="J110" i="9"/>
  <c r="H110" i="9"/>
  <c r="D110" i="9"/>
  <c r="B110" i="9"/>
  <c r="J109" i="9"/>
  <c r="H109" i="9"/>
  <c r="D109" i="9"/>
  <c r="B109" i="9"/>
  <c r="J108" i="9"/>
  <c r="H108" i="9"/>
  <c r="D108" i="9"/>
  <c r="B108" i="9"/>
  <c r="J107" i="9"/>
  <c r="H107" i="9"/>
  <c r="D107" i="9"/>
  <c r="B107" i="9"/>
  <c r="J106" i="9"/>
  <c r="H106" i="9"/>
  <c r="D106" i="9"/>
  <c r="B106" i="9"/>
  <c r="J105" i="9"/>
  <c r="H105" i="9"/>
  <c r="D105" i="9"/>
  <c r="B105" i="9"/>
  <c r="J104" i="9"/>
  <c r="H104" i="9"/>
  <c r="D104" i="9"/>
  <c r="B104" i="9"/>
  <c r="J103" i="9"/>
  <c r="H103" i="9"/>
  <c r="D103" i="9"/>
  <c r="B103" i="9"/>
  <c r="J102" i="9"/>
  <c r="H102" i="9"/>
  <c r="D102" i="9"/>
  <c r="B102" i="9"/>
  <c r="J101" i="9"/>
  <c r="H101" i="9"/>
  <c r="D101" i="9"/>
  <c r="B101" i="9"/>
  <c r="J100" i="9"/>
  <c r="H100" i="9"/>
  <c r="D100" i="9"/>
  <c r="B100" i="9"/>
  <c r="J99" i="9"/>
  <c r="H99" i="9"/>
  <c r="D99" i="9"/>
  <c r="B99" i="9"/>
  <c r="J98" i="9"/>
  <c r="H98" i="9"/>
  <c r="D98" i="9"/>
  <c r="B98" i="9"/>
  <c r="J97" i="9"/>
  <c r="H97" i="9"/>
  <c r="D97" i="9"/>
  <c r="B97" i="9"/>
  <c r="J96" i="9"/>
  <c r="H96" i="9"/>
  <c r="D96" i="9"/>
  <c r="B96" i="9"/>
  <c r="J95" i="9"/>
  <c r="H95" i="9"/>
  <c r="D95" i="9"/>
  <c r="B95" i="9"/>
  <c r="J94" i="9"/>
  <c r="H94" i="9"/>
  <c r="D94" i="9"/>
  <c r="B94" i="9"/>
  <c r="J93" i="9"/>
  <c r="H93" i="9"/>
  <c r="D93" i="9"/>
  <c r="B93" i="9"/>
  <c r="J92" i="9"/>
  <c r="H92" i="9"/>
  <c r="D92" i="9"/>
  <c r="B92" i="9"/>
  <c r="J91" i="9"/>
  <c r="H91" i="9"/>
  <c r="D91" i="9"/>
  <c r="B91" i="9"/>
  <c r="J90" i="9"/>
  <c r="H90" i="9"/>
  <c r="D90" i="9"/>
  <c r="B90" i="9"/>
  <c r="J89" i="9"/>
  <c r="H89" i="9"/>
  <c r="D89" i="9"/>
  <c r="B89" i="9"/>
  <c r="J88" i="9"/>
  <c r="H88" i="9"/>
  <c r="D88" i="9"/>
  <c r="B88" i="9"/>
  <c r="J87" i="9"/>
  <c r="H87" i="9"/>
  <c r="D87" i="9"/>
  <c r="B87" i="9"/>
  <c r="J86" i="9"/>
  <c r="H86" i="9"/>
  <c r="D86" i="9"/>
  <c r="B86" i="9"/>
  <c r="J85" i="9"/>
  <c r="H85" i="9"/>
  <c r="D85" i="9"/>
  <c r="B85" i="9"/>
  <c r="J84" i="9"/>
  <c r="H84" i="9"/>
  <c r="D84" i="9"/>
  <c r="B84" i="9"/>
  <c r="J83" i="9"/>
  <c r="H83" i="9"/>
  <c r="D83" i="9"/>
  <c r="B83" i="9"/>
  <c r="J82" i="9"/>
  <c r="H82" i="9"/>
  <c r="D82" i="9"/>
  <c r="B82" i="9"/>
  <c r="J81" i="9"/>
  <c r="H81" i="9"/>
  <c r="D81" i="9"/>
  <c r="B81" i="9"/>
  <c r="J80" i="9"/>
  <c r="H80" i="9"/>
  <c r="D80" i="9"/>
  <c r="B80" i="9"/>
  <c r="J79" i="9"/>
  <c r="H79" i="9"/>
  <c r="D79" i="9"/>
  <c r="B79" i="9"/>
  <c r="J78" i="9"/>
  <c r="H78" i="9"/>
  <c r="D78" i="9"/>
  <c r="B78" i="9"/>
  <c r="J77" i="9"/>
  <c r="H77" i="9"/>
  <c r="D77" i="9"/>
  <c r="B77" i="9"/>
  <c r="J76" i="9"/>
  <c r="H76" i="9"/>
  <c r="D76" i="9"/>
  <c r="B76" i="9"/>
  <c r="J75" i="9"/>
  <c r="H75" i="9"/>
  <c r="D75" i="9"/>
  <c r="B75" i="9"/>
  <c r="J74" i="9"/>
  <c r="H74" i="9"/>
  <c r="D74" i="9"/>
  <c r="B74" i="9"/>
  <c r="J73" i="9"/>
  <c r="H73" i="9"/>
  <c r="D73" i="9"/>
  <c r="B73" i="9"/>
  <c r="J72" i="9"/>
  <c r="H72" i="9"/>
  <c r="D72" i="9"/>
  <c r="B72" i="9"/>
  <c r="J71" i="9"/>
  <c r="H71" i="9"/>
  <c r="D71" i="9"/>
  <c r="B71" i="9"/>
  <c r="J70" i="9"/>
  <c r="H70" i="9"/>
  <c r="D70" i="9"/>
  <c r="B70" i="9"/>
  <c r="J69" i="9"/>
  <c r="H69" i="9"/>
  <c r="D69" i="9"/>
  <c r="B69" i="9"/>
  <c r="J68" i="9"/>
  <c r="H68" i="9"/>
  <c r="D68" i="9"/>
  <c r="B68" i="9"/>
  <c r="J67" i="9"/>
  <c r="H67" i="9"/>
  <c r="D67" i="9"/>
  <c r="B67" i="9"/>
  <c r="J66" i="9"/>
  <c r="H66" i="9"/>
  <c r="D66" i="9"/>
  <c r="B66" i="9"/>
  <c r="J65" i="9"/>
  <c r="H65" i="9"/>
  <c r="D65" i="9"/>
  <c r="B65" i="9"/>
  <c r="J64" i="9"/>
  <c r="H64" i="9"/>
  <c r="D64" i="9"/>
  <c r="B64" i="9"/>
  <c r="J63" i="9"/>
  <c r="H63" i="9"/>
  <c r="D63" i="9"/>
  <c r="B63" i="9"/>
  <c r="J62" i="9"/>
  <c r="H62" i="9"/>
  <c r="D62" i="9"/>
  <c r="B62" i="9"/>
  <c r="J61" i="9"/>
  <c r="H61" i="9"/>
  <c r="D61" i="9"/>
  <c r="B61" i="9"/>
  <c r="J60" i="9"/>
  <c r="H60" i="9"/>
  <c r="D60" i="9"/>
  <c r="B60" i="9"/>
  <c r="J59" i="9"/>
  <c r="H59" i="9"/>
  <c r="D59" i="9"/>
  <c r="B59" i="9"/>
  <c r="J58" i="9"/>
  <c r="H58" i="9"/>
  <c r="D58" i="9"/>
  <c r="B58" i="9"/>
  <c r="J57" i="9"/>
  <c r="H57" i="9"/>
  <c r="D57" i="9"/>
  <c r="B57" i="9"/>
  <c r="J56" i="9"/>
  <c r="H56" i="9"/>
  <c r="D56" i="9"/>
  <c r="B56" i="9"/>
  <c r="J55" i="9"/>
  <c r="H55" i="9"/>
  <c r="D55" i="9"/>
  <c r="B55" i="9"/>
  <c r="J54" i="9"/>
  <c r="H54" i="9"/>
  <c r="D54" i="9"/>
  <c r="B54" i="9"/>
  <c r="J53" i="9"/>
  <c r="H53" i="9"/>
  <c r="D53" i="9"/>
  <c r="B53" i="9"/>
  <c r="J52" i="9"/>
  <c r="H52" i="9"/>
  <c r="D52" i="9"/>
  <c r="B52" i="9"/>
  <c r="J51" i="9"/>
  <c r="H51" i="9"/>
  <c r="D51" i="9"/>
  <c r="B51" i="9"/>
  <c r="J50" i="9"/>
  <c r="H50" i="9"/>
  <c r="D50" i="9"/>
  <c r="B50" i="9"/>
  <c r="J49" i="9"/>
  <c r="H49" i="9"/>
  <c r="D49" i="9"/>
  <c r="B49" i="9"/>
  <c r="J48" i="9"/>
  <c r="H48" i="9"/>
  <c r="D48" i="9"/>
  <c r="B48" i="9"/>
  <c r="J47" i="9"/>
  <c r="H47" i="9"/>
  <c r="D47" i="9"/>
  <c r="B47" i="9"/>
  <c r="J46" i="9"/>
  <c r="H46" i="9"/>
  <c r="D46" i="9"/>
  <c r="B46" i="9"/>
  <c r="J45" i="9"/>
  <c r="H45" i="9"/>
  <c r="D45" i="9"/>
  <c r="B45" i="9"/>
  <c r="J44" i="9"/>
  <c r="H44" i="9"/>
  <c r="D44" i="9"/>
  <c r="B44" i="9"/>
  <c r="J43" i="9"/>
  <c r="H43" i="9"/>
  <c r="D43" i="9"/>
  <c r="B43" i="9"/>
  <c r="J42" i="9"/>
  <c r="H42" i="9"/>
  <c r="D42" i="9"/>
  <c r="B42" i="9"/>
  <c r="J41" i="9"/>
  <c r="H41" i="9"/>
  <c r="D41" i="9"/>
  <c r="B41" i="9"/>
  <c r="J40" i="9"/>
  <c r="H40" i="9"/>
  <c r="D40" i="9"/>
  <c r="B40" i="9"/>
  <c r="J39" i="9"/>
  <c r="H39" i="9"/>
  <c r="D39" i="9"/>
  <c r="B39" i="9"/>
  <c r="J38" i="9"/>
  <c r="H38" i="9"/>
  <c r="D38" i="9"/>
  <c r="B38" i="9"/>
  <c r="J37" i="9"/>
  <c r="H37" i="9"/>
  <c r="D37" i="9"/>
  <c r="B37" i="9"/>
  <c r="J36" i="9"/>
  <c r="H36" i="9"/>
  <c r="D36" i="9"/>
  <c r="B36" i="9"/>
  <c r="J35" i="9"/>
  <c r="H35" i="9"/>
  <c r="D35" i="9"/>
  <c r="B35" i="9"/>
  <c r="J34" i="9"/>
  <c r="H34" i="9"/>
  <c r="D34" i="9"/>
  <c r="B34" i="9"/>
  <c r="J33" i="9"/>
  <c r="H33" i="9"/>
  <c r="D33" i="9"/>
  <c r="B33" i="9"/>
  <c r="J32" i="9"/>
  <c r="H32" i="9"/>
  <c r="D32" i="9"/>
  <c r="B32" i="9"/>
  <c r="J31" i="9"/>
  <c r="H31" i="9"/>
  <c r="D31" i="9"/>
  <c r="B31" i="9"/>
  <c r="J30" i="9"/>
  <c r="H30" i="9"/>
  <c r="D30" i="9"/>
  <c r="B30" i="9"/>
  <c r="J29" i="9"/>
  <c r="H29" i="9"/>
  <c r="D29" i="9"/>
  <c r="B29" i="9"/>
  <c r="J28" i="9"/>
  <c r="H28" i="9"/>
  <c r="D28" i="9"/>
  <c r="B28" i="9"/>
  <c r="J27" i="9"/>
  <c r="H27" i="9"/>
  <c r="D27" i="9"/>
  <c r="B27" i="9"/>
  <c r="J26" i="9"/>
  <c r="H26" i="9"/>
  <c r="D26" i="9"/>
  <c r="B26" i="9"/>
  <c r="J25" i="9"/>
  <c r="H25" i="9"/>
  <c r="D25" i="9"/>
  <c r="B25" i="9"/>
  <c r="J24" i="9"/>
  <c r="H24" i="9"/>
  <c r="D24" i="9"/>
  <c r="B24" i="9"/>
  <c r="J23" i="9"/>
  <c r="H23" i="9"/>
  <c r="D23" i="9"/>
  <c r="B23" i="9"/>
  <c r="J22" i="9"/>
  <c r="H22" i="9"/>
  <c r="D22" i="9"/>
  <c r="B22" i="9"/>
  <c r="J21" i="9"/>
  <c r="H21" i="9"/>
  <c r="D21" i="9"/>
  <c r="B21" i="9"/>
  <c r="J20" i="9"/>
  <c r="H20" i="9"/>
  <c r="D20" i="9"/>
  <c r="B20" i="9"/>
  <c r="J19" i="9"/>
  <c r="H19" i="9"/>
  <c r="D19" i="9"/>
  <c r="B19" i="9"/>
  <c r="J18" i="9"/>
  <c r="H18" i="9"/>
  <c r="D18" i="9"/>
  <c r="B18" i="9"/>
  <c r="J17" i="9"/>
  <c r="H17" i="9"/>
  <c r="D17" i="9"/>
  <c r="B17" i="9"/>
  <c r="J16" i="9"/>
  <c r="H16" i="9"/>
  <c r="D16" i="9"/>
  <c r="B16" i="9"/>
  <c r="J15" i="9"/>
  <c r="H15" i="9"/>
  <c r="D15" i="9"/>
  <c r="B15" i="9"/>
  <c r="J14" i="9"/>
  <c r="H14" i="9"/>
  <c r="D14" i="9"/>
  <c r="B14" i="9"/>
  <c r="J13" i="9"/>
  <c r="H13" i="9"/>
  <c r="D13" i="9"/>
  <c r="B13" i="9"/>
  <c r="J12" i="9"/>
  <c r="H12" i="9"/>
  <c r="D12" i="9"/>
  <c r="B12" i="9"/>
  <c r="J11" i="9"/>
  <c r="H11" i="9"/>
  <c r="D11" i="9"/>
  <c r="B11" i="9"/>
  <c r="J10" i="9"/>
  <c r="H10" i="9"/>
  <c r="D10" i="9"/>
  <c r="B10" i="9"/>
  <c r="J9" i="9"/>
  <c r="H9" i="9"/>
  <c r="D9" i="9"/>
  <c r="B9" i="9"/>
  <c r="J8" i="9"/>
  <c r="H8" i="9"/>
  <c r="D8" i="9"/>
  <c r="B8" i="9"/>
  <c r="J7" i="9"/>
  <c r="H7" i="9"/>
  <c r="D7" i="9"/>
  <c r="B7" i="9"/>
  <c r="J6" i="9"/>
  <c r="H6" i="9"/>
  <c r="D6" i="9"/>
  <c r="B6" i="9"/>
  <c r="J5" i="9"/>
  <c r="H5" i="9"/>
  <c r="D5" i="9"/>
  <c r="B5" i="9"/>
  <c r="J4" i="9"/>
  <c r="H4" i="9"/>
  <c r="D4" i="9"/>
  <c r="B4" i="9"/>
  <c r="J3" i="9"/>
  <c r="H3" i="9"/>
  <c r="D3" i="9"/>
  <c r="B3" i="9"/>
  <c r="J2" i="9"/>
  <c r="H2" i="9"/>
  <c r="D2" i="9"/>
  <c r="B2" i="9"/>
  <c r="J451" i="8"/>
  <c r="H451" i="8"/>
  <c r="D451" i="8"/>
  <c r="B451" i="8"/>
  <c r="J450" i="8"/>
  <c r="H450" i="8"/>
  <c r="D450" i="8"/>
  <c r="B450" i="8"/>
  <c r="J449" i="8"/>
  <c r="H449" i="8"/>
  <c r="D449" i="8"/>
  <c r="B449" i="8"/>
  <c r="J448" i="8"/>
  <c r="H448" i="8"/>
  <c r="D448" i="8"/>
  <c r="B448" i="8"/>
  <c r="J447" i="8"/>
  <c r="H447" i="8"/>
  <c r="D447" i="8"/>
  <c r="B447" i="8"/>
  <c r="J446" i="8"/>
  <c r="H446" i="8"/>
  <c r="D446" i="8"/>
  <c r="B446" i="8"/>
  <c r="J445" i="8"/>
  <c r="H445" i="8"/>
  <c r="D445" i="8"/>
  <c r="B445" i="8"/>
  <c r="J444" i="8"/>
  <c r="H444" i="8"/>
  <c r="D444" i="8"/>
  <c r="B444" i="8"/>
  <c r="J443" i="8"/>
  <c r="H443" i="8"/>
  <c r="D443" i="8"/>
  <c r="B443" i="8"/>
  <c r="J442" i="8"/>
  <c r="H442" i="8"/>
  <c r="D442" i="8"/>
  <c r="B442" i="8"/>
  <c r="J441" i="8"/>
  <c r="H441" i="8"/>
  <c r="D441" i="8"/>
  <c r="B441" i="8"/>
  <c r="J440" i="8"/>
  <c r="H440" i="8"/>
  <c r="D440" i="8"/>
  <c r="B440" i="8"/>
  <c r="J439" i="8"/>
  <c r="H439" i="8"/>
  <c r="D439" i="8"/>
  <c r="B439" i="8"/>
  <c r="J438" i="8"/>
  <c r="H438" i="8"/>
  <c r="D438" i="8"/>
  <c r="B438" i="8"/>
  <c r="J437" i="8"/>
  <c r="H437" i="8"/>
  <c r="D437" i="8"/>
  <c r="B437" i="8"/>
  <c r="J436" i="8"/>
  <c r="H436" i="8"/>
  <c r="D436" i="8"/>
  <c r="B436" i="8"/>
  <c r="J435" i="8"/>
  <c r="H435" i="8"/>
  <c r="D435" i="8"/>
  <c r="B435" i="8"/>
  <c r="J434" i="8"/>
  <c r="H434" i="8"/>
  <c r="D434" i="8"/>
  <c r="B434" i="8"/>
  <c r="J433" i="8"/>
  <c r="H433" i="8"/>
  <c r="D433" i="8"/>
  <c r="B433" i="8"/>
  <c r="J432" i="8"/>
  <c r="H432" i="8"/>
  <c r="D432" i="8"/>
  <c r="B432" i="8"/>
  <c r="J431" i="8"/>
  <c r="H431" i="8"/>
  <c r="D431" i="8"/>
  <c r="B431" i="8"/>
  <c r="J430" i="8"/>
  <c r="H430" i="8"/>
  <c r="D430" i="8"/>
  <c r="B430" i="8"/>
  <c r="J429" i="8"/>
  <c r="H429" i="8"/>
  <c r="D429" i="8"/>
  <c r="B429" i="8"/>
  <c r="J428" i="8"/>
  <c r="H428" i="8"/>
  <c r="D428" i="8"/>
  <c r="B428" i="8"/>
  <c r="J427" i="8"/>
  <c r="H427" i="8"/>
  <c r="D427" i="8"/>
  <c r="B427" i="8"/>
  <c r="J426" i="8"/>
  <c r="H426" i="8"/>
  <c r="D426" i="8"/>
  <c r="B426" i="8"/>
  <c r="J425" i="8"/>
  <c r="H425" i="8"/>
  <c r="D425" i="8"/>
  <c r="B425" i="8"/>
  <c r="J424" i="8"/>
  <c r="H424" i="8"/>
  <c r="D424" i="8"/>
  <c r="B424" i="8"/>
  <c r="J423" i="8"/>
  <c r="H423" i="8"/>
  <c r="D423" i="8"/>
  <c r="B423" i="8"/>
  <c r="J422" i="8"/>
  <c r="H422" i="8"/>
  <c r="D422" i="8"/>
  <c r="B422" i="8"/>
  <c r="J421" i="8"/>
  <c r="H421" i="8"/>
  <c r="D421" i="8"/>
  <c r="B421" i="8"/>
  <c r="J420" i="8"/>
  <c r="H420" i="8"/>
  <c r="D420" i="8"/>
  <c r="B420" i="8"/>
  <c r="J419" i="8"/>
  <c r="H419" i="8"/>
  <c r="D419" i="8"/>
  <c r="B419" i="8"/>
  <c r="J418" i="8"/>
  <c r="H418" i="8"/>
  <c r="D418" i="8"/>
  <c r="B418" i="8"/>
  <c r="J417" i="8"/>
  <c r="H417" i="8"/>
  <c r="D417" i="8"/>
  <c r="B417" i="8"/>
  <c r="J416" i="8"/>
  <c r="H416" i="8"/>
  <c r="D416" i="8"/>
  <c r="B416" i="8"/>
  <c r="J415" i="8"/>
  <c r="H415" i="8"/>
  <c r="D415" i="8"/>
  <c r="B415" i="8"/>
  <c r="J414" i="8"/>
  <c r="H414" i="8"/>
  <c r="D414" i="8"/>
  <c r="B414" i="8"/>
  <c r="J413" i="8"/>
  <c r="H413" i="8"/>
  <c r="D413" i="8"/>
  <c r="B413" i="8"/>
  <c r="J412" i="8"/>
  <c r="H412" i="8"/>
  <c r="D412" i="8"/>
  <c r="B412" i="8"/>
  <c r="J411" i="8"/>
  <c r="H411" i="8"/>
  <c r="D411" i="8"/>
  <c r="B411" i="8"/>
  <c r="J410" i="8"/>
  <c r="H410" i="8"/>
  <c r="D410" i="8"/>
  <c r="B410" i="8"/>
  <c r="J409" i="8"/>
  <c r="H409" i="8"/>
  <c r="D409" i="8"/>
  <c r="B409" i="8"/>
  <c r="J408" i="8"/>
  <c r="H408" i="8"/>
  <c r="D408" i="8"/>
  <c r="B408" i="8"/>
  <c r="J407" i="8"/>
  <c r="H407" i="8"/>
  <c r="D407" i="8"/>
  <c r="B407" i="8"/>
  <c r="J406" i="8"/>
  <c r="H406" i="8"/>
  <c r="D406" i="8"/>
  <c r="B406" i="8"/>
  <c r="J405" i="8"/>
  <c r="H405" i="8"/>
  <c r="D405" i="8"/>
  <c r="B405" i="8"/>
  <c r="J404" i="8"/>
  <c r="H404" i="8"/>
  <c r="D404" i="8"/>
  <c r="B404" i="8"/>
  <c r="J403" i="8"/>
  <c r="H403" i="8"/>
  <c r="D403" i="8"/>
  <c r="B403" i="8"/>
  <c r="J402" i="8"/>
  <c r="H402" i="8"/>
  <c r="D402" i="8"/>
  <c r="B402" i="8"/>
  <c r="J401" i="8"/>
  <c r="H401" i="8"/>
  <c r="D401" i="8"/>
  <c r="B401" i="8"/>
  <c r="J400" i="8"/>
  <c r="H400" i="8"/>
  <c r="D400" i="8"/>
  <c r="B400" i="8"/>
  <c r="J399" i="8"/>
  <c r="H399" i="8"/>
  <c r="D399" i="8"/>
  <c r="B399" i="8"/>
  <c r="J398" i="8"/>
  <c r="H398" i="8"/>
  <c r="D398" i="8"/>
  <c r="B398" i="8"/>
  <c r="J397" i="8"/>
  <c r="H397" i="8"/>
  <c r="D397" i="8"/>
  <c r="B397" i="8"/>
  <c r="J396" i="8"/>
  <c r="H396" i="8"/>
  <c r="D396" i="8"/>
  <c r="B396" i="8"/>
  <c r="J395" i="8"/>
  <c r="H395" i="8"/>
  <c r="D395" i="8"/>
  <c r="B395" i="8"/>
  <c r="J394" i="8"/>
  <c r="H394" i="8"/>
  <c r="D394" i="8"/>
  <c r="B394" i="8"/>
  <c r="J393" i="8"/>
  <c r="H393" i="8"/>
  <c r="D393" i="8"/>
  <c r="B393" i="8"/>
  <c r="J392" i="8"/>
  <c r="H392" i="8"/>
  <c r="D392" i="8"/>
  <c r="B392" i="8"/>
  <c r="J391" i="8"/>
  <c r="H391" i="8"/>
  <c r="D391" i="8"/>
  <c r="B391" i="8"/>
  <c r="J390" i="8"/>
  <c r="H390" i="8"/>
  <c r="D390" i="8"/>
  <c r="B390" i="8"/>
  <c r="J389" i="8"/>
  <c r="H389" i="8"/>
  <c r="D389" i="8"/>
  <c r="B389" i="8"/>
  <c r="J388" i="8"/>
  <c r="H388" i="8"/>
  <c r="D388" i="8"/>
  <c r="B388" i="8"/>
  <c r="J387" i="8"/>
  <c r="H387" i="8"/>
  <c r="D387" i="8"/>
  <c r="B387" i="8"/>
  <c r="J386" i="8"/>
  <c r="H386" i="8"/>
  <c r="D386" i="8"/>
  <c r="B386" i="8"/>
  <c r="J385" i="8"/>
  <c r="H385" i="8"/>
  <c r="D385" i="8"/>
  <c r="B385" i="8"/>
  <c r="J384" i="8"/>
  <c r="H384" i="8"/>
  <c r="D384" i="8"/>
  <c r="B384" i="8"/>
  <c r="J383" i="8"/>
  <c r="H383" i="8"/>
  <c r="D383" i="8"/>
  <c r="B383" i="8"/>
  <c r="J382" i="8"/>
  <c r="H382" i="8"/>
  <c r="D382" i="8"/>
  <c r="B382" i="8"/>
  <c r="J381" i="8"/>
  <c r="H381" i="8"/>
  <c r="D381" i="8"/>
  <c r="B381" i="8"/>
  <c r="J380" i="8"/>
  <c r="H380" i="8"/>
  <c r="D380" i="8"/>
  <c r="B380" i="8"/>
  <c r="J379" i="8"/>
  <c r="H379" i="8"/>
  <c r="D379" i="8"/>
  <c r="B379" i="8"/>
  <c r="J378" i="8"/>
  <c r="H378" i="8"/>
  <c r="D378" i="8"/>
  <c r="B378" i="8"/>
  <c r="J377" i="8"/>
  <c r="H377" i="8"/>
  <c r="D377" i="8"/>
  <c r="B377" i="8"/>
  <c r="J376" i="8"/>
  <c r="H376" i="8"/>
  <c r="D376" i="8"/>
  <c r="B376" i="8"/>
  <c r="J375" i="8"/>
  <c r="H375" i="8"/>
  <c r="D375" i="8"/>
  <c r="B375" i="8"/>
  <c r="J374" i="8"/>
  <c r="H374" i="8"/>
  <c r="D374" i="8"/>
  <c r="B374" i="8"/>
  <c r="J373" i="8"/>
  <c r="H373" i="8"/>
  <c r="D373" i="8"/>
  <c r="B373" i="8"/>
  <c r="J372" i="8"/>
  <c r="H372" i="8"/>
  <c r="D372" i="8"/>
  <c r="B372" i="8"/>
  <c r="J371" i="8"/>
  <c r="H371" i="8"/>
  <c r="D371" i="8"/>
  <c r="B371" i="8"/>
  <c r="J370" i="8"/>
  <c r="H370" i="8"/>
  <c r="D370" i="8"/>
  <c r="B370" i="8"/>
  <c r="J369" i="8"/>
  <c r="H369" i="8"/>
  <c r="D369" i="8"/>
  <c r="B369" i="8"/>
  <c r="J368" i="8"/>
  <c r="H368" i="8"/>
  <c r="D368" i="8"/>
  <c r="B368" i="8"/>
  <c r="J367" i="8"/>
  <c r="H367" i="8"/>
  <c r="D367" i="8"/>
  <c r="B367" i="8"/>
  <c r="J366" i="8"/>
  <c r="H366" i="8"/>
  <c r="D366" i="8"/>
  <c r="B366" i="8"/>
  <c r="J365" i="8"/>
  <c r="H365" i="8"/>
  <c r="D365" i="8"/>
  <c r="B365" i="8"/>
  <c r="J364" i="8"/>
  <c r="H364" i="8"/>
  <c r="D364" i="8"/>
  <c r="B364" i="8"/>
  <c r="J363" i="8"/>
  <c r="H363" i="8"/>
  <c r="D363" i="8"/>
  <c r="B363" i="8"/>
  <c r="J362" i="8"/>
  <c r="H362" i="8"/>
  <c r="D362" i="8"/>
  <c r="B362" i="8"/>
  <c r="J361" i="8"/>
  <c r="H361" i="8"/>
  <c r="D361" i="8"/>
  <c r="B361" i="8"/>
  <c r="J360" i="8"/>
  <c r="H360" i="8"/>
  <c r="D360" i="8"/>
  <c r="B360" i="8"/>
  <c r="J359" i="8"/>
  <c r="H359" i="8"/>
  <c r="D359" i="8"/>
  <c r="B359" i="8"/>
  <c r="J358" i="8"/>
  <c r="H358" i="8"/>
  <c r="D358" i="8"/>
  <c r="B358" i="8"/>
  <c r="J357" i="8"/>
  <c r="H357" i="8"/>
  <c r="D357" i="8"/>
  <c r="B357" i="8"/>
  <c r="J356" i="8"/>
  <c r="H356" i="8"/>
  <c r="D356" i="8"/>
  <c r="B356" i="8"/>
  <c r="J355" i="8"/>
  <c r="H355" i="8"/>
  <c r="D355" i="8"/>
  <c r="B355" i="8"/>
  <c r="J354" i="8"/>
  <c r="H354" i="8"/>
  <c r="D354" i="8"/>
  <c r="B354" i="8"/>
  <c r="J353" i="8"/>
  <c r="H353" i="8"/>
  <c r="D353" i="8"/>
  <c r="B353" i="8"/>
  <c r="J352" i="8"/>
  <c r="H352" i="8"/>
  <c r="D352" i="8"/>
  <c r="B352" i="8"/>
  <c r="J351" i="8"/>
  <c r="H351" i="8"/>
  <c r="D351" i="8"/>
  <c r="B351" i="8"/>
  <c r="J350" i="8"/>
  <c r="H350" i="8"/>
  <c r="D350" i="8"/>
  <c r="B350" i="8"/>
  <c r="J349" i="8"/>
  <c r="H349" i="8"/>
  <c r="D349" i="8"/>
  <c r="B349" i="8"/>
  <c r="J348" i="8"/>
  <c r="H348" i="8"/>
  <c r="D348" i="8"/>
  <c r="B348" i="8"/>
  <c r="J347" i="8"/>
  <c r="H347" i="8"/>
  <c r="D347" i="8"/>
  <c r="B347" i="8"/>
  <c r="J346" i="8"/>
  <c r="H346" i="8"/>
  <c r="D346" i="8"/>
  <c r="B346" i="8"/>
  <c r="J345" i="8"/>
  <c r="H345" i="8"/>
  <c r="D345" i="8"/>
  <c r="B345" i="8"/>
  <c r="J344" i="8"/>
  <c r="H344" i="8"/>
  <c r="D344" i="8"/>
  <c r="B344" i="8"/>
  <c r="J343" i="8"/>
  <c r="H343" i="8"/>
  <c r="D343" i="8"/>
  <c r="B343" i="8"/>
  <c r="J342" i="8"/>
  <c r="H342" i="8"/>
  <c r="D342" i="8"/>
  <c r="B342" i="8"/>
  <c r="J341" i="8"/>
  <c r="H341" i="8"/>
  <c r="D341" i="8"/>
  <c r="B341" i="8"/>
  <c r="J340" i="8"/>
  <c r="H340" i="8"/>
  <c r="D340" i="8"/>
  <c r="B340" i="8"/>
  <c r="J339" i="8"/>
  <c r="H339" i="8"/>
  <c r="D339" i="8"/>
  <c r="B339" i="8"/>
  <c r="J338" i="8"/>
  <c r="H338" i="8"/>
  <c r="D338" i="8"/>
  <c r="B338" i="8"/>
  <c r="J337" i="8"/>
  <c r="H337" i="8"/>
  <c r="D337" i="8"/>
  <c r="B337" i="8"/>
  <c r="J336" i="8"/>
  <c r="H336" i="8"/>
  <c r="D336" i="8"/>
  <c r="B336" i="8"/>
  <c r="J335" i="8"/>
  <c r="H335" i="8"/>
  <c r="D335" i="8"/>
  <c r="B335" i="8"/>
  <c r="J334" i="8"/>
  <c r="H334" i="8"/>
  <c r="D334" i="8"/>
  <c r="B334" i="8"/>
  <c r="J333" i="8"/>
  <c r="H333" i="8"/>
  <c r="D333" i="8"/>
  <c r="B333" i="8"/>
  <c r="J332" i="8"/>
  <c r="H332" i="8"/>
  <c r="D332" i="8"/>
  <c r="B332" i="8"/>
  <c r="J331" i="8"/>
  <c r="H331" i="8"/>
  <c r="D331" i="8"/>
  <c r="B331" i="8"/>
  <c r="J330" i="8"/>
  <c r="H330" i="8"/>
  <c r="D330" i="8"/>
  <c r="B330" i="8"/>
  <c r="J329" i="8"/>
  <c r="H329" i="8"/>
  <c r="D329" i="8"/>
  <c r="B329" i="8"/>
  <c r="J328" i="8"/>
  <c r="H328" i="8"/>
  <c r="D328" i="8"/>
  <c r="B328" i="8"/>
  <c r="J327" i="8"/>
  <c r="H327" i="8"/>
  <c r="D327" i="8"/>
  <c r="B327" i="8"/>
  <c r="J326" i="8"/>
  <c r="H326" i="8"/>
  <c r="D326" i="8"/>
  <c r="B326" i="8"/>
  <c r="J325" i="8"/>
  <c r="H325" i="8"/>
  <c r="D325" i="8"/>
  <c r="B325" i="8"/>
  <c r="J324" i="8"/>
  <c r="H324" i="8"/>
  <c r="D324" i="8"/>
  <c r="B324" i="8"/>
  <c r="J323" i="8"/>
  <c r="H323" i="8"/>
  <c r="D323" i="8"/>
  <c r="B323" i="8"/>
  <c r="J322" i="8"/>
  <c r="H322" i="8"/>
  <c r="D322" i="8"/>
  <c r="B322" i="8"/>
  <c r="J321" i="8"/>
  <c r="H321" i="8"/>
  <c r="D321" i="8"/>
  <c r="B321" i="8"/>
  <c r="J320" i="8"/>
  <c r="H320" i="8"/>
  <c r="D320" i="8"/>
  <c r="B320" i="8"/>
  <c r="J319" i="8"/>
  <c r="H319" i="8"/>
  <c r="D319" i="8"/>
  <c r="B319" i="8"/>
  <c r="J318" i="8"/>
  <c r="H318" i="8"/>
  <c r="D318" i="8"/>
  <c r="B318" i="8"/>
  <c r="J317" i="8"/>
  <c r="H317" i="8"/>
  <c r="D317" i="8"/>
  <c r="B317" i="8"/>
  <c r="J316" i="8"/>
  <c r="H316" i="8"/>
  <c r="D316" i="8"/>
  <c r="B316" i="8"/>
  <c r="J315" i="8"/>
  <c r="H315" i="8"/>
  <c r="D315" i="8"/>
  <c r="B315" i="8"/>
  <c r="J314" i="8"/>
  <c r="H314" i="8"/>
  <c r="D314" i="8"/>
  <c r="B314" i="8"/>
  <c r="J313" i="8"/>
  <c r="H313" i="8"/>
  <c r="D313" i="8"/>
  <c r="B313" i="8"/>
  <c r="J312" i="8"/>
  <c r="H312" i="8"/>
  <c r="D312" i="8"/>
  <c r="B312" i="8"/>
  <c r="J311" i="8"/>
  <c r="H311" i="8"/>
  <c r="D311" i="8"/>
  <c r="B311" i="8"/>
  <c r="J310" i="8"/>
  <c r="H310" i="8"/>
  <c r="D310" i="8"/>
  <c r="B310" i="8"/>
  <c r="J309" i="8"/>
  <c r="H309" i="8"/>
  <c r="D309" i="8"/>
  <c r="B309" i="8"/>
  <c r="J308" i="8"/>
  <c r="H308" i="8"/>
  <c r="D308" i="8"/>
  <c r="B308" i="8"/>
  <c r="J307" i="8"/>
  <c r="H307" i="8"/>
  <c r="D307" i="8"/>
  <c r="B307" i="8"/>
  <c r="J306" i="8"/>
  <c r="H306" i="8"/>
  <c r="D306" i="8"/>
  <c r="B306" i="8"/>
  <c r="J305" i="8"/>
  <c r="H305" i="8"/>
  <c r="D305" i="8"/>
  <c r="B305" i="8"/>
  <c r="J304" i="8"/>
  <c r="H304" i="8"/>
  <c r="D304" i="8"/>
  <c r="B304" i="8"/>
  <c r="J303" i="8"/>
  <c r="H303" i="8"/>
  <c r="D303" i="8"/>
  <c r="B303" i="8"/>
  <c r="J302" i="8"/>
  <c r="H302" i="8"/>
  <c r="D302" i="8"/>
  <c r="B302" i="8"/>
  <c r="J301" i="8"/>
  <c r="H301" i="8"/>
  <c r="D301" i="8"/>
  <c r="B301" i="8"/>
  <c r="J300" i="8"/>
  <c r="H300" i="8"/>
  <c r="D300" i="8"/>
  <c r="B300" i="8"/>
  <c r="J299" i="8"/>
  <c r="H299" i="8"/>
  <c r="D299" i="8"/>
  <c r="B299" i="8"/>
  <c r="J298" i="8"/>
  <c r="H298" i="8"/>
  <c r="D298" i="8"/>
  <c r="B298" i="8"/>
  <c r="J297" i="8"/>
  <c r="H297" i="8"/>
  <c r="D297" i="8"/>
  <c r="B297" i="8"/>
  <c r="J296" i="8"/>
  <c r="H296" i="8"/>
  <c r="D296" i="8"/>
  <c r="B296" i="8"/>
  <c r="J295" i="8"/>
  <c r="H295" i="8"/>
  <c r="D295" i="8"/>
  <c r="B295" i="8"/>
  <c r="J294" i="8"/>
  <c r="H294" i="8"/>
  <c r="D294" i="8"/>
  <c r="B294" i="8"/>
  <c r="J293" i="8"/>
  <c r="H293" i="8"/>
  <c r="D293" i="8"/>
  <c r="B293" i="8"/>
  <c r="J292" i="8"/>
  <c r="H292" i="8"/>
  <c r="D292" i="8"/>
  <c r="B292" i="8"/>
  <c r="J291" i="8"/>
  <c r="H291" i="8"/>
  <c r="D291" i="8"/>
  <c r="B291" i="8"/>
  <c r="J290" i="8"/>
  <c r="H290" i="8"/>
  <c r="D290" i="8"/>
  <c r="B290" i="8"/>
  <c r="J289" i="8"/>
  <c r="H289" i="8"/>
  <c r="D289" i="8"/>
  <c r="B289" i="8"/>
  <c r="J288" i="8"/>
  <c r="H288" i="8"/>
  <c r="D288" i="8"/>
  <c r="B288" i="8"/>
  <c r="J287" i="8"/>
  <c r="H287" i="8"/>
  <c r="D287" i="8"/>
  <c r="B287" i="8"/>
  <c r="J286" i="8"/>
  <c r="H286" i="8"/>
  <c r="D286" i="8"/>
  <c r="B286" i="8"/>
  <c r="J285" i="8"/>
  <c r="H285" i="8"/>
  <c r="D285" i="8"/>
  <c r="B285" i="8"/>
  <c r="J284" i="8"/>
  <c r="H284" i="8"/>
  <c r="D284" i="8"/>
  <c r="B284" i="8"/>
  <c r="J283" i="8"/>
  <c r="H283" i="8"/>
  <c r="D283" i="8"/>
  <c r="B283" i="8"/>
  <c r="J282" i="8"/>
  <c r="H282" i="8"/>
  <c r="D282" i="8"/>
  <c r="B282" i="8"/>
  <c r="J281" i="8"/>
  <c r="H281" i="8"/>
  <c r="D281" i="8"/>
  <c r="B281" i="8"/>
  <c r="J280" i="8"/>
  <c r="H280" i="8"/>
  <c r="D280" i="8"/>
  <c r="B280" i="8"/>
  <c r="J279" i="8"/>
  <c r="H279" i="8"/>
  <c r="D279" i="8"/>
  <c r="B279" i="8"/>
  <c r="J278" i="8"/>
  <c r="H278" i="8"/>
  <c r="D278" i="8"/>
  <c r="B278" i="8"/>
  <c r="J277" i="8"/>
  <c r="H277" i="8"/>
  <c r="D277" i="8"/>
  <c r="B277" i="8"/>
  <c r="J276" i="8"/>
  <c r="H276" i="8"/>
  <c r="D276" i="8"/>
  <c r="B276" i="8"/>
  <c r="J275" i="8"/>
  <c r="H275" i="8"/>
  <c r="D275" i="8"/>
  <c r="B275" i="8"/>
  <c r="J274" i="8"/>
  <c r="H274" i="8"/>
  <c r="D274" i="8"/>
  <c r="B274" i="8"/>
  <c r="J273" i="8"/>
  <c r="H273" i="8"/>
  <c r="D273" i="8"/>
  <c r="B273" i="8"/>
  <c r="J272" i="8"/>
  <c r="H272" i="8"/>
  <c r="D272" i="8"/>
  <c r="B272" i="8"/>
  <c r="J271" i="8"/>
  <c r="H271" i="8"/>
  <c r="D271" i="8"/>
  <c r="B271" i="8"/>
  <c r="J270" i="8"/>
  <c r="H270" i="8"/>
  <c r="D270" i="8"/>
  <c r="B270" i="8"/>
  <c r="J269" i="8"/>
  <c r="H269" i="8"/>
  <c r="D269" i="8"/>
  <c r="B269" i="8"/>
  <c r="J268" i="8"/>
  <c r="H268" i="8"/>
  <c r="D268" i="8"/>
  <c r="B268" i="8"/>
  <c r="J267" i="8"/>
  <c r="H267" i="8"/>
  <c r="D267" i="8"/>
  <c r="B267" i="8"/>
  <c r="J266" i="8"/>
  <c r="H266" i="8"/>
  <c r="D266" i="8"/>
  <c r="B266" i="8"/>
  <c r="J265" i="8"/>
  <c r="H265" i="8"/>
  <c r="D265" i="8"/>
  <c r="B265" i="8"/>
  <c r="J264" i="8"/>
  <c r="H264" i="8"/>
  <c r="D264" i="8"/>
  <c r="B264" i="8"/>
  <c r="J263" i="8"/>
  <c r="H263" i="8"/>
  <c r="D263" i="8"/>
  <c r="B263" i="8"/>
  <c r="J262" i="8"/>
  <c r="H262" i="8"/>
  <c r="D262" i="8"/>
  <c r="B262" i="8"/>
  <c r="J261" i="8"/>
  <c r="H261" i="8"/>
  <c r="D261" i="8"/>
  <c r="B261" i="8"/>
  <c r="J260" i="8"/>
  <c r="H260" i="8"/>
  <c r="D260" i="8"/>
  <c r="B260" i="8"/>
  <c r="J259" i="8"/>
  <c r="H259" i="8"/>
  <c r="D259" i="8"/>
  <c r="B259" i="8"/>
  <c r="J258" i="8"/>
  <c r="H258" i="8"/>
  <c r="D258" i="8"/>
  <c r="B258" i="8"/>
  <c r="J257" i="8"/>
  <c r="H257" i="8"/>
  <c r="D257" i="8"/>
  <c r="B257" i="8"/>
  <c r="J256" i="8"/>
  <c r="H256" i="8"/>
  <c r="D256" i="8"/>
  <c r="B256" i="8"/>
  <c r="J255" i="8"/>
  <c r="H255" i="8"/>
  <c r="D255" i="8"/>
  <c r="B255" i="8"/>
  <c r="J254" i="8"/>
  <c r="H254" i="8"/>
  <c r="D254" i="8"/>
  <c r="B254" i="8"/>
  <c r="J253" i="8"/>
  <c r="H253" i="8"/>
  <c r="D253" i="8"/>
  <c r="B253" i="8"/>
  <c r="J252" i="8"/>
  <c r="H252" i="8"/>
  <c r="D252" i="8"/>
  <c r="B252" i="8"/>
  <c r="J251" i="8"/>
  <c r="H251" i="8"/>
  <c r="D251" i="8"/>
  <c r="B251" i="8"/>
  <c r="J250" i="8"/>
  <c r="H250" i="8"/>
  <c r="D250" i="8"/>
  <c r="B250" i="8"/>
  <c r="J249" i="8"/>
  <c r="H249" i="8"/>
  <c r="D249" i="8"/>
  <c r="B249" i="8"/>
  <c r="J248" i="8"/>
  <c r="H248" i="8"/>
  <c r="D248" i="8"/>
  <c r="B248" i="8"/>
  <c r="J247" i="8"/>
  <c r="H247" i="8"/>
  <c r="D247" i="8"/>
  <c r="B247" i="8"/>
  <c r="J246" i="8"/>
  <c r="H246" i="8"/>
  <c r="D246" i="8"/>
  <c r="B246" i="8"/>
  <c r="J245" i="8"/>
  <c r="H245" i="8"/>
  <c r="D245" i="8"/>
  <c r="B245" i="8"/>
  <c r="J244" i="8"/>
  <c r="H244" i="8"/>
  <c r="D244" i="8"/>
  <c r="B244" i="8"/>
  <c r="J243" i="8"/>
  <c r="H243" i="8"/>
  <c r="D243" i="8"/>
  <c r="B243" i="8"/>
  <c r="J242" i="8"/>
  <c r="H242" i="8"/>
  <c r="D242" i="8"/>
  <c r="B242" i="8"/>
  <c r="J241" i="8"/>
  <c r="H241" i="8"/>
  <c r="D241" i="8"/>
  <c r="B241" i="8"/>
  <c r="J240" i="8"/>
  <c r="H240" i="8"/>
  <c r="D240" i="8"/>
  <c r="B240" i="8"/>
  <c r="J239" i="8"/>
  <c r="H239" i="8"/>
  <c r="D239" i="8"/>
  <c r="B239" i="8"/>
  <c r="J238" i="8"/>
  <c r="H238" i="8"/>
  <c r="D238" i="8"/>
  <c r="B238" i="8"/>
  <c r="J237" i="8"/>
  <c r="H237" i="8"/>
  <c r="D237" i="8"/>
  <c r="B237" i="8"/>
  <c r="J236" i="8"/>
  <c r="H236" i="8"/>
  <c r="D236" i="8"/>
  <c r="B236" i="8"/>
  <c r="J235" i="8"/>
  <c r="H235" i="8"/>
  <c r="D235" i="8"/>
  <c r="B235" i="8"/>
  <c r="J234" i="8"/>
  <c r="H234" i="8"/>
  <c r="D234" i="8"/>
  <c r="B234" i="8"/>
  <c r="J233" i="8"/>
  <c r="H233" i="8"/>
  <c r="D233" i="8"/>
  <c r="B233" i="8"/>
  <c r="J232" i="8"/>
  <c r="H232" i="8"/>
  <c r="D232" i="8"/>
  <c r="B232" i="8"/>
  <c r="J231" i="8"/>
  <c r="H231" i="8"/>
  <c r="D231" i="8"/>
  <c r="B231" i="8"/>
  <c r="J230" i="8"/>
  <c r="H230" i="8"/>
  <c r="D230" i="8"/>
  <c r="B230" i="8"/>
  <c r="J229" i="8"/>
  <c r="H229" i="8"/>
  <c r="D229" i="8"/>
  <c r="B229" i="8"/>
  <c r="J228" i="8"/>
  <c r="H228" i="8"/>
  <c r="D228" i="8"/>
  <c r="B228" i="8"/>
  <c r="J227" i="8"/>
  <c r="H227" i="8"/>
  <c r="D227" i="8"/>
  <c r="B227" i="8"/>
  <c r="J226" i="8"/>
  <c r="H226" i="8"/>
  <c r="D226" i="8"/>
  <c r="B226" i="8"/>
  <c r="J225" i="8"/>
  <c r="H225" i="8"/>
  <c r="D225" i="8"/>
  <c r="B225" i="8"/>
  <c r="J224" i="8"/>
  <c r="H224" i="8"/>
  <c r="D224" i="8"/>
  <c r="B224" i="8"/>
  <c r="J223" i="8"/>
  <c r="H223" i="8"/>
  <c r="D223" i="8"/>
  <c r="B223" i="8"/>
  <c r="J222" i="8"/>
  <c r="H222" i="8"/>
  <c r="D222" i="8"/>
  <c r="B222" i="8"/>
  <c r="J221" i="8"/>
  <c r="H221" i="8"/>
  <c r="D221" i="8"/>
  <c r="B221" i="8"/>
  <c r="J220" i="8"/>
  <c r="H220" i="8"/>
  <c r="D220" i="8"/>
  <c r="B220" i="8"/>
  <c r="J219" i="8"/>
  <c r="H219" i="8"/>
  <c r="D219" i="8"/>
  <c r="B219" i="8"/>
  <c r="J218" i="8"/>
  <c r="H218" i="8"/>
  <c r="D218" i="8"/>
  <c r="B218" i="8"/>
  <c r="J217" i="8"/>
  <c r="H217" i="8"/>
  <c r="D217" i="8"/>
  <c r="B217" i="8"/>
  <c r="J216" i="8"/>
  <c r="H216" i="8"/>
  <c r="D216" i="8"/>
  <c r="B216" i="8"/>
  <c r="J215" i="8"/>
  <c r="H215" i="8"/>
  <c r="D215" i="8"/>
  <c r="B215" i="8"/>
  <c r="J214" i="8"/>
  <c r="H214" i="8"/>
  <c r="D214" i="8"/>
  <c r="B214" i="8"/>
  <c r="J213" i="8"/>
  <c r="H213" i="8"/>
  <c r="D213" i="8"/>
  <c r="B213" i="8"/>
  <c r="J212" i="8"/>
  <c r="H212" i="8"/>
  <c r="D212" i="8"/>
  <c r="B212" i="8"/>
  <c r="J211" i="8"/>
  <c r="H211" i="8"/>
  <c r="D211" i="8"/>
  <c r="B211" i="8"/>
  <c r="J210" i="8"/>
  <c r="H210" i="8"/>
  <c r="D210" i="8"/>
  <c r="B210" i="8"/>
  <c r="J209" i="8"/>
  <c r="H209" i="8"/>
  <c r="D209" i="8"/>
  <c r="B209" i="8"/>
  <c r="J208" i="8"/>
  <c r="H208" i="8"/>
  <c r="D208" i="8"/>
  <c r="B208" i="8"/>
  <c r="J207" i="8"/>
  <c r="H207" i="8"/>
  <c r="D207" i="8"/>
  <c r="B207" i="8"/>
  <c r="J206" i="8"/>
  <c r="H206" i="8"/>
  <c r="D206" i="8"/>
  <c r="B206" i="8"/>
  <c r="J205" i="8"/>
  <c r="H205" i="8"/>
  <c r="D205" i="8"/>
  <c r="B205" i="8"/>
  <c r="J204" i="8"/>
  <c r="H204" i="8"/>
  <c r="D204" i="8"/>
  <c r="B204" i="8"/>
  <c r="J203" i="8"/>
  <c r="H203" i="8"/>
  <c r="D203" i="8"/>
  <c r="B203" i="8"/>
  <c r="J202" i="8"/>
  <c r="H202" i="8"/>
  <c r="D202" i="8"/>
  <c r="B202" i="8"/>
  <c r="J201" i="8"/>
  <c r="H201" i="8"/>
  <c r="D201" i="8"/>
  <c r="B201" i="8"/>
  <c r="J200" i="8"/>
  <c r="H200" i="8"/>
  <c r="D200" i="8"/>
  <c r="B200" i="8"/>
  <c r="J199" i="8"/>
  <c r="H199" i="8"/>
  <c r="D199" i="8"/>
  <c r="B199" i="8"/>
  <c r="J198" i="8"/>
  <c r="H198" i="8"/>
  <c r="D198" i="8"/>
  <c r="B198" i="8"/>
  <c r="J197" i="8"/>
  <c r="H197" i="8"/>
  <c r="D197" i="8"/>
  <c r="B197" i="8"/>
  <c r="J196" i="8"/>
  <c r="H196" i="8"/>
  <c r="D196" i="8"/>
  <c r="B196" i="8"/>
  <c r="J195" i="8"/>
  <c r="H195" i="8"/>
  <c r="D195" i="8"/>
  <c r="B195" i="8"/>
  <c r="J194" i="8"/>
  <c r="H194" i="8"/>
  <c r="D194" i="8"/>
  <c r="B194" i="8"/>
  <c r="J193" i="8"/>
  <c r="H193" i="8"/>
  <c r="D193" i="8"/>
  <c r="B193" i="8"/>
  <c r="J192" i="8"/>
  <c r="H192" i="8"/>
  <c r="D192" i="8"/>
  <c r="B192" i="8"/>
  <c r="J191" i="8"/>
  <c r="H191" i="8"/>
  <c r="D191" i="8"/>
  <c r="B191" i="8"/>
  <c r="J190" i="8"/>
  <c r="H190" i="8"/>
  <c r="D190" i="8"/>
  <c r="B190" i="8"/>
  <c r="J189" i="8"/>
  <c r="H189" i="8"/>
  <c r="D189" i="8"/>
  <c r="B189" i="8"/>
  <c r="J188" i="8"/>
  <c r="H188" i="8"/>
  <c r="D188" i="8"/>
  <c r="B188" i="8"/>
  <c r="J187" i="8"/>
  <c r="H187" i="8"/>
  <c r="D187" i="8"/>
  <c r="B187" i="8"/>
  <c r="J186" i="8"/>
  <c r="H186" i="8"/>
  <c r="D186" i="8"/>
  <c r="B186" i="8"/>
  <c r="J185" i="8"/>
  <c r="H185" i="8"/>
  <c r="D185" i="8"/>
  <c r="B185" i="8"/>
  <c r="J184" i="8"/>
  <c r="H184" i="8"/>
  <c r="D184" i="8"/>
  <c r="B184" i="8"/>
  <c r="J183" i="8"/>
  <c r="H183" i="8"/>
  <c r="D183" i="8"/>
  <c r="B183" i="8"/>
  <c r="J182" i="8"/>
  <c r="H182" i="8"/>
  <c r="D182" i="8"/>
  <c r="B182" i="8"/>
  <c r="J181" i="8"/>
  <c r="H181" i="8"/>
  <c r="D181" i="8"/>
  <c r="B181" i="8"/>
  <c r="J180" i="8"/>
  <c r="H180" i="8"/>
  <c r="D180" i="8"/>
  <c r="B180" i="8"/>
  <c r="J179" i="8"/>
  <c r="H179" i="8"/>
  <c r="D179" i="8"/>
  <c r="B179" i="8"/>
  <c r="J178" i="8"/>
  <c r="H178" i="8"/>
  <c r="D178" i="8"/>
  <c r="B178" i="8"/>
  <c r="J177" i="8"/>
  <c r="H177" i="8"/>
  <c r="D177" i="8"/>
  <c r="B177" i="8"/>
  <c r="J176" i="8"/>
  <c r="H176" i="8"/>
  <c r="D176" i="8"/>
  <c r="B176" i="8"/>
  <c r="J175" i="8"/>
  <c r="H175" i="8"/>
  <c r="D175" i="8"/>
  <c r="B175" i="8"/>
  <c r="J174" i="8"/>
  <c r="H174" i="8"/>
  <c r="D174" i="8"/>
  <c r="B174" i="8"/>
  <c r="J173" i="8"/>
  <c r="H173" i="8"/>
  <c r="D173" i="8"/>
  <c r="B173" i="8"/>
  <c r="J172" i="8"/>
  <c r="H172" i="8"/>
  <c r="D172" i="8"/>
  <c r="B172" i="8"/>
  <c r="J171" i="8"/>
  <c r="H171" i="8"/>
  <c r="D171" i="8"/>
  <c r="B171" i="8"/>
  <c r="J170" i="8"/>
  <c r="H170" i="8"/>
  <c r="D170" i="8"/>
  <c r="B170" i="8"/>
  <c r="J169" i="8"/>
  <c r="H169" i="8"/>
  <c r="D169" i="8"/>
  <c r="B169" i="8"/>
  <c r="J168" i="8"/>
  <c r="H168" i="8"/>
  <c r="D168" i="8"/>
  <c r="B168" i="8"/>
  <c r="J167" i="8"/>
  <c r="H167" i="8"/>
  <c r="D167" i="8"/>
  <c r="B167" i="8"/>
  <c r="J166" i="8"/>
  <c r="H166" i="8"/>
  <c r="D166" i="8"/>
  <c r="B166" i="8"/>
  <c r="J165" i="8"/>
  <c r="H165" i="8"/>
  <c r="D165" i="8"/>
  <c r="B165" i="8"/>
  <c r="J164" i="8"/>
  <c r="H164" i="8"/>
  <c r="D164" i="8"/>
  <c r="B164" i="8"/>
  <c r="J163" i="8"/>
  <c r="H163" i="8"/>
  <c r="D163" i="8"/>
  <c r="B163" i="8"/>
  <c r="J162" i="8"/>
  <c r="H162" i="8"/>
  <c r="D162" i="8"/>
  <c r="B162" i="8"/>
  <c r="J161" i="8"/>
  <c r="H161" i="8"/>
  <c r="D161" i="8"/>
  <c r="B161" i="8"/>
  <c r="J160" i="8"/>
  <c r="H160" i="8"/>
  <c r="D160" i="8"/>
  <c r="B160" i="8"/>
  <c r="J159" i="8"/>
  <c r="H159" i="8"/>
  <c r="D159" i="8"/>
  <c r="B159" i="8"/>
  <c r="J158" i="8"/>
  <c r="H158" i="8"/>
  <c r="D158" i="8"/>
  <c r="B158" i="8"/>
  <c r="J157" i="8"/>
  <c r="H157" i="8"/>
  <c r="D157" i="8"/>
  <c r="B157" i="8"/>
  <c r="J156" i="8"/>
  <c r="H156" i="8"/>
  <c r="D156" i="8"/>
  <c r="B156" i="8"/>
  <c r="J155" i="8"/>
  <c r="H155" i="8"/>
  <c r="D155" i="8"/>
  <c r="B155" i="8"/>
  <c r="J154" i="8"/>
  <c r="H154" i="8"/>
  <c r="D154" i="8"/>
  <c r="B154" i="8"/>
  <c r="J153" i="8"/>
  <c r="H153" i="8"/>
  <c r="D153" i="8"/>
  <c r="B153" i="8"/>
  <c r="J152" i="8"/>
  <c r="H152" i="8"/>
  <c r="D152" i="8"/>
  <c r="B152" i="8"/>
  <c r="J151" i="8"/>
  <c r="H151" i="8"/>
  <c r="D151" i="8"/>
  <c r="B151" i="8"/>
  <c r="J150" i="8"/>
  <c r="H150" i="8"/>
  <c r="D150" i="8"/>
  <c r="B150" i="8"/>
  <c r="J149" i="8"/>
  <c r="H149" i="8"/>
  <c r="D149" i="8"/>
  <c r="B149" i="8"/>
  <c r="J148" i="8"/>
  <c r="H148" i="8"/>
  <c r="D148" i="8"/>
  <c r="B148" i="8"/>
  <c r="J147" i="8"/>
  <c r="H147" i="8"/>
  <c r="D147" i="8"/>
  <c r="B147" i="8"/>
  <c r="J146" i="8"/>
  <c r="H146" i="8"/>
  <c r="D146" i="8"/>
  <c r="B146" i="8"/>
  <c r="J145" i="8"/>
  <c r="H145" i="8"/>
  <c r="D145" i="8"/>
  <c r="B145" i="8"/>
  <c r="J144" i="8"/>
  <c r="H144" i="8"/>
  <c r="D144" i="8"/>
  <c r="B144" i="8"/>
  <c r="J143" i="8"/>
  <c r="H143" i="8"/>
  <c r="D143" i="8"/>
  <c r="B143" i="8"/>
  <c r="J142" i="8"/>
  <c r="H142" i="8"/>
  <c r="D142" i="8"/>
  <c r="B142" i="8"/>
  <c r="J141" i="8"/>
  <c r="H141" i="8"/>
  <c r="D141" i="8"/>
  <c r="B141" i="8"/>
  <c r="J140" i="8"/>
  <c r="H140" i="8"/>
  <c r="D140" i="8"/>
  <c r="B140" i="8"/>
  <c r="J139" i="8"/>
  <c r="H139" i="8"/>
  <c r="D139" i="8"/>
  <c r="B139" i="8"/>
  <c r="J138" i="8"/>
  <c r="H138" i="8"/>
  <c r="D138" i="8"/>
  <c r="B138" i="8"/>
  <c r="J137" i="8"/>
  <c r="H137" i="8"/>
  <c r="D137" i="8"/>
  <c r="B137" i="8"/>
  <c r="J136" i="8"/>
  <c r="H136" i="8"/>
  <c r="D136" i="8"/>
  <c r="B136" i="8"/>
  <c r="J135" i="8"/>
  <c r="H135" i="8"/>
  <c r="D135" i="8"/>
  <c r="B135" i="8"/>
  <c r="J134" i="8"/>
  <c r="H134" i="8"/>
  <c r="D134" i="8"/>
  <c r="B134" i="8"/>
  <c r="J133" i="8"/>
  <c r="H133" i="8"/>
  <c r="D133" i="8"/>
  <c r="B133" i="8"/>
  <c r="J132" i="8"/>
  <c r="H132" i="8"/>
  <c r="D132" i="8"/>
  <c r="B132" i="8"/>
  <c r="J131" i="8"/>
  <c r="H131" i="8"/>
  <c r="D131" i="8"/>
  <c r="B131" i="8"/>
  <c r="J130" i="8"/>
  <c r="H130" i="8"/>
  <c r="D130" i="8"/>
  <c r="B130" i="8"/>
  <c r="J129" i="8"/>
  <c r="H129" i="8"/>
  <c r="D129" i="8"/>
  <c r="B129" i="8"/>
  <c r="J128" i="8"/>
  <c r="H128" i="8"/>
  <c r="D128" i="8"/>
  <c r="B128" i="8"/>
  <c r="J127" i="8"/>
  <c r="H127" i="8"/>
  <c r="D127" i="8"/>
  <c r="B127" i="8"/>
  <c r="J126" i="8"/>
  <c r="H126" i="8"/>
  <c r="D126" i="8"/>
  <c r="B126" i="8"/>
  <c r="U125" i="8"/>
  <c r="T125" i="8"/>
  <c r="S125" i="8"/>
  <c r="P125" i="8"/>
  <c r="J125" i="8"/>
  <c r="H125" i="8"/>
  <c r="D125" i="8"/>
  <c r="B125" i="8"/>
  <c r="U124" i="8"/>
  <c r="T124" i="8"/>
  <c r="S124" i="8"/>
  <c r="P124" i="8"/>
  <c r="J124" i="8"/>
  <c r="H124" i="8"/>
  <c r="D124" i="8"/>
  <c r="B124" i="8"/>
  <c r="U123" i="8"/>
  <c r="T123" i="8"/>
  <c r="S123" i="8"/>
  <c r="P123" i="8"/>
  <c r="J123" i="8"/>
  <c r="H123" i="8"/>
  <c r="D123" i="8"/>
  <c r="B123" i="8"/>
  <c r="U122" i="8"/>
  <c r="T122" i="8"/>
  <c r="S122" i="8"/>
  <c r="P122" i="8"/>
  <c r="J122" i="8"/>
  <c r="H122" i="8"/>
  <c r="D122" i="8"/>
  <c r="B122" i="8"/>
  <c r="U121" i="8"/>
  <c r="T121" i="8"/>
  <c r="S121" i="8"/>
  <c r="P121" i="8"/>
  <c r="J121" i="8"/>
  <c r="H121" i="8"/>
  <c r="D121" i="8"/>
  <c r="B121" i="8"/>
  <c r="U120" i="8"/>
  <c r="T120" i="8"/>
  <c r="S120" i="8"/>
  <c r="P120" i="8"/>
  <c r="J120" i="8"/>
  <c r="H120" i="8"/>
  <c r="D120" i="8"/>
  <c r="B120" i="8"/>
  <c r="U119" i="8"/>
  <c r="T119" i="8"/>
  <c r="S119" i="8"/>
  <c r="P119" i="8"/>
  <c r="J119" i="8"/>
  <c r="H119" i="8"/>
  <c r="D119" i="8"/>
  <c r="B119" i="8"/>
  <c r="U118" i="8"/>
  <c r="T118" i="8"/>
  <c r="S118" i="8"/>
  <c r="P118" i="8"/>
  <c r="J118" i="8"/>
  <c r="H118" i="8"/>
  <c r="D118" i="8"/>
  <c r="B118" i="8"/>
  <c r="O117" i="8"/>
  <c r="P117" i="8" s="1"/>
  <c r="J117" i="8"/>
  <c r="H117" i="8"/>
  <c r="D117" i="8"/>
  <c r="B117" i="8"/>
  <c r="O116" i="8"/>
  <c r="P116" i="8" s="1"/>
  <c r="U116" i="8" s="1"/>
  <c r="J116" i="8"/>
  <c r="H116" i="8"/>
  <c r="D116" i="8"/>
  <c r="B116" i="8"/>
  <c r="O115" i="8"/>
  <c r="P115" i="8" s="1"/>
  <c r="J115" i="8"/>
  <c r="H115" i="8"/>
  <c r="D115" i="8"/>
  <c r="B115" i="8"/>
  <c r="O114" i="8"/>
  <c r="P114" i="8" s="1"/>
  <c r="J114" i="8"/>
  <c r="H114" i="8"/>
  <c r="D114" i="8"/>
  <c r="B114" i="8"/>
  <c r="O113" i="8"/>
  <c r="P113" i="8" s="1"/>
  <c r="J113" i="8"/>
  <c r="H113" i="8"/>
  <c r="D113" i="8"/>
  <c r="B113" i="8"/>
  <c r="O112" i="8"/>
  <c r="P112" i="8" s="1"/>
  <c r="J112" i="8"/>
  <c r="H112" i="8"/>
  <c r="D112" i="8"/>
  <c r="B112" i="8"/>
  <c r="O111" i="8"/>
  <c r="P111" i="8" s="1"/>
  <c r="J111" i="8"/>
  <c r="H111" i="8"/>
  <c r="D111" i="8"/>
  <c r="B111" i="8"/>
  <c r="O110" i="8"/>
  <c r="P110" i="8" s="1"/>
  <c r="J110" i="8"/>
  <c r="H110" i="8"/>
  <c r="D110" i="8"/>
  <c r="B110" i="8"/>
  <c r="O109" i="8"/>
  <c r="P109" i="8" s="1"/>
  <c r="U109" i="8" s="1"/>
  <c r="J109" i="8"/>
  <c r="H109" i="8"/>
  <c r="D109" i="8"/>
  <c r="B109" i="8"/>
  <c r="O108" i="8"/>
  <c r="P108" i="8" s="1"/>
  <c r="U108" i="8" s="1"/>
  <c r="J108" i="8"/>
  <c r="H108" i="8"/>
  <c r="D108" i="8"/>
  <c r="B108" i="8"/>
  <c r="O107" i="8"/>
  <c r="P107" i="8" s="1"/>
  <c r="J107" i="8"/>
  <c r="H107" i="8"/>
  <c r="D107" i="8"/>
  <c r="B107" i="8"/>
  <c r="O106" i="8"/>
  <c r="P106" i="8" s="1"/>
  <c r="T106" i="8" s="1"/>
  <c r="S106" i="8" s="1"/>
  <c r="J106" i="8"/>
  <c r="H106" i="8"/>
  <c r="D106" i="8"/>
  <c r="B106" i="8"/>
  <c r="O105" i="8"/>
  <c r="P105" i="8" s="1"/>
  <c r="U105" i="8" s="1"/>
  <c r="J105" i="8"/>
  <c r="H105" i="8"/>
  <c r="D105" i="8"/>
  <c r="B105" i="8"/>
  <c r="O104" i="8"/>
  <c r="P104" i="8" s="1"/>
  <c r="J104" i="8"/>
  <c r="H104" i="8"/>
  <c r="D104" i="8"/>
  <c r="B104" i="8"/>
  <c r="O103" i="8"/>
  <c r="P103" i="8" s="1"/>
  <c r="J103" i="8"/>
  <c r="H103" i="8"/>
  <c r="D103" i="8"/>
  <c r="B103" i="8"/>
  <c r="O102" i="8"/>
  <c r="P102" i="8" s="1"/>
  <c r="J102" i="8"/>
  <c r="H102" i="8"/>
  <c r="D102" i="8"/>
  <c r="B102" i="8"/>
  <c r="O101" i="8"/>
  <c r="P101" i="8" s="1"/>
  <c r="J101" i="8"/>
  <c r="H101" i="8"/>
  <c r="D101" i="8"/>
  <c r="B101" i="8"/>
  <c r="O100" i="8"/>
  <c r="P100" i="8" s="1"/>
  <c r="U100" i="8" s="1"/>
  <c r="J100" i="8"/>
  <c r="H100" i="8"/>
  <c r="D100" i="8"/>
  <c r="B100" i="8"/>
  <c r="O99" i="8"/>
  <c r="P99" i="8" s="1"/>
  <c r="J99" i="8"/>
  <c r="H99" i="8"/>
  <c r="D99" i="8"/>
  <c r="B99" i="8"/>
  <c r="O98" i="8"/>
  <c r="P98" i="8" s="1"/>
  <c r="J98" i="8"/>
  <c r="H98" i="8"/>
  <c r="D98" i="8"/>
  <c r="B98" i="8"/>
  <c r="O97" i="8"/>
  <c r="P97" i="8" s="1"/>
  <c r="J97" i="8"/>
  <c r="H97" i="8"/>
  <c r="D97" i="8"/>
  <c r="B97" i="8"/>
  <c r="O96" i="8"/>
  <c r="P96" i="8" s="1"/>
  <c r="T96" i="8" s="1"/>
  <c r="S96" i="8" s="1"/>
  <c r="J96" i="8"/>
  <c r="H96" i="8"/>
  <c r="D96" i="8"/>
  <c r="B96" i="8"/>
  <c r="O95" i="8"/>
  <c r="P95" i="8" s="1"/>
  <c r="J95" i="8"/>
  <c r="H95" i="8"/>
  <c r="D95" i="8"/>
  <c r="B95" i="8"/>
  <c r="O94" i="8"/>
  <c r="P94" i="8" s="1"/>
  <c r="J94" i="8"/>
  <c r="H94" i="8"/>
  <c r="D94" i="8"/>
  <c r="B94" i="8"/>
  <c r="O93" i="8"/>
  <c r="P93" i="8" s="1"/>
  <c r="J93" i="8"/>
  <c r="H93" i="8"/>
  <c r="D93" i="8"/>
  <c r="B93" i="8"/>
  <c r="O92" i="8"/>
  <c r="P92" i="8" s="1"/>
  <c r="U92" i="8" s="1"/>
  <c r="J92" i="8"/>
  <c r="H92" i="8"/>
  <c r="D92" i="8"/>
  <c r="B92" i="8"/>
  <c r="O91" i="8"/>
  <c r="P91" i="8" s="1"/>
  <c r="T91" i="8" s="1"/>
  <c r="S91" i="8" s="1"/>
  <c r="J91" i="8"/>
  <c r="H91" i="8"/>
  <c r="D91" i="8"/>
  <c r="B91" i="8"/>
  <c r="O90" i="8"/>
  <c r="P90" i="8" s="1"/>
  <c r="T90" i="8" s="1"/>
  <c r="S90" i="8" s="1"/>
  <c r="J90" i="8"/>
  <c r="H90" i="8"/>
  <c r="D90" i="8"/>
  <c r="B90" i="8"/>
  <c r="O89" i="8"/>
  <c r="P89" i="8" s="1"/>
  <c r="U89" i="8" s="1"/>
  <c r="J89" i="8"/>
  <c r="H89" i="8"/>
  <c r="D89" i="8"/>
  <c r="B89" i="8"/>
  <c r="O88" i="8"/>
  <c r="P88" i="8" s="1"/>
  <c r="J88" i="8"/>
  <c r="H88" i="8"/>
  <c r="D88" i="8"/>
  <c r="B88" i="8"/>
  <c r="O87" i="8"/>
  <c r="P87" i="8" s="1"/>
  <c r="J87" i="8"/>
  <c r="H87" i="8"/>
  <c r="D87" i="8"/>
  <c r="B87" i="8"/>
  <c r="O86" i="8"/>
  <c r="P86" i="8" s="1"/>
  <c r="U86" i="8" s="1"/>
  <c r="J86" i="8"/>
  <c r="H86" i="8"/>
  <c r="D86" i="8"/>
  <c r="B86" i="8"/>
  <c r="O85" i="8"/>
  <c r="P85" i="8" s="1"/>
  <c r="U85" i="8" s="1"/>
  <c r="J85" i="8"/>
  <c r="H85" i="8"/>
  <c r="D85" i="8"/>
  <c r="B85" i="8"/>
  <c r="O84" i="8"/>
  <c r="P84" i="8" s="1"/>
  <c r="U84" i="8" s="1"/>
  <c r="J84" i="8"/>
  <c r="H84" i="8"/>
  <c r="D84" i="8"/>
  <c r="B84" i="8"/>
  <c r="O83" i="8"/>
  <c r="P83" i="8" s="1"/>
  <c r="J83" i="8"/>
  <c r="H83" i="8"/>
  <c r="D83" i="8"/>
  <c r="B83" i="8"/>
  <c r="O82" i="8"/>
  <c r="P82" i="8" s="1"/>
  <c r="J82" i="8"/>
  <c r="H82" i="8"/>
  <c r="D82" i="8"/>
  <c r="B82" i="8"/>
  <c r="O81" i="8"/>
  <c r="P81" i="8" s="1"/>
  <c r="J81" i="8"/>
  <c r="H81" i="8"/>
  <c r="D81" i="8"/>
  <c r="B81" i="8"/>
  <c r="O80" i="8"/>
  <c r="P80" i="8" s="1"/>
  <c r="J80" i="8"/>
  <c r="H80" i="8"/>
  <c r="D80" i="8"/>
  <c r="B80" i="8"/>
  <c r="O79" i="8"/>
  <c r="P79" i="8" s="1"/>
  <c r="J79" i="8"/>
  <c r="H79" i="8"/>
  <c r="D79" i="8"/>
  <c r="B79" i="8"/>
  <c r="O78" i="8"/>
  <c r="P78" i="8" s="1"/>
  <c r="J78" i="8"/>
  <c r="H78" i="8"/>
  <c r="D78" i="8"/>
  <c r="B78" i="8"/>
  <c r="O77" i="8"/>
  <c r="P77" i="8" s="1"/>
  <c r="J77" i="8"/>
  <c r="H77" i="8"/>
  <c r="D77" i="8"/>
  <c r="B77" i="8"/>
  <c r="O76" i="8"/>
  <c r="P76" i="8" s="1"/>
  <c r="U76" i="8" s="1"/>
  <c r="J76" i="8"/>
  <c r="H76" i="8"/>
  <c r="D76" i="8"/>
  <c r="B76" i="8"/>
  <c r="O75" i="8"/>
  <c r="P75" i="8" s="1"/>
  <c r="T75" i="8" s="1"/>
  <c r="S75" i="8" s="1"/>
  <c r="J75" i="8"/>
  <c r="H75" i="8"/>
  <c r="D75" i="8"/>
  <c r="B75" i="8"/>
  <c r="O74" i="8"/>
  <c r="P74" i="8" s="1"/>
  <c r="T74" i="8" s="1"/>
  <c r="S74" i="8" s="1"/>
  <c r="J74" i="8"/>
  <c r="H74" i="8"/>
  <c r="D74" i="8"/>
  <c r="B74" i="8"/>
  <c r="O73" i="8"/>
  <c r="P73" i="8" s="1"/>
  <c r="U73" i="8" s="1"/>
  <c r="J73" i="8"/>
  <c r="H73" i="8"/>
  <c r="D73" i="8"/>
  <c r="B73" i="8"/>
  <c r="O72" i="8"/>
  <c r="P72" i="8" s="1"/>
  <c r="J72" i="8"/>
  <c r="H72" i="8"/>
  <c r="D72" i="8"/>
  <c r="B72" i="8"/>
  <c r="O71" i="8"/>
  <c r="P71" i="8" s="1"/>
  <c r="J71" i="8"/>
  <c r="H71" i="8"/>
  <c r="D71" i="8"/>
  <c r="B71" i="8"/>
  <c r="O70" i="8"/>
  <c r="P70" i="8" s="1"/>
  <c r="U70" i="8" s="1"/>
  <c r="J70" i="8"/>
  <c r="H70" i="8"/>
  <c r="D70" i="8"/>
  <c r="B70" i="8"/>
  <c r="O69" i="8"/>
  <c r="P69" i="8" s="1"/>
  <c r="U69" i="8" s="1"/>
  <c r="J69" i="8"/>
  <c r="H69" i="8"/>
  <c r="D69" i="8"/>
  <c r="B69" i="8"/>
  <c r="O68" i="8"/>
  <c r="P68" i="8" s="1"/>
  <c r="U68" i="8" s="1"/>
  <c r="J68" i="8"/>
  <c r="H68" i="8"/>
  <c r="D68" i="8"/>
  <c r="B68" i="8"/>
  <c r="O67" i="8"/>
  <c r="P67" i="8" s="1"/>
  <c r="J67" i="8"/>
  <c r="H67" i="8"/>
  <c r="D67" i="8"/>
  <c r="B67" i="8"/>
  <c r="O66" i="8"/>
  <c r="P66" i="8" s="1"/>
  <c r="J66" i="8"/>
  <c r="H66" i="8"/>
  <c r="D66" i="8"/>
  <c r="B66" i="8"/>
  <c r="O65" i="8"/>
  <c r="P65" i="8" s="1"/>
  <c r="J65" i="8"/>
  <c r="H65" i="8"/>
  <c r="D65" i="8"/>
  <c r="B65" i="8"/>
  <c r="O64" i="8"/>
  <c r="P64" i="8" s="1"/>
  <c r="T64" i="8" s="1"/>
  <c r="S64" i="8" s="1"/>
  <c r="J64" i="8"/>
  <c r="H64" i="8"/>
  <c r="D64" i="8"/>
  <c r="B64" i="8"/>
  <c r="O63" i="8"/>
  <c r="P63" i="8" s="1"/>
  <c r="U63" i="8" s="1"/>
  <c r="J63" i="8"/>
  <c r="H63" i="8"/>
  <c r="D63" i="8"/>
  <c r="B63" i="8"/>
  <c r="O62" i="8"/>
  <c r="P62" i="8" s="1"/>
  <c r="U62" i="8" s="1"/>
  <c r="J62" i="8"/>
  <c r="H62" i="8"/>
  <c r="D62" i="8"/>
  <c r="B62" i="8"/>
  <c r="O61" i="8"/>
  <c r="P61" i="8" s="1"/>
  <c r="J61" i="8"/>
  <c r="H61" i="8"/>
  <c r="D61" i="8"/>
  <c r="B61" i="8"/>
  <c r="O60" i="8"/>
  <c r="P60" i="8" s="1"/>
  <c r="U60" i="8" s="1"/>
  <c r="J60" i="8"/>
  <c r="H60" i="8"/>
  <c r="D60" i="8"/>
  <c r="B60" i="8"/>
  <c r="O59" i="8"/>
  <c r="P59" i="8" s="1"/>
  <c r="T59" i="8" s="1"/>
  <c r="S59" i="8" s="1"/>
  <c r="J59" i="8"/>
  <c r="H59" i="8"/>
  <c r="D59" i="8"/>
  <c r="B59" i="8"/>
  <c r="O58" i="8"/>
  <c r="P58" i="8" s="1"/>
  <c r="T58" i="8" s="1"/>
  <c r="S58" i="8" s="1"/>
  <c r="J58" i="8"/>
  <c r="H58" i="8"/>
  <c r="D58" i="8"/>
  <c r="B58" i="8"/>
  <c r="O57" i="8"/>
  <c r="P57" i="8" s="1"/>
  <c r="U57" i="8" s="1"/>
  <c r="J57" i="8"/>
  <c r="H57" i="8"/>
  <c r="D57" i="8"/>
  <c r="B57" i="8"/>
  <c r="O56" i="8"/>
  <c r="P56" i="8" s="1"/>
  <c r="J56" i="8"/>
  <c r="H56" i="8"/>
  <c r="D56" i="8"/>
  <c r="B56" i="8"/>
  <c r="O55" i="8"/>
  <c r="P55" i="8" s="1"/>
  <c r="J55" i="8"/>
  <c r="H55" i="8"/>
  <c r="D55" i="8"/>
  <c r="B55" i="8"/>
  <c r="O54" i="8"/>
  <c r="P54" i="8" s="1"/>
  <c r="J54" i="8"/>
  <c r="H54" i="8"/>
  <c r="D54" i="8"/>
  <c r="B54" i="8"/>
  <c r="O53" i="8"/>
  <c r="P53" i="8" s="1"/>
  <c r="U53" i="8" s="1"/>
  <c r="J53" i="8"/>
  <c r="H53" i="8"/>
  <c r="D53" i="8"/>
  <c r="B53" i="8"/>
  <c r="O52" i="8"/>
  <c r="P52" i="8" s="1"/>
  <c r="U52" i="8" s="1"/>
  <c r="J52" i="8"/>
  <c r="H52" i="8"/>
  <c r="D52" i="8"/>
  <c r="B52" i="8"/>
  <c r="O51" i="8"/>
  <c r="P51" i="8" s="1"/>
  <c r="J51" i="8"/>
  <c r="H51" i="8"/>
  <c r="D51" i="8"/>
  <c r="B51" i="8"/>
  <c r="O50" i="8"/>
  <c r="P50" i="8" s="1"/>
  <c r="J50" i="8"/>
  <c r="H50" i="8"/>
  <c r="D50" i="8"/>
  <c r="B50" i="8"/>
  <c r="O49" i="8"/>
  <c r="P49" i="8" s="1"/>
  <c r="J49" i="8"/>
  <c r="H49" i="8"/>
  <c r="D49" i="8"/>
  <c r="B49" i="8"/>
  <c r="O48" i="8"/>
  <c r="P48" i="8" s="1"/>
  <c r="J48" i="8"/>
  <c r="H48" i="8"/>
  <c r="D48" i="8"/>
  <c r="B48" i="8"/>
  <c r="O47" i="8"/>
  <c r="P47" i="8" s="1"/>
  <c r="J47" i="8"/>
  <c r="H47" i="8"/>
  <c r="D47" i="8"/>
  <c r="B47" i="8"/>
  <c r="O46" i="8"/>
  <c r="P46" i="8" s="1"/>
  <c r="J46" i="8"/>
  <c r="H46" i="8"/>
  <c r="D46" i="8"/>
  <c r="B46" i="8"/>
  <c r="O45" i="8"/>
  <c r="P45" i="8" s="1"/>
  <c r="J45" i="8"/>
  <c r="H45" i="8"/>
  <c r="D45" i="8"/>
  <c r="B45" i="8"/>
  <c r="O44" i="8"/>
  <c r="P44" i="8" s="1"/>
  <c r="T44" i="8" s="1"/>
  <c r="S44" i="8" s="1"/>
  <c r="J44" i="8"/>
  <c r="H44" i="8"/>
  <c r="D44" i="8"/>
  <c r="B44" i="8"/>
  <c r="O43" i="8"/>
  <c r="P43" i="8" s="1"/>
  <c r="T43" i="8" s="1"/>
  <c r="S43" i="8" s="1"/>
  <c r="J43" i="8"/>
  <c r="H43" i="8"/>
  <c r="D43" i="8"/>
  <c r="B43" i="8"/>
  <c r="O42" i="8"/>
  <c r="P42" i="8" s="1"/>
  <c r="T42" i="8" s="1"/>
  <c r="S42" i="8" s="1"/>
  <c r="J42" i="8"/>
  <c r="H42" i="8"/>
  <c r="D42" i="8"/>
  <c r="B42" i="8"/>
  <c r="O41" i="8"/>
  <c r="P41" i="8" s="1"/>
  <c r="U41" i="8" s="1"/>
  <c r="J41" i="8"/>
  <c r="H41" i="8"/>
  <c r="D41" i="8"/>
  <c r="B41" i="8"/>
  <c r="O40" i="8"/>
  <c r="P40" i="8" s="1"/>
  <c r="J40" i="8"/>
  <c r="H40" i="8"/>
  <c r="D40" i="8"/>
  <c r="B40" i="8"/>
  <c r="O39" i="8"/>
  <c r="P39" i="8" s="1"/>
  <c r="J39" i="8"/>
  <c r="H39" i="8"/>
  <c r="D39" i="8"/>
  <c r="B39" i="8"/>
  <c r="O38" i="8"/>
  <c r="P38" i="8" s="1"/>
  <c r="J38" i="8"/>
  <c r="H38" i="8"/>
  <c r="D38" i="8"/>
  <c r="B38" i="8"/>
  <c r="O37" i="8"/>
  <c r="P37" i="8" s="1"/>
  <c r="J37" i="8"/>
  <c r="H37" i="8"/>
  <c r="D37" i="8"/>
  <c r="B37" i="8"/>
  <c r="O36" i="8"/>
  <c r="P36" i="8" s="1"/>
  <c r="U36" i="8" s="1"/>
  <c r="J36" i="8"/>
  <c r="H36" i="8"/>
  <c r="D36" i="8"/>
  <c r="B36" i="8"/>
  <c r="O35" i="8"/>
  <c r="P35" i="8" s="1"/>
  <c r="U35" i="8" s="1"/>
  <c r="J35" i="8"/>
  <c r="H35" i="8"/>
  <c r="D35" i="8"/>
  <c r="B35" i="8"/>
  <c r="O34" i="8"/>
  <c r="P34" i="8" s="1"/>
  <c r="J34" i="8"/>
  <c r="H34" i="8"/>
  <c r="D34" i="8"/>
  <c r="B34" i="8"/>
  <c r="O33" i="8"/>
  <c r="P33" i="8" s="1"/>
  <c r="J33" i="8"/>
  <c r="H33" i="8"/>
  <c r="D33" i="8"/>
  <c r="B33" i="8"/>
  <c r="O32" i="8"/>
  <c r="P32" i="8" s="1"/>
  <c r="T32" i="8" s="1"/>
  <c r="S32" i="8" s="1"/>
  <c r="J32" i="8"/>
  <c r="H32" i="8"/>
  <c r="D32" i="8"/>
  <c r="B32" i="8"/>
  <c r="O31" i="8"/>
  <c r="P31" i="8" s="1"/>
  <c r="J31" i="8"/>
  <c r="H31" i="8"/>
  <c r="D31" i="8"/>
  <c r="B31" i="8"/>
  <c r="O30" i="8"/>
  <c r="P30" i="8" s="1"/>
  <c r="U30" i="8" s="1"/>
  <c r="J30" i="8"/>
  <c r="H30" i="8"/>
  <c r="D30" i="8"/>
  <c r="B30" i="8"/>
  <c r="O29" i="8"/>
  <c r="P29" i="8" s="1"/>
  <c r="J29" i="8"/>
  <c r="H29" i="8"/>
  <c r="D29" i="8"/>
  <c r="B29" i="8"/>
  <c r="O28" i="8"/>
  <c r="P28" i="8" s="1"/>
  <c r="T28" i="8" s="1"/>
  <c r="S28" i="8" s="1"/>
  <c r="J28" i="8"/>
  <c r="H28" i="8"/>
  <c r="D28" i="8"/>
  <c r="B28" i="8"/>
  <c r="O27" i="8"/>
  <c r="P27" i="8" s="1"/>
  <c r="T27" i="8" s="1"/>
  <c r="S27" i="8" s="1"/>
  <c r="J27" i="8"/>
  <c r="H27" i="8"/>
  <c r="D27" i="8"/>
  <c r="B27" i="8"/>
  <c r="O26" i="8"/>
  <c r="P26" i="8" s="1"/>
  <c r="T26" i="8" s="1"/>
  <c r="S26" i="8" s="1"/>
  <c r="J26" i="8"/>
  <c r="H26" i="8"/>
  <c r="D26" i="8"/>
  <c r="B26" i="8"/>
  <c r="O25" i="8"/>
  <c r="P25" i="8" s="1"/>
  <c r="U25" i="8" s="1"/>
  <c r="J25" i="8"/>
  <c r="H25" i="8"/>
  <c r="D25" i="8"/>
  <c r="B25" i="8"/>
  <c r="O24" i="8"/>
  <c r="P24" i="8" s="1"/>
  <c r="J24" i="8"/>
  <c r="H24" i="8"/>
  <c r="D24" i="8"/>
  <c r="B24" i="8"/>
  <c r="O23" i="8"/>
  <c r="P23" i="8" s="1"/>
  <c r="J23" i="8"/>
  <c r="H23" i="8"/>
  <c r="D23" i="8"/>
  <c r="B23" i="8"/>
  <c r="O22" i="8"/>
  <c r="P22" i="8" s="1"/>
  <c r="T22" i="8" s="1"/>
  <c r="S22" i="8" s="1"/>
  <c r="J22" i="8"/>
  <c r="H22" i="8"/>
  <c r="D22" i="8"/>
  <c r="B22" i="8"/>
  <c r="O21" i="8"/>
  <c r="P21" i="8" s="1"/>
  <c r="T21" i="8" s="1"/>
  <c r="S21" i="8" s="1"/>
  <c r="J21" i="8"/>
  <c r="H21" i="8"/>
  <c r="D21" i="8"/>
  <c r="B21" i="8"/>
  <c r="O20" i="8"/>
  <c r="P20" i="8" s="1"/>
  <c r="T20" i="8" s="1"/>
  <c r="S20" i="8" s="1"/>
  <c r="J20" i="8"/>
  <c r="H20" i="8"/>
  <c r="D20" i="8"/>
  <c r="B20" i="8"/>
  <c r="O19" i="8"/>
  <c r="P19" i="8" s="1"/>
  <c r="J19" i="8"/>
  <c r="H19" i="8"/>
  <c r="D19" i="8"/>
  <c r="B19" i="8"/>
  <c r="O18" i="8"/>
  <c r="P18" i="8" s="1"/>
  <c r="J18" i="8"/>
  <c r="H18" i="8"/>
  <c r="D18" i="8"/>
  <c r="B18" i="8"/>
  <c r="O17" i="8"/>
  <c r="P17" i="8" s="1"/>
  <c r="J17" i="8"/>
  <c r="H17" i="8"/>
  <c r="D17" i="8"/>
  <c r="B17" i="8"/>
  <c r="O16" i="8"/>
  <c r="P16" i="8" s="1"/>
  <c r="J16" i="8"/>
  <c r="H16" i="8"/>
  <c r="D16" i="8"/>
  <c r="B16" i="8"/>
  <c r="O15" i="8"/>
  <c r="P15" i="8" s="1"/>
  <c r="J15" i="8"/>
  <c r="H15" i="8"/>
  <c r="D15" i="8"/>
  <c r="B15" i="8"/>
  <c r="O14" i="8"/>
  <c r="P14" i="8" s="1"/>
  <c r="J14" i="8"/>
  <c r="H14" i="8"/>
  <c r="D14" i="8"/>
  <c r="B14" i="8"/>
  <c r="O13" i="8"/>
  <c r="P13" i="8" s="1"/>
  <c r="J13" i="8"/>
  <c r="H13" i="8"/>
  <c r="D13" i="8"/>
  <c r="B13" i="8"/>
  <c r="O12" i="8"/>
  <c r="P12" i="8" s="1"/>
  <c r="U12" i="8" s="1"/>
  <c r="J12" i="8"/>
  <c r="H12" i="8"/>
  <c r="D12" i="8"/>
  <c r="B12" i="8"/>
  <c r="O11" i="8"/>
  <c r="P11" i="8" s="1"/>
  <c r="J11" i="8"/>
  <c r="H11" i="8"/>
  <c r="D11" i="8"/>
  <c r="B11" i="8"/>
  <c r="O10" i="8"/>
  <c r="P10" i="8" s="1"/>
  <c r="T10" i="8" s="1"/>
  <c r="S10" i="8" s="1"/>
  <c r="J10" i="8"/>
  <c r="H10" i="8"/>
  <c r="D10" i="8"/>
  <c r="B10" i="8"/>
  <c r="O9" i="8"/>
  <c r="P9" i="8" s="1"/>
  <c r="U9" i="8" s="1"/>
  <c r="J9" i="8"/>
  <c r="H9" i="8"/>
  <c r="D9" i="8"/>
  <c r="B9" i="8"/>
  <c r="O8" i="8"/>
  <c r="P8" i="8" s="1"/>
  <c r="J8" i="8"/>
  <c r="H8" i="8"/>
  <c r="D8" i="8"/>
  <c r="B8" i="8"/>
  <c r="O7" i="8"/>
  <c r="P7" i="8" s="1"/>
  <c r="J7" i="8"/>
  <c r="H7" i="8"/>
  <c r="D7" i="8"/>
  <c r="B7" i="8"/>
  <c r="O6" i="8"/>
  <c r="P6" i="8" s="1"/>
  <c r="U6" i="8" s="1"/>
  <c r="J6" i="8"/>
  <c r="H6" i="8"/>
  <c r="D6" i="8"/>
  <c r="B6" i="8"/>
  <c r="O5" i="8"/>
  <c r="P5" i="8" s="1"/>
  <c r="U5" i="8" s="1"/>
  <c r="J5" i="8"/>
  <c r="H5" i="8"/>
  <c r="D5" i="8"/>
  <c r="B5" i="8"/>
  <c r="O4" i="8"/>
  <c r="P4" i="8" s="1"/>
  <c r="U4" i="8" s="1"/>
  <c r="J4" i="8"/>
  <c r="H4" i="8"/>
  <c r="D4" i="8"/>
  <c r="B4" i="8"/>
  <c r="O3" i="8"/>
  <c r="P3" i="8" s="1"/>
  <c r="T3" i="8" s="1"/>
  <c r="S3" i="8" s="1"/>
  <c r="J3" i="8"/>
  <c r="H3" i="8"/>
  <c r="D3" i="8"/>
  <c r="B3" i="8"/>
  <c r="O2" i="8"/>
  <c r="P2" i="8" s="1"/>
  <c r="J2" i="8"/>
  <c r="L2" i="3" s="1"/>
  <c r="M2" i="3" s="1"/>
  <c r="H2" i="8"/>
  <c r="D2" i="8"/>
  <c r="B2" i="8"/>
  <c r="M28" i="5"/>
  <c r="E28" i="5"/>
  <c r="L25" i="5"/>
  <c r="K25" i="5"/>
  <c r="C25" i="5"/>
  <c r="O24" i="5"/>
  <c r="M24" i="5"/>
  <c r="L24" i="5"/>
  <c r="K24" i="5"/>
  <c r="J24" i="5"/>
  <c r="E24" i="5"/>
  <c r="D24" i="5"/>
  <c r="C24" i="5"/>
  <c r="B24" i="5"/>
  <c r="A24" i="5"/>
  <c r="O23" i="5"/>
  <c r="L23" i="5"/>
  <c r="K23" i="5"/>
  <c r="J23" i="5"/>
  <c r="D23" i="5"/>
  <c r="C23" i="5"/>
  <c r="B23" i="5"/>
  <c r="A23" i="5"/>
  <c r="N22" i="5"/>
  <c r="L22" i="5"/>
  <c r="K22" i="5"/>
  <c r="J22" i="5"/>
  <c r="F22" i="5"/>
  <c r="E22" i="5"/>
  <c r="D22" i="5"/>
  <c r="C22" i="5"/>
  <c r="B22" i="5"/>
  <c r="A22" i="5"/>
  <c r="N21" i="5"/>
  <c r="M21" i="5"/>
  <c r="L21" i="5"/>
  <c r="K21" i="5"/>
  <c r="J21" i="5"/>
  <c r="D21" i="5"/>
  <c r="C21" i="5"/>
  <c r="B21" i="5"/>
  <c r="A21" i="5"/>
  <c r="N20" i="5"/>
  <c r="L20" i="5"/>
  <c r="K20" i="5"/>
  <c r="J20" i="5"/>
  <c r="D20" i="5"/>
  <c r="C20" i="5"/>
  <c r="B20" i="5"/>
  <c r="A20" i="5"/>
  <c r="N19" i="5"/>
  <c r="M19" i="5"/>
  <c r="L19" i="5"/>
  <c r="K19" i="5"/>
  <c r="J19" i="5"/>
  <c r="F19" i="5"/>
  <c r="E19" i="5"/>
  <c r="D19" i="5"/>
  <c r="C19" i="5"/>
  <c r="B19" i="5"/>
  <c r="A19" i="5"/>
  <c r="M18" i="5"/>
  <c r="L18" i="5"/>
  <c r="K18" i="5"/>
  <c r="J18" i="5"/>
  <c r="D18" i="5"/>
  <c r="C18" i="5"/>
  <c r="B18" i="5"/>
  <c r="A18" i="5"/>
  <c r="M17" i="5"/>
  <c r="L17" i="5"/>
  <c r="K17" i="5"/>
  <c r="J17" i="5"/>
  <c r="F17" i="5"/>
  <c r="D17" i="5"/>
  <c r="C17" i="5"/>
  <c r="B17" i="5"/>
  <c r="A17" i="5"/>
  <c r="O16" i="5"/>
  <c r="M16" i="5"/>
  <c r="L16" i="5"/>
  <c r="K16" i="5"/>
  <c r="J16" i="5"/>
  <c r="E16" i="5"/>
  <c r="D16" i="5"/>
  <c r="C16" i="5"/>
  <c r="B16" i="5"/>
  <c r="A16" i="5"/>
  <c r="M15" i="5"/>
  <c r="L15" i="5"/>
  <c r="K15" i="5"/>
  <c r="J15" i="5"/>
  <c r="D15" i="5"/>
  <c r="C15" i="5"/>
  <c r="B15" i="5"/>
  <c r="A15" i="5"/>
  <c r="N14" i="5"/>
  <c r="L14" i="5"/>
  <c r="K14" i="5"/>
  <c r="J14" i="5"/>
  <c r="D14" i="5"/>
  <c r="C14" i="5"/>
  <c r="B14" i="5"/>
  <c r="A14" i="5"/>
  <c r="N13" i="5"/>
  <c r="L13" i="5"/>
  <c r="K13" i="5"/>
  <c r="J13" i="5"/>
  <c r="E13" i="5"/>
  <c r="D13" i="5"/>
  <c r="C13" i="5"/>
  <c r="B13" i="5"/>
  <c r="A13" i="5"/>
  <c r="L12" i="5"/>
  <c r="K12" i="5"/>
  <c r="J12" i="5"/>
  <c r="F12" i="5"/>
  <c r="D12" i="5"/>
  <c r="C12" i="5"/>
  <c r="B12" i="5"/>
  <c r="A12" i="5"/>
  <c r="N11" i="5"/>
  <c r="L11" i="5"/>
  <c r="K11" i="5"/>
  <c r="J11" i="5"/>
  <c r="F11" i="5"/>
  <c r="D11" i="5"/>
  <c r="C11" i="5"/>
  <c r="B11" i="5"/>
  <c r="A11" i="5"/>
  <c r="N10" i="5"/>
  <c r="M10" i="5"/>
  <c r="L10" i="5"/>
  <c r="K10" i="5"/>
  <c r="J10" i="5"/>
  <c r="F10" i="5"/>
  <c r="D10" i="5"/>
  <c r="C10" i="5"/>
  <c r="B10" i="5"/>
  <c r="A10" i="5"/>
  <c r="L9" i="5"/>
  <c r="K9" i="5"/>
  <c r="J9" i="5"/>
  <c r="F9" i="5"/>
  <c r="D9" i="5"/>
  <c r="C9" i="5"/>
  <c r="B9" i="5"/>
  <c r="A9" i="5"/>
  <c r="O8" i="5"/>
  <c r="N8" i="5"/>
  <c r="M8" i="5"/>
  <c r="L8" i="5"/>
  <c r="K8" i="5"/>
  <c r="J8" i="5"/>
  <c r="E8" i="5"/>
  <c r="D8" i="5"/>
  <c r="C8" i="5"/>
  <c r="B8" i="5"/>
  <c r="A8" i="5"/>
  <c r="O7" i="5"/>
  <c r="L7" i="5"/>
  <c r="K7" i="5"/>
  <c r="J7" i="5"/>
  <c r="G7" i="5"/>
  <c r="E7" i="5"/>
  <c r="D7" i="5"/>
  <c r="C7" i="5"/>
  <c r="B7" i="5"/>
  <c r="A7" i="5"/>
  <c r="L6" i="5"/>
  <c r="K6" i="5"/>
  <c r="J6" i="5"/>
  <c r="F6" i="5"/>
  <c r="D6" i="5"/>
  <c r="C6" i="5"/>
  <c r="B6" i="5"/>
  <c r="A6" i="5"/>
  <c r="L5" i="5"/>
  <c r="K5" i="5"/>
  <c r="J5" i="5"/>
  <c r="D5" i="5"/>
  <c r="C5" i="5"/>
  <c r="B5" i="5"/>
  <c r="A5" i="5"/>
  <c r="O4" i="5"/>
  <c r="N4" i="5"/>
  <c r="M4" i="5"/>
  <c r="L4" i="5"/>
  <c r="K4" i="5"/>
  <c r="J4" i="5"/>
  <c r="I4" i="5"/>
  <c r="G4" i="5"/>
  <c r="E4" i="5"/>
  <c r="D4" i="5"/>
  <c r="C4" i="5"/>
  <c r="B4" i="5"/>
  <c r="A4" i="5"/>
  <c r="J3" i="5"/>
  <c r="B3" i="5"/>
  <c r="N2" i="5"/>
  <c r="F2" i="5"/>
  <c r="K1" i="5"/>
  <c r="J1" i="5"/>
  <c r="C1" i="5"/>
  <c r="B1" i="5"/>
  <c r="I26" i="3"/>
  <c r="D25" i="3"/>
  <c r="D25" i="5" s="1"/>
  <c r="I24" i="3"/>
  <c r="H24" i="3"/>
  <c r="F24" i="5" s="1"/>
  <c r="G24" i="3"/>
  <c r="G24" i="5" s="1"/>
  <c r="F24" i="3"/>
  <c r="N24" i="5" s="1"/>
  <c r="E24" i="3"/>
  <c r="H23" i="3"/>
  <c r="F23" i="5" s="1"/>
  <c r="G23" i="3"/>
  <c r="G23" i="5" s="1"/>
  <c r="F23" i="3"/>
  <c r="N23" i="5" s="1"/>
  <c r="E23" i="3"/>
  <c r="M23" i="5" s="1"/>
  <c r="H22" i="3"/>
  <c r="F22" i="3"/>
  <c r="E22" i="3"/>
  <c r="H21" i="3"/>
  <c r="F21" i="5" s="1"/>
  <c r="G21" i="3"/>
  <c r="O21" i="5" s="1"/>
  <c r="F21" i="3"/>
  <c r="E21" i="3"/>
  <c r="E21" i="5" s="1"/>
  <c r="H20" i="3"/>
  <c r="F20" i="5" s="1"/>
  <c r="F20" i="3"/>
  <c r="E20" i="3"/>
  <c r="G20" i="3" s="1"/>
  <c r="H19" i="3"/>
  <c r="G19" i="3"/>
  <c r="G19" i="5" s="1"/>
  <c r="F19" i="3"/>
  <c r="E19" i="3"/>
  <c r="H18" i="3"/>
  <c r="F18" i="5" s="1"/>
  <c r="G18" i="3"/>
  <c r="F18" i="3"/>
  <c r="N18" i="5" s="1"/>
  <c r="E18" i="3"/>
  <c r="E18" i="5" s="1"/>
  <c r="H17" i="3"/>
  <c r="F17" i="3"/>
  <c r="N17" i="5" s="1"/>
  <c r="E17" i="3"/>
  <c r="E17" i="5" s="1"/>
  <c r="I16" i="3"/>
  <c r="H16" i="3"/>
  <c r="F16" i="5" s="1"/>
  <c r="G16" i="3"/>
  <c r="G16" i="5" s="1"/>
  <c r="F16" i="3"/>
  <c r="N16" i="5" s="1"/>
  <c r="E16" i="3"/>
  <c r="H15" i="3"/>
  <c r="F15" i="5" s="1"/>
  <c r="F15" i="3"/>
  <c r="N15" i="5" s="1"/>
  <c r="E15" i="3"/>
  <c r="G15" i="3" s="1"/>
  <c r="H14" i="3"/>
  <c r="F14" i="5" s="1"/>
  <c r="F14" i="3"/>
  <c r="E14" i="3"/>
  <c r="H13" i="3"/>
  <c r="F13" i="5" s="1"/>
  <c r="F13" i="3"/>
  <c r="E13" i="3"/>
  <c r="M13" i="5" s="1"/>
  <c r="H12" i="3"/>
  <c r="G12" i="3"/>
  <c r="G12" i="5" s="1"/>
  <c r="F12" i="3"/>
  <c r="N12" i="5" s="1"/>
  <c r="E12" i="3"/>
  <c r="H11" i="3"/>
  <c r="F11" i="3"/>
  <c r="E11" i="3"/>
  <c r="M11" i="5" s="1"/>
  <c r="I10" i="3"/>
  <c r="H10" i="3"/>
  <c r="G10" i="3"/>
  <c r="F10" i="3"/>
  <c r="E10" i="3"/>
  <c r="E10" i="5" s="1"/>
  <c r="H9" i="3"/>
  <c r="F9" i="3"/>
  <c r="N9" i="5" s="1"/>
  <c r="E9" i="3"/>
  <c r="I8" i="3"/>
  <c r="H8" i="3"/>
  <c r="F8" i="5" s="1"/>
  <c r="G8" i="3"/>
  <c r="G8" i="5" s="1"/>
  <c r="F8" i="3"/>
  <c r="E8" i="3"/>
  <c r="H7" i="3"/>
  <c r="F7" i="5" s="1"/>
  <c r="G7" i="3"/>
  <c r="I7" i="3" s="1"/>
  <c r="F7" i="3"/>
  <c r="N7" i="5" s="1"/>
  <c r="E7" i="3"/>
  <c r="M7" i="5" s="1"/>
  <c r="H6" i="3"/>
  <c r="F6" i="3"/>
  <c r="N6" i="5" s="1"/>
  <c r="E6" i="3"/>
  <c r="E6" i="5" s="1"/>
  <c r="H5" i="3"/>
  <c r="F5" i="5" s="1"/>
  <c r="F5" i="3"/>
  <c r="F25" i="3" s="1"/>
  <c r="N25" i="5" s="1"/>
  <c r="E5" i="3"/>
  <c r="E5" i="5" s="1"/>
  <c r="T4" i="3"/>
  <c r="O1" i="5" s="1"/>
  <c r="B3" i="3"/>
  <c r="J2" i="3"/>
  <c r="C2" i="3"/>
  <c r="T36" i="8" l="1"/>
  <c r="S36" i="8" s="1"/>
  <c r="U90" i="8"/>
  <c r="F21" i="10"/>
  <c r="E21" i="10" s="1"/>
  <c r="G92" i="10"/>
  <c r="G5" i="3"/>
  <c r="G25" i="3" s="1"/>
  <c r="G25" i="5" s="1"/>
  <c r="O25" i="5" s="1"/>
  <c r="G28" i="10"/>
  <c r="N5" i="5"/>
  <c r="T60" i="8"/>
  <c r="S60" i="8" s="1"/>
  <c r="U93" i="8"/>
  <c r="T93" i="8"/>
  <c r="S93" i="8" s="1"/>
  <c r="U115" i="8"/>
  <c r="T115" i="8"/>
  <c r="S115" i="8" s="1"/>
  <c r="F63" i="10"/>
  <c r="E63" i="10" s="1"/>
  <c r="G63" i="10"/>
  <c r="F79" i="10"/>
  <c r="E79" i="10" s="1"/>
  <c r="G79" i="10"/>
  <c r="G7" i="10"/>
  <c r="F7" i="10"/>
  <c r="E7" i="10" s="1"/>
  <c r="F105" i="10"/>
  <c r="E105" i="10" s="1"/>
  <c r="G105" i="10"/>
  <c r="G57" i="10"/>
  <c r="F57" i="10"/>
  <c r="E57" i="10" s="1"/>
  <c r="T11" i="8"/>
  <c r="S11" i="8" s="1"/>
  <c r="U11" i="8"/>
  <c r="T83" i="8"/>
  <c r="S83" i="8" s="1"/>
  <c r="U83" i="8"/>
  <c r="T61" i="8"/>
  <c r="S61" i="8" s="1"/>
  <c r="U61" i="8"/>
  <c r="U102" i="8"/>
  <c r="T102" i="8"/>
  <c r="S102" i="8" s="1"/>
  <c r="U77" i="8"/>
  <c r="T77" i="8"/>
  <c r="S77" i="8" s="1"/>
  <c r="F103" i="10"/>
  <c r="E103" i="10" s="1"/>
  <c r="G103" i="10"/>
  <c r="F8" i="10"/>
  <c r="E8" i="10" s="1"/>
  <c r="G8" i="10"/>
  <c r="G9" i="10"/>
  <c r="F9" i="10"/>
  <c r="E9" i="10" s="1"/>
  <c r="T19" i="8"/>
  <c r="S19" i="8" s="1"/>
  <c r="U19" i="8"/>
  <c r="F23" i="10"/>
  <c r="E23" i="10" s="1"/>
  <c r="G23" i="10"/>
  <c r="F95" i="10"/>
  <c r="E95" i="10" s="1"/>
  <c r="G95" i="10"/>
  <c r="F65" i="10"/>
  <c r="E65" i="10" s="1"/>
  <c r="G65" i="10"/>
  <c r="U13" i="8"/>
  <c r="T13" i="8"/>
  <c r="S13" i="8" s="1"/>
  <c r="T107" i="8"/>
  <c r="S107" i="8" s="1"/>
  <c r="U107" i="8"/>
  <c r="U110" i="8"/>
  <c r="T110" i="8"/>
  <c r="S110" i="8" s="1"/>
  <c r="G54" i="10"/>
  <c r="F54" i="10"/>
  <c r="E54" i="10" s="1"/>
  <c r="T38" i="8"/>
  <c r="S38" i="8" s="1"/>
  <c r="U38" i="8"/>
  <c r="G25" i="10"/>
  <c r="F25" i="10"/>
  <c r="E25" i="10" s="1"/>
  <c r="G39" i="10"/>
  <c r="F39" i="10"/>
  <c r="E39" i="10" s="1"/>
  <c r="G55" i="10"/>
  <c r="F55" i="10"/>
  <c r="E55" i="10" s="1"/>
  <c r="F111" i="10"/>
  <c r="E111" i="10" s="1"/>
  <c r="G111" i="10"/>
  <c r="U117" i="8"/>
  <c r="T117" i="8"/>
  <c r="S117" i="8" s="1"/>
  <c r="F73" i="10"/>
  <c r="E73" i="10" s="1"/>
  <c r="G73" i="10"/>
  <c r="U45" i="8"/>
  <c r="T45" i="8"/>
  <c r="S45" i="8" s="1"/>
  <c r="U67" i="8"/>
  <c r="T67" i="8"/>
  <c r="S67" i="8" s="1"/>
  <c r="T99" i="8"/>
  <c r="S99" i="8" s="1"/>
  <c r="U99" i="8"/>
  <c r="G78" i="10"/>
  <c r="F78" i="10"/>
  <c r="E78" i="10" s="1"/>
  <c r="U37" i="8"/>
  <c r="T37" i="8"/>
  <c r="S37" i="8" s="1"/>
  <c r="T29" i="8"/>
  <c r="S29" i="8" s="1"/>
  <c r="U29" i="8"/>
  <c r="U101" i="8"/>
  <c r="T101" i="8"/>
  <c r="S101" i="8" s="1"/>
  <c r="G71" i="10"/>
  <c r="F71" i="10"/>
  <c r="E71" i="10" s="1"/>
  <c r="F87" i="10"/>
  <c r="E87" i="10" s="1"/>
  <c r="G87" i="10"/>
  <c r="T51" i="8"/>
  <c r="S51" i="8" s="1"/>
  <c r="U51" i="8"/>
  <c r="U54" i="8"/>
  <c r="T54" i="8"/>
  <c r="S54" i="8" s="1"/>
  <c r="F15" i="10"/>
  <c r="E15" i="10" s="1"/>
  <c r="G15" i="10"/>
  <c r="G41" i="10"/>
  <c r="F41" i="10"/>
  <c r="E41" i="10" s="1"/>
  <c r="F113" i="10"/>
  <c r="E113" i="10" s="1"/>
  <c r="G113" i="10"/>
  <c r="F116" i="10"/>
  <c r="E116" i="10" s="1"/>
  <c r="G1" i="5"/>
  <c r="F84" i="10"/>
  <c r="E84" i="10" s="1"/>
  <c r="G42" i="10"/>
  <c r="F60" i="10"/>
  <c r="E60" i="10" s="1"/>
  <c r="F4" i="10"/>
  <c r="E4" i="10" s="1"/>
  <c r="T35" i="8"/>
  <c r="S35" i="8" s="1"/>
  <c r="F20" i="10"/>
  <c r="E20" i="10" s="1"/>
  <c r="G89" i="10"/>
  <c r="U10" i="8"/>
  <c r="T73" i="8"/>
  <c r="S73" i="8" s="1"/>
  <c r="T116" i="8"/>
  <c r="S116" i="8" s="1"/>
  <c r="G17" i="10"/>
  <c r="F102" i="10"/>
  <c r="E102" i="10" s="1"/>
  <c r="T109" i="8"/>
  <c r="S109" i="8" s="1"/>
  <c r="T108" i="8"/>
  <c r="S108" i="8" s="1"/>
  <c r="T25" i="8"/>
  <c r="S25" i="8" s="1"/>
  <c r="F6" i="10"/>
  <c r="E6" i="10" s="1"/>
  <c r="U71" i="8"/>
  <c r="T71" i="8"/>
  <c r="S71" i="8" s="1"/>
  <c r="G99" i="10"/>
  <c r="F99" i="10"/>
  <c r="E99" i="10" s="1"/>
  <c r="U55" i="8"/>
  <c r="T55" i="8"/>
  <c r="S55" i="8" s="1"/>
  <c r="U88" i="8"/>
  <c r="T88" i="8"/>
  <c r="S88" i="8" s="1"/>
  <c r="G83" i="10"/>
  <c r="F83" i="10"/>
  <c r="E83" i="10" s="1"/>
  <c r="G16" i="10"/>
  <c r="F16" i="10"/>
  <c r="E16" i="10" s="1"/>
  <c r="U47" i="8"/>
  <c r="T47" i="8"/>
  <c r="S47" i="8" s="1"/>
  <c r="T80" i="8"/>
  <c r="S80" i="8" s="1"/>
  <c r="U80" i="8"/>
  <c r="U24" i="8"/>
  <c r="T24" i="8"/>
  <c r="S24" i="8" s="1"/>
  <c r="U72" i="8"/>
  <c r="T72" i="8"/>
  <c r="S72" i="8" s="1"/>
  <c r="U94" i="8"/>
  <c r="T94" i="8"/>
  <c r="S94" i="8" s="1"/>
  <c r="G110" i="10"/>
  <c r="F110" i="10"/>
  <c r="E110" i="10" s="1"/>
  <c r="G115" i="10"/>
  <c r="F115" i="10"/>
  <c r="E115" i="10" s="1"/>
  <c r="U15" i="8"/>
  <c r="T15" i="8"/>
  <c r="S15" i="8" s="1"/>
  <c r="U7" i="8"/>
  <c r="T7" i="8"/>
  <c r="S7" i="8" s="1"/>
  <c r="U56" i="8"/>
  <c r="T56" i="8"/>
  <c r="S56" i="8" s="1"/>
  <c r="G94" i="10"/>
  <c r="F94" i="10"/>
  <c r="E94" i="10" s="1"/>
  <c r="U79" i="8"/>
  <c r="T79" i="8"/>
  <c r="S79" i="8" s="1"/>
  <c r="G14" i="10"/>
  <c r="F14" i="10"/>
  <c r="E14" i="10" s="1"/>
  <c r="U31" i="8"/>
  <c r="T31" i="8"/>
  <c r="S31" i="8" s="1"/>
  <c r="G112" i="10"/>
  <c r="F112" i="10"/>
  <c r="E112" i="10" s="1"/>
  <c r="G48" i="10"/>
  <c r="F48" i="10"/>
  <c r="E48" i="10" s="1"/>
  <c r="U104" i="8"/>
  <c r="T104" i="8"/>
  <c r="S104" i="8" s="1"/>
  <c r="T112" i="8"/>
  <c r="S112" i="8" s="1"/>
  <c r="U112" i="8"/>
  <c r="T48" i="8"/>
  <c r="S48" i="8" s="1"/>
  <c r="U48" i="8"/>
  <c r="G19" i="10"/>
  <c r="F19" i="10"/>
  <c r="E19" i="10" s="1"/>
  <c r="G62" i="10"/>
  <c r="F62" i="10"/>
  <c r="E62" i="10" s="1"/>
  <c r="U95" i="8"/>
  <c r="T95" i="8"/>
  <c r="S95" i="8" s="1"/>
  <c r="U23" i="8"/>
  <c r="T23" i="8"/>
  <c r="S23" i="8" s="1"/>
  <c r="T8" i="8"/>
  <c r="S8" i="8" s="1"/>
  <c r="U8" i="8"/>
  <c r="U78" i="8"/>
  <c r="T78" i="8"/>
  <c r="S78" i="8" s="1"/>
  <c r="U103" i="8"/>
  <c r="T103" i="8"/>
  <c r="S103" i="8" s="1"/>
  <c r="G46" i="10"/>
  <c r="F46" i="10"/>
  <c r="E46" i="10" s="1"/>
  <c r="G67" i="10"/>
  <c r="F67" i="10"/>
  <c r="E67" i="10" s="1"/>
  <c r="T16" i="8"/>
  <c r="S16" i="8" s="1"/>
  <c r="U16" i="8"/>
  <c r="G35" i="10"/>
  <c r="F35" i="10"/>
  <c r="E35" i="10" s="1"/>
  <c r="I15" i="3"/>
  <c r="G15" i="5"/>
  <c r="O15" i="5"/>
  <c r="U33" i="8"/>
  <c r="T33" i="8"/>
  <c r="S33" i="8" s="1"/>
  <c r="O20" i="5"/>
  <c r="I20" i="3"/>
  <c r="G20" i="5"/>
  <c r="U17" i="8"/>
  <c r="T17" i="8"/>
  <c r="S17" i="8" s="1"/>
  <c r="U49" i="8"/>
  <c r="T49" i="8"/>
  <c r="S49" i="8" s="1"/>
  <c r="G30" i="10"/>
  <c r="F30" i="10"/>
  <c r="E30" i="10" s="1"/>
  <c r="G3" i="10"/>
  <c r="F3" i="10"/>
  <c r="E3" i="10" s="1"/>
  <c r="U14" i="8"/>
  <c r="T14" i="8"/>
  <c r="S14" i="8" s="1"/>
  <c r="U46" i="8"/>
  <c r="T46" i="8"/>
  <c r="S46" i="8" s="1"/>
  <c r="G64" i="10"/>
  <c r="F64" i="10"/>
  <c r="E64" i="10" s="1"/>
  <c r="G80" i="10"/>
  <c r="F80" i="10"/>
  <c r="E80" i="10" s="1"/>
  <c r="T5" i="8"/>
  <c r="S5" i="8" s="1"/>
  <c r="U18" i="8"/>
  <c r="T18" i="8"/>
  <c r="S18" i="8" s="1"/>
  <c r="U20" i="8"/>
  <c r="T68" i="8"/>
  <c r="S68" i="8" s="1"/>
  <c r="U39" i="8"/>
  <c r="T39" i="8"/>
  <c r="S39" i="8" s="1"/>
  <c r="G69" i="10"/>
  <c r="F69" i="10"/>
  <c r="E69" i="10" s="1"/>
  <c r="G74" i="10"/>
  <c r="F117" i="10"/>
  <c r="E117" i="10" s="1"/>
  <c r="G117" i="10"/>
  <c r="T63" i="8"/>
  <c r="S63" i="8" s="1"/>
  <c r="T84" i="8"/>
  <c r="S84" i="8" s="1"/>
  <c r="G21" i="5"/>
  <c r="G24" i="10"/>
  <c r="G53" i="10"/>
  <c r="F53" i="10"/>
  <c r="E53" i="10" s="1"/>
  <c r="F76" i="10"/>
  <c r="E76" i="10" s="1"/>
  <c r="F88" i="10"/>
  <c r="E88" i="10" s="1"/>
  <c r="G88" i="10"/>
  <c r="F100" i="10"/>
  <c r="E100" i="10" s="1"/>
  <c r="G119" i="10"/>
  <c r="F119" i="10"/>
  <c r="E119" i="10" s="1"/>
  <c r="G9" i="3"/>
  <c r="E9" i="5"/>
  <c r="I23" i="3"/>
  <c r="U44" i="8"/>
  <c r="T57" i="8"/>
  <c r="S57" i="8" s="1"/>
  <c r="U75" i="8"/>
  <c r="U113" i="8"/>
  <c r="T113" i="8"/>
  <c r="S113" i="8" s="1"/>
  <c r="G13" i="10"/>
  <c r="F13" i="10"/>
  <c r="E13" i="10" s="1"/>
  <c r="F70" i="10"/>
  <c r="E70" i="10" s="1"/>
  <c r="U27" i="8"/>
  <c r="E15" i="5"/>
  <c r="T12" i="8"/>
  <c r="S12" i="8" s="1"/>
  <c r="T53" i="8"/>
  <c r="S53" i="8" s="1"/>
  <c r="T86" i="8"/>
  <c r="S86" i="8" s="1"/>
  <c r="U91" i="8"/>
  <c r="T100" i="8"/>
  <c r="S100" i="8" s="1"/>
  <c r="F36" i="10"/>
  <c r="E36" i="10" s="1"/>
  <c r="G47" i="10"/>
  <c r="G58" i="10"/>
  <c r="G101" i="10"/>
  <c r="F101" i="10"/>
  <c r="E101" i="10" s="1"/>
  <c r="F126" i="10"/>
  <c r="E126" i="10" s="1"/>
  <c r="T9" i="8"/>
  <c r="S9" i="8" s="1"/>
  <c r="I19" i="3"/>
  <c r="G6" i="3"/>
  <c r="M6" i="5"/>
  <c r="U22" i="8"/>
  <c r="T70" i="8"/>
  <c r="S70" i="8" s="1"/>
  <c r="F52" i="10"/>
  <c r="E52" i="10" s="1"/>
  <c r="G82" i="10"/>
  <c r="F82" i="10"/>
  <c r="E82" i="10" s="1"/>
  <c r="G13" i="3"/>
  <c r="U82" i="8"/>
  <c r="T82" i="8"/>
  <c r="S82" i="8" s="1"/>
  <c r="G17" i="3"/>
  <c r="O10" i="5"/>
  <c r="G10" i="5"/>
  <c r="O19" i="5"/>
  <c r="U40" i="8"/>
  <c r="T40" i="8"/>
  <c r="S40" i="8" s="1"/>
  <c r="U98" i="8"/>
  <c r="T98" i="8"/>
  <c r="S98" i="8" s="1"/>
  <c r="U111" i="8"/>
  <c r="T111" i="8"/>
  <c r="S111" i="8" s="1"/>
  <c r="G59" i="10"/>
  <c r="F59" i="10"/>
  <c r="E59" i="10" s="1"/>
  <c r="G77" i="10"/>
  <c r="F77" i="10"/>
  <c r="E77" i="10" s="1"/>
  <c r="G106" i="10"/>
  <c r="G29" i="10"/>
  <c r="F29" i="10"/>
  <c r="E29" i="10" s="1"/>
  <c r="U66" i="8"/>
  <c r="T66" i="8"/>
  <c r="S66" i="8" s="1"/>
  <c r="G12" i="10"/>
  <c r="M14" i="5"/>
  <c r="G14" i="3"/>
  <c r="G31" i="10"/>
  <c r="F37" i="10"/>
  <c r="E37" i="10" s="1"/>
  <c r="G107" i="10"/>
  <c r="F107" i="10"/>
  <c r="E107" i="10" s="1"/>
  <c r="G45" i="10"/>
  <c r="F45" i="10"/>
  <c r="E45" i="10" s="1"/>
  <c r="G93" i="10"/>
  <c r="F93" i="10"/>
  <c r="E93" i="10" s="1"/>
  <c r="U114" i="8"/>
  <c r="T114" i="8"/>
  <c r="S114" i="8" s="1"/>
  <c r="G66" i="10"/>
  <c r="F66" i="10"/>
  <c r="E66" i="10" s="1"/>
  <c r="F121" i="10"/>
  <c r="E121" i="10" s="1"/>
  <c r="G121" i="10"/>
  <c r="E14" i="5"/>
  <c r="M20" i="5"/>
  <c r="E20" i="5"/>
  <c r="U3" i="8"/>
  <c r="U64" i="8"/>
  <c r="M9" i="5"/>
  <c r="T62" i="8"/>
  <c r="S62" i="8" s="1"/>
  <c r="F72" i="10"/>
  <c r="E72" i="10" s="1"/>
  <c r="G72" i="10"/>
  <c r="G96" i="10"/>
  <c r="F96" i="10"/>
  <c r="E96" i="10" s="1"/>
  <c r="G114" i="10"/>
  <c r="F114" i="10"/>
  <c r="E114" i="10" s="1"/>
  <c r="H25" i="3"/>
  <c r="F25" i="5" s="1"/>
  <c r="T6" i="8"/>
  <c r="S6" i="8" s="1"/>
  <c r="U21" i="8"/>
  <c r="U43" i="8"/>
  <c r="T69" i="8"/>
  <c r="S69" i="8" s="1"/>
  <c r="T76" i="8"/>
  <c r="S76" i="8" s="1"/>
  <c r="T105" i="8"/>
  <c r="S105" i="8" s="1"/>
  <c r="G43" i="10"/>
  <c r="F43" i="10"/>
  <c r="E43" i="10" s="1"/>
  <c r="G85" i="10"/>
  <c r="F85" i="10"/>
  <c r="E85" i="10" s="1"/>
  <c r="F108" i="10"/>
  <c r="E108" i="10" s="1"/>
  <c r="G2" i="10"/>
  <c r="F2" i="10"/>
  <c r="E2" i="10" s="1"/>
  <c r="U34" i="8"/>
  <c r="T34" i="8"/>
  <c r="S34" i="8" s="1"/>
  <c r="T4" i="8"/>
  <c r="S4" i="8" s="1"/>
  <c r="T89" i="8"/>
  <c r="S89" i="8" s="1"/>
  <c r="E11" i="5"/>
  <c r="U58" i="8"/>
  <c r="U87" i="8"/>
  <c r="T87" i="8"/>
  <c r="S87" i="8" s="1"/>
  <c r="F5" i="10"/>
  <c r="E5" i="10" s="1"/>
  <c r="G26" i="10"/>
  <c r="F38" i="10"/>
  <c r="E38" i="10" s="1"/>
  <c r="G49" i="10"/>
  <c r="G61" i="10"/>
  <c r="F61" i="10"/>
  <c r="E61" i="10" s="1"/>
  <c r="G90" i="10"/>
  <c r="U59" i="8"/>
  <c r="U106" i="8"/>
  <c r="G18" i="10"/>
  <c r="F18" i="10"/>
  <c r="E18" i="10" s="1"/>
  <c r="U97" i="8"/>
  <c r="T97" i="8"/>
  <c r="S97" i="8" s="1"/>
  <c r="E25" i="3"/>
  <c r="E25" i="5" s="1"/>
  <c r="M25" i="5" s="1"/>
  <c r="U2" i="8"/>
  <c r="T2" i="8"/>
  <c r="S2" i="8" s="1"/>
  <c r="I21" i="3"/>
  <c r="G11" i="3"/>
  <c r="M5" i="5"/>
  <c r="U28" i="8"/>
  <c r="U32" i="8"/>
  <c r="T52" i="8"/>
  <c r="S52" i="8" s="1"/>
  <c r="U74" i="8"/>
  <c r="T85" i="8"/>
  <c r="S85" i="8" s="1"/>
  <c r="T92" i="8"/>
  <c r="S92" i="8" s="1"/>
  <c r="U96" i="8"/>
  <c r="G27" i="10"/>
  <c r="F27" i="10"/>
  <c r="E27" i="10" s="1"/>
  <c r="G50" i="10"/>
  <c r="F50" i="10"/>
  <c r="E50" i="10" s="1"/>
  <c r="G91" i="10"/>
  <c r="F91" i="10"/>
  <c r="E91" i="10" s="1"/>
  <c r="G109" i="10"/>
  <c r="F109" i="10"/>
  <c r="E109" i="10" s="1"/>
  <c r="G123" i="10"/>
  <c r="F123" i="10"/>
  <c r="E123" i="10" s="1"/>
  <c r="U81" i="8"/>
  <c r="T81" i="8"/>
  <c r="S81" i="8" s="1"/>
  <c r="G51" i="10"/>
  <c r="F51" i="10"/>
  <c r="E51" i="10" s="1"/>
  <c r="I12" i="3"/>
  <c r="O12" i="5"/>
  <c r="G75" i="10"/>
  <c r="F75" i="10"/>
  <c r="E75" i="10" s="1"/>
  <c r="G40" i="10"/>
  <c r="G81" i="10"/>
  <c r="U42" i="8"/>
  <c r="I1" i="3"/>
  <c r="G32" i="10"/>
  <c r="F32" i="10"/>
  <c r="E32" i="10" s="1"/>
  <c r="O18" i="5"/>
  <c r="G18" i="5"/>
  <c r="G22" i="3"/>
  <c r="M22" i="5"/>
  <c r="E23" i="5"/>
  <c r="I18" i="3"/>
  <c r="U26" i="8"/>
  <c r="T30" i="8"/>
  <c r="S30" i="8" s="1"/>
  <c r="T41" i="8"/>
  <c r="S41" i="8" s="1"/>
  <c r="U50" i="8"/>
  <c r="T50" i="8"/>
  <c r="S50" i="8" s="1"/>
  <c r="U65" i="8"/>
  <c r="T65" i="8"/>
  <c r="S65" i="8" s="1"/>
  <c r="G10" i="10"/>
  <c r="F22" i="10"/>
  <c r="E22" i="10" s="1"/>
  <c r="G33" i="10"/>
  <c r="F44" i="10"/>
  <c r="E44" i="10" s="1"/>
  <c r="G97" i="10"/>
  <c r="F104" i="10"/>
  <c r="E104" i="10" s="1"/>
  <c r="G104" i="10"/>
  <c r="M12" i="5"/>
  <c r="E12" i="5"/>
  <c r="G11" i="10"/>
  <c r="F11" i="10"/>
  <c r="E11" i="10" s="1"/>
  <c r="G34" i="10"/>
  <c r="F34" i="10"/>
  <c r="E34" i="10" s="1"/>
  <c r="F56" i="10"/>
  <c r="E56" i="10" s="1"/>
  <c r="G56" i="10"/>
  <c r="F68" i="10"/>
  <c r="E68" i="10" s="1"/>
  <c r="F86" i="10"/>
  <c r="E86" i="10" s="1"/>
  <c r="G98" i="10"/>
  <c r="F98" i="10"/>
  <c r="E98" i="10" s="1"/>
  <c r="O5" i="5" l="1"/>
  <c r="I5" i="3"/>
  <c r="I25" i="3" s="1"/>
  <c r="G5" i="5"/>
  <c r="O13" i="5"/>
  <c r="G13" i="5"/>
  <c r="I13" i="3"/>
  <c r="O17" i="5"/>
  <c r="G17" i="5"/>
  <c r="I17" i="3"/>
  <c r="I22" i="3"/>
  <c r="G22" i="5"/>
  <c r="O22" i="5"/>
  <c r="O9" i="5"/>
  <c r="I9" i="3"/>
  <c r="G9" i="5"/>
  <c r="G11" i="5"/>
  <c r="I11" i="3"/>
  <c r="O11" i="5"/>
  <c r="I6" i="3"/>
  <c r="O6" i="5"/>
  <c r="G6" i="5"/>
  <c r="I14" i="3"/>
  <c r="G14" i="5"/>
  <c r="O1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200-000003000000}">
      <text>
        <r>
          <rPr>
            <sz val="11"/>
            <color theme="1"/>
            <rFont val="Calibri"/>
            <scheme val="minor"/>
          </rPr>
          <t>======
ID#AAABdItv8vg
Tibor Bicsak    (2025-02-03 16:30:19)
Írd be a megrendelő nevét.
KÖTELEZŐ KITÖLTENI.</t>
        </r>
      </text>
    </comment>
    <comment ref="F1" authorId="0" shapeId="0" xr:uid="{00000000-0006-0000-0200-000008000000}">
      <text>
        <r>
          <rPr>
            <sz val="11"/>
            <color theme="1"/>
            <rFont val="Calibri"/>
            <scheme val="minor"/>
          </rPr>
          <t>======
ID#AAABdItv8vM
Tibor Bicsak    (2025-02-03 16:30:19)
Válaszd ki a kívánt üveg típust a legördülő listából.
KÖTELEZŐ KITÖLTENI.</t>
        </r>
      </text>
    </comment>
    <comment ref="K1" authorId="0" shapeId="0" xr:uid="{00000000-0006-0000-0200-000001000000}">
      <text>
        <r>
          <rPr>
            <sz val="11"/>
            <color theme="1"/>
            <rFont val="Calibri"/>
            <scheme val="minor"/>
          </rPr>
          <t>======
ID#AAABdI6z2_Y
Tibor Bicsak    (2025-02-03 16:30:19)
Válaszd ki a megfelelő értéket a 
legördülő listából.</t>
        </r>
      </text>
    </comment>
    <comment ref="G2" authorId="0" shapeId="0" xr:uid="{00000000-0006-0000-0200-000002000000}">
      <text>
        <r>
          <rPr>
            <sz val="11"/>
            <color theme="1"/>
            <rFont val="Calibri"/>
            <scheme val="minor"/>
          </rPr>
          <t>======
ID#AAABdItv8vk
Tibor Bicsak    (2025-02-03 16:30:19)
Válaszd kis a kívánt vastagságot a legördülő listából.
KÖTELEZŐ KITÖLTENI.</t>
        </r>
      </text>
    </comment>
    <comment ref="H2" authorId="0" shapeId="0" xr:uid="{00000000-0006-0000-0200-000007000000}">
      <text>
        <r>
          <rPr>
            <sz val="11"/>
            <color theme="1"/>
            <rFont val="Calibri"/>
            <scheme val="minor"/>
          </rPr>
          <t>======
ID#AAABdItv8vQ
Tibor Bicsak    (2025-02-03 16:30:19)
Válaszd ki a megfelelő értéket a legördülő listából.
KÖTELEZŐ KITÖLTENI.</t>
        </r>
      </text>
    </comment>
    <comment ref="I2" authorId="0" shapeId="0" xr:uid="{00000000-0006-0000-0200-000005000000}">
      <text>
        <r>
          <rPr>
            <sz val="11"/>
            <color theme="1"/>
            <rFont val="Calibri"/>
            <scheme val="minor"/>
          </rPr>
          <t>======
ID#AAABdItv8vU
Tibor Bicsak    (2025-02-03 16:30:19)
Írd be a megrendelői számot. "-" ha nincs.</t>
        </r>
      </text>
    </comment>
    <comment ref="B4" authorId="0" shapeId="0" xr:uid="{00000000-0006-0000-0200-000009000000}">
      <text>
        <r>
          <rPr>
            <sz val="11"/>
            <color theme="1"/>
            <rFont val="Calibri"/>
            <scheme val="minor"/>
          </rPr>
          <t>======
ID#AAABdItv8vI
Tibor Bicsak    (2025-02-03 16:30:19)
Írd be a szélességet centiben. 
Legalább egy sort KÖTELEZŐ KITÖLTENI.</t>
        </r>
      </text>
    </comment>
    <comment ref="C4" authorId="0" shapeId="0" xr:uid="{00000000-0006-0000-0200-000004000000}">
      <text>
        <r>
          <rPr>
            <sz val="11"/>
            <color theme="1"/>
            <rFont val="Calibri"/>
            <scheme val="minor"/>
          </rPr>
          <t>======
ID#AAABdItv8vc
Tibor Bicsak    (2025-02-03 16:30:19)
Írd be a hosszúságot centiben. 
Legalább egy sort KÖTELEZŐ KITÖLTENI.</t>
        </r>
      </text>
    </comment>
    <comment ref="D4" authorId="0" shapeId="0" xr:uid="{00000000-0006-0000-0200-000006000000}">
      <text>
        <r>
          <rPr>
            <sz val="11"/>
            <color theme="1"/>
            <rFont val="Calibri"/>
            <scheme val="minor"/>
          </rPr>
          <t>======
ID#AAABdItv8vY
Tibor Bicsak    (2025-02-03 16:30:19)
Írd be a darabszámot. 
Legalább egy sort KÖTELEZŐ KITÖLTENI.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swC3iXhFl+pAWhqHFWHARvMLEdw=="/>
    </ext>
  </extLst>
</comments>
</file>

<file path=xl/sharedStrings.xml><?xml version="1.0" encoding="utf-8"?>
<sst xmlns="http://schemas.openxmlformats.org/spreadsheetml/2006/main" count="4031" uniqueCount="819">
  <si>
    <t>Logo</t>
  </si>
  <si>
    <t>Megrendelés száma</t>
  </si>
  <si>
    <t>Fül</t>
  </si>
  <si>
    <t>Mező neve</t>
  </si>
  <si>
    <t>Mező referencia</t>
  </si>
  <si>
    <t>Magyarázat</t>
  </si>
  <si>
    <t>Részletek</t>
  </si>
  <si>
    <t>Kötelező mező?</t>
  </si>
  <si>
    <t>Teruletszamitas</t>
  </si>
  <si>
    <t>Megrendelő</t>
  </si>
  <si>
    <t>C1</t>
  </si>
  <si>
    <t>Szövegmező, a megrendelő neve</t>
  </si>
  <si>
    <t>Igen</t>
  </si>
  <si>
    <t>Üveg típus</t>
  </si>
  <si>
    <t>F1</t>
  </si>
  <si>
    <t>Az üvegtípus legördülő listája.</t>
  </si>
  <si>
    <t>A [TermekKod] fül első oszlopa. Ott kell módosítani, új kódokat hozzáadni. Lásd az erre vonatkozó részleteket a [TermekKod] ismertetésénél.</t>
  </si>
  <si>
    <t>Egység ár</t>
  </si>
  <si>
    <t>I1</t>
  </si>
  <si>
    <t>Az üvegtípus egységára</t>
  </si>
  <si>
    <t>Az árlista szerint választódik ki a  [TermekKod] fül H vagy I oszlopából.</t>
  </si>
  <si>
    <t xml:space="preserve">Árlista </t>
  </si>
  <si>
    <t>K1</t>
  </si>
  <si>
    <t xml:space="preserve">0 vagy 2 árlista. </t>
  </si>
  <si>
    <t>A 0 (nullás) az alapértelmezett ár, lásd a [TermekKod] fül H vagy I oszlopait.</t>
  </si>
  <si>
    <t>Dátum</t>
  </si>
  <si>
    <t>C2</t>
  </si>
  <si>
    <t>Aktuális dátum</t>
  </si>
  <si>
    <t>Rendszer által generált.</t>
  </si>
  <si>
    <t>Vastagság (mm)</t>
  </si>
  <si>
    <t>G2</t>
  </si>
  <si>
    <t>A vastagság legördülő listája.</t>
  </si>
  <si>
    <t>A [Vastagsag] fülben van a lista eltárolva. Ott kell módosítani, új vastagságot hozzáadni.</t>
  </si>
  <si>
    <t>Gáz?</t>
  </si>
  <si>
    <t>H2</t>
  </si>
  <si>
    <t>Argon gázas vagy gáz nélküli.</t>
  </si>
  <si>
    <t>Megrendelői szám</t>
  </si>
  <si>
    <t>I2</t>
  </si>
  <si>
    <t>A kliens megrendelői száma.</t>
  </si>
  <si>
    <t>Ha a megrendelő papíron rajta van, akkor fel kell tüntetni.</t>
  </si>
  <si>
    <t>Nem</t>
  </si>
  <si>
    <t>Tétel 0</t>
  </si>
  <si>
    <t>A4-23</t>
  </si>
  <si>
    <t>Rendelésen belüli sorszám</t>
  </si>
  <si>
    <t>Automatikus</t>
  </si>
  <si>
    <t>Sz. (cm) 1</t>
  </si>
  <si>
    <t>B4-23</t>
  </si>
  <si>
    <t>Megrendelt üvegek szélességei</t>
  </si>
  <si>
    <t>Ahány tétel az adott típusból</t>
  </si>
  <si>
    <t>H. (cm) 2</t>
  </si>
  <si>
    <t>C4-23</t>
  </si>
  <si>
    <t>Megrendelt üvegek hosszuságai</t>
  </si>
  <si>
    <t>Db. 3</t>
  </si>
  <si>
    <t>D4-23</t>
  </si>
  <si>
    <t>Megrendelt üvegek darabszáma</t>
  </si>
  <si>
    <t>T. (m2) 4</t>
  </si>
  <si>
    <t>E4-23</t>
  </si>
  <si>
    <t>Adott méretekből számolt terület</t>
  </si>
  <si>
    <t>Terület adalék (m2)* [4] X 20% 5</t>
  </si>
  <si>
    <t>F4-23</t>
  </si>
  <si>
    <t>Szpeciális méretű üvegek extra adaléka</t>
  </si>
  <si>
    <t xml:space="preserve">0,3 m2-nél kisebb vagy 2,5 m2-nél nagyobb üvegek extra 20% </t>
  </si>
  <si>
    <t>Össz T. (m2) ([4] + [5]) 6</t>
  </si>
  <si>
    <t>G4-23</t>
  </si>
  <si>
    <t>Terület és Területi adalék összege</t>
  </si>
  <si>
    <t>Kerület (cm) 2 X ([1] + [2]) 7</t>
  </si>
  <si>
    <t>H4-23</t>
  </si>
  <si>
    <t>Adott méretekből számolt kerület</t>
  </si>
  <si>
    <t xml:space="preserve">Össz ár (RON) ([6] X Ár) 8 </t>
  </si>
  <si>
    <t>I4-23</t>
  </si>
  <si>
    <t>Össz területből számolt ár</t>
  </si>
  <si>
    <t>H-I27</t>
  </si>
  <si>
    <t>Glaserdi belső sorszám.</t>
  </si>
  <si>
    <t>A legutolsó szám az AjSzam rejtett fülben tárolódik.</t>
  </si>
  <si>
    <t>TermekKod</t>
  </si>
  <si>
    <t>Termék Kod</t>
  </si>
  <si>
    <t>A</t>
  </si>
  <si>
    <t>Termék Megnevezés</t>
  </si>
  <si>
    <t>B</t>
  </si>
  <si>
    <t>Reteg</t>
  </si>
  <si>
    <t>C</t>
  </si>
  <si>
    <t>Uveg1</t>
  </si>
  <si>
    <t>D</t>
  </si>
  <si>
    <t>Uveg2</t>
  </si>
  <si>
    <t>E</t>
  </si>
  <si>
    <t>Uveg3</t>
  </si>
  <si>
    <t>F</t>
  </si>
  <si>
    <t>Termositasti koltseg</t>
  </si>
  <si>
    <t>G</t>
  </si>
  <si>
    <t>Eladási Ár 0</t>
  </si>
  <si>
    <t>H</t>
  </si>
  <si>
    <t>Eladási Ár 2</t>
  </si>
  <si>
    <t>I</t>
  </si>
  <si>
    <t>Modositas 0</t>
  </si>
  <si>
    <t>J</t>
  </si>
  <si>
    <t>Modositas 2</t>
  </si>
  <si>
    <t>K</t>
  </si>
  <si>
    <t>Sorrend</t>
  </si>
  <si>
    <t>L</t>
  </si>
  <si>
    <t>Megrendelő:</t>
  </si>
  <si>
    <t>Lajos - csak arajanlat</t>
  </si>
  <si>
    <t>Üveg típus:</t>
  </si>
  <si>
    <t>F4-Low-e4</t>
  </si>
  <si>
    <t>Dátum:</t>
  </si>
  <si>
    <t>Vastagság
(mm):</t>
  </si>
  <si>
    <t>Gaz nelkul</t>
  </si>
  <si>
    <t>2</t>
  </si>
  <si>
    <t>cella kitoltes</t>
  </si>
  <si>
    <r>
      <rPr>
        <i/>
        <sz val="8"/>
        <color theme="1"/>
        <rFont val="Arial"/>
      </rPr>
      <t xml:space="preserve">Tétel 
</t>
    </r>
    <r>
      <rPr>
        <b/>
        <i/>
        <sz val="8"/>
        <color theme="1"/>
        <rFont val="Arial"/>
      </rPr>
      <t>0</t>
    </r>
  </si>
  <si>
    <r>
      <rPr>
        <i/>
        <sz val="8"/>
        <color theme="1"/>
        <rFont val="Arial"/>
      </rPr>
      <t xml:space="preserve">Sz.
(cm)
</t>
    </r>
    <r>
      <rPr>
        <b/>
        <i/>
        <sz val="8"/>
        <color theme="1"/>
        <rFont val="Arial"/>
      </rPr>
      <t>1</t>
    </r>
  </si>
  <si>
    <r>
      <rPr>
        <i/>
        <sz val="8"/>
        <color theme="1"/>
        <rFont val="Arial"/>
      </rPr>
      <t xml:space="preserve">H.
(cm)
</t>
    </r>
    <r>
      <rPr>
        <b/>
        <i/>
        <sz val="8"/>
        <color theme="1"/>
        <rFont val="Arial"/>
      </rPr>
      <t>2</t>
    </r>
  </si>
  <si>
    <r>
      <rPr>
        <i/>
        <sz val="8"/>
        <color theme="1"/>
        <rFont val="Arial"/>
      </rPr>
      <t xml:space="preserve">Db.
</t>
    </r>
    <r>
      <rPr>
        <b/>
        <i/>
        <sz val="8"/>
        <color theme="1"/>
        <rFont val="Arial"/>
      </rPr>
      <t>3</t>
    </r>
  </si>
  <si>
    <r>
      <rPr>
        <i/>
        <sz val="8"/>
        <color theme="1"/>
        <rFont val="Arial"/>
      </rPr>
      <t xml:space="preserve">T. 
(m2)
</t>
    </r>
    <r>
      <rPr>
        <b/>
        <i/>
        <sz val="8"/>
        <color theme="1"/>
        <rFont val="Arial"/>
      </rPr>
      <t>4</t>
    </r>
  </si>
  <si>
    <r>
      <rPr>
        <i/>
        <sz val="8"/>
        <color theme="1"/>
        <rFont val="Arial"/>
      </rPr>
      <t xml:space="preserve">Terület
 adalék (m2)*
[4] X 20%
</t>
    </r>
    <r>
      <rPr>
        <b/>
        <i/>
        <sz val="8"/>
        <color theme="1"/>
        <rFont val="Arial"/>
      </rPr>
      <t>5</t>
    </r>
  </si>
  <si>
    <r>
      <rPr>
        <i/>
        <sz val="8"/>
        <color theme="1"/>
        <rFont val="Arial"/>
      </rPr>
      <t xml:space="preserve">Össz T.
(m2)         
([4] + [5])
</t>
    </r>
    <r>
      <rPr>
        <b/>
        <i/>
        <sz val="8"/>
        <color theme="1"/>
        <rFont val="Arial"/>
      </rPr>
      <t>6</t>
    </r>
  </si>
  <si>
    <r>
      <rPr>
        <i/>
        <sz val="8"/>
        <color theme="1"/>
        <rFont val="Arial"/>
      </rPr>
      <t xml:space="preserve">Kerület
(cm)
2 X ([1] + [2])
</t>
    </r>
    <r>
      <rPr>
        <b/>
        <i/>
        <sz val="8"/>
        <color theme="1"/>
        <rFont val="Arial"/>
      </rPr>
      <t>7</t>
    </r>
  </si>
  <si>
    <r>
      <rPr>
        <i/>
        <sz val="8"/>
        <color theme="1"/>
        <rFont val="Arial"/>
      </rPr>
      <t xml:space="preserve">Össz ár
(RON)
([6] X Ár)
</t>
    </r>
    <r>
      <rPr>
        <b/>
        <i/>
        <sz val="8"/>
        <color theme="1"/>
        <rFont val="Arial"/>
      </rPr>
      <t xml:space="preserve">8 </t>
    </r>
  </si>
  <si>
    <t>Meleg perem:</t>
  </si>
  <si>
    <t>Fekete</t>
  </si>
  <si>
    <t>Távtartó:</t>
  </si>
  <si>
    <t>Távtartóval</t>
  </si>
  <si>
    <t>Eltérő forma:</t>
  </si>
  <si>
    <t>Eltérő forma</t>
  </si>
  <si>
    <t>Határidő:</t>
  </si>
  <si>
    <t>Össz:</t>
  </si>
  <si>
    <t>* A kis terület adalék + 20%, ha a terület kisebb vagy egyenlő mint 0.3 m2.</t>
  </si>
  <si>
    <t xml:space="preserve">  Extra méret adalék + 20%, ha a terület nagyobb vagy egyenlő mint 2.5 m2.</t>
  </si>
  <si>
    <t>Glaserdi munkatársa</t>
  </si>
  <si>
    <t>Ügyfél</t>
  </si>
  <si>
    <t>___________________</t>
  </si>
  <si>
    <t>Ceg neve</t>
  </si>
  <si>
    <t>Arlista</t>
  </si>
  <si>
    <t>Preferato</t>
  </si>
  <si>
    <t>Gergely</t>
  </si>
  <si>
    <t>Glasexperts</t>
  </si>
  <si>
    <t>Magánszemély</t>
  </si>
  <si>
    <t>LÉC</t>
  </si>
  <si>
    <t>ÜVEG</t>
  </si>
  <si>
    <r>
      <rPr>
        <i/>
        <sz val="8"/>
        <color theme="1"/>
        <rFont val="Arial"/>
      </rPr>
      <t>Kerület
(</t>
    </r>
    <r>
      <rPr>
        <b/>
        <i/>
        <sz val="8"/>
        <color theme="1"/>
        <rFont val="Arial"/>
      </rPr>
      <t>m</t>
    </r>
    <r>
      <rPr>
        <i/>
        <sz val="8"/>
        <color theme="1"/>
        <rFont val="Arial"/>
      </rPr>
      <t>)
2 X ([1] + [2])
7</t>
    </r>
  </si>
  <si>
    <t>Termek Kod</t>
  </si>
  <si>
    <t>Termek Megnevezes</t>
  </si>
  <si>
    <t>Felvásárlási Ár</t>
  </si>
  <si>
    <t>Pénznem</t>
  </si>
  <si>
    <t>Bejövő Dátum</t>
  </si>
  <si>
    <t>Mennyiség</t>
  </si>
  <si>
    <t>Penznem</t>
  </si>
  <si>
    <t>Termék neve</t>
  </si>
  <si>
    <r>
      <rPr>
        <sz val="11"/>
        <color theme="1"/>
        <rFont val="Calibri"/>
      </rPr>
      <t>Kobezol ár (</t>
    </r>
    <r>
      <rPr>
        <sz val="11"/>
        <color rgb="FF000000"/>
        <rFont val="Calibri"/>
      </rPr>
      <t>€/ m2)</t>
    </r>
  </si>
  <si>
    <t>€ + TVA / m2</t>
  </si>
  <si>
    <t>Kobezol ár (lej)</t>
  </si>
  <si>
    <t>Lej</t>
  </si>
  <si>
    <t>F4_-Low-e4_</t>
  </si>
  <si>
    <t>F4-F4</t>
  </si>
  <si>
    <t>Lei</t>
  </si>
  <si>
    <t>F4_-F4_</t>
  </si>
  <si>
    <t>F6-Low-e4</t>
  </si>
  <si>
    <t>Refl4-Low-e4</t>
  </si>
  <si>
    <t>Dx7-Low-e4</t>
  </si>
  <si>
    <t>F4-F4-F4</t>
  </si>
  <si>
    <t>Low-e4-F4-Low-e4</t>
  </si>
  <si>
    <t>f4-Low-e4-Low-e4</t>
  </si>
  <si>
    <t>Homokolt matt-Low-e4</t>
  </si>
  <si>
    <t>Duplakockás-Low-e4</t>
  </si>
  <si>
    <t>Satin bronz-Low-e4</t>
  </si>
  <si>
    <t>Fust4-Low-e4</t>
  </si>
  <si>
    <t>Tukor-Tukor</t>
  </si>
  <si>
    <t>F4-F4-Low-e4</t>
  </si>
  <si>
    <t>Dx7-Low-e4-Low-e4</t>
  </si>
  <si>
    <t>Dx7-4s-Low-e4</t>
  </si>
  <si>
    <t>F3-F3</t>
  </si>
  <si>
    <t>4s-Low-e4-Low-e4</t>
  </si>
  <si>
    <t>4s-Low-e4</t>
  </si>
  <si>
    <t>4s-F4-Low-e4</t>
  </si>
  <si>
    <t>Homokolt matt-Low-e4-Low-e4</t>
  </si>
  <si>
    <t>Aprokockás-F4</t>
  </si>
  <si>
    <t>Tukor-Barna tüskés</t>
  </si>
  <si>
    <t>Dx7-Dx7-F6</t>
  </si>
  <si>
    <t>Dx7-F4-Low-e4</t>
  </si>
  <si>
    <t>Fehér delta2-Low-e4</t>
  </si>
  <si>
    <t>Barna csincsilla-Low-e4-Low-e4</t>
  </si>
  <si>
    <t>Barna delta2-Low-e4</t>
  </si>
  <si>
    <t>Barna fatörzs-Low-e4</t>
  </si>
  <si>
    <t>Fehér fatörzs-Low-e4</t>
  </si>
  <si>
    <t>Tukor-Barna csincsilla</t>
  </si>
  <si>
    <t>Barna tüskés-Low-e4</t>
  </si>
  <si>
    <t>F8-Low-e4</t>
  </si>
  <si>
    <t>Fehér screen-Low-e4</t>
  </si>
  <si>
    <t>Fehér delta2-F4</t>
  </si>
  <si>
    <t>F6-Low-e4-Low-e4</t>
  </si>
  <si>
    <t>Fehér screen-F4-Low-e4</t>
  </si>
  <si>
    <t>Fehér fatörzs-F4</t>
  </si>
  <si>
    <t>Homokolt matt-F4</t>
  </si>
  <si>
    <t>Aprokockás-Low-e4</t>
  </si>
  <si>
    <t>Refl4-Low-e4-Low-e4</t>
  </si>
  <si>
    <t>Fehér tüskés-Low-e4</t>
  </si>
  <si>
    <t>Barna csincsilla-Low-e4</t>
  </si>
  <si>
    <t>Aprokockás-F4-Low-e4</t>
  </si>
  <si>
    <t>Homokolt matt-F4-Low-e4</t>
  </si>
  <si>
    <t>Barna tégla-Low-e4</t>
  </si>
  <si>
    <t>Fehér tégla-Low-e4</t>
  </si>
  <si>
    <t>Dx7-Dx7</t>
  </si>
  <si>
    <t>Barna delta2-tukor</t>
  </si>
  <si>
    <t>Barna delta2-Tukor</t>
  </si>
  <si>
    <t>Refl4-Barna tüskés</t>
  </si>
  <si>
    <t>Satin bronz-Satin bronz</t>
  </si>
  <si>
    <t>4s-Homokolt matt-Low-e4</t>
  </si>
  <si>
    <t>F6-F4</t>
  </si>
  <si>
    <t>Refl4-F4</t>
  </si>
  <si>
    <t>Fehér csincsilla-Low-e4</t>
  </si>
  <si>
    <t>Fehér tüskés-F4</t>
  </si>
  <si>
    <t>Barna tüskés-F4</t>
  </si>
  <si>
    <t>Barna hóvirág-Low-e4</t>
  </si>
  <si>
    <t>Dx7-Homokolt matt-Low-e4</t>
  </si>
  <si>
    <t>Duplakockás-F4-Low-e4</t>
  </si>
  <si>
    <t>Fust4-Fehér fatörzs</t>
  </si>
  <si>
    <t>4s-Fehér fatörzs-Low-e4</t>
  </si>
  <si>
    <t>F6-F4-F4</t>
  </si>
  <si>
    <t>Barna fatörzs-F4</t>
  </si>
  <si>
    <t>4s-Fehér tégla-Low-e4</t>
  </si>
  <si>
    <t>Refl4-F4-Low-e4</t>
  </si>
  <si>
    <t>F6-F4-Low-e4</t>
  </si>
  <si>
    <t>4s-Low-e4-Dx7</t>
  </si>
  <si>
    <t>Fehér tégla-F4-Low-e4</t>
  </si>
  <si>
    <t>Tukor-Barna fatörzs</t>
  </si>
  <si>
    <t>Barna delta2-F4</t>
  </si>
  <si>
    <t>Fehér hóvirág-Low-e4-Low-e4</t>
  </si>
  <si>
    <t>4s-F4-Dx7</t>
  </si>
  <si>
    <t>Fehér tégla-F4</t>
  </si>
  <si>
    <t>Barna hóvirág-F4-Low-e4</t>
  </si>
  <si>
    <t>4s-Satin bronz-Low-e4</t>
  </si>
  <si>
    <t>Fehér tüskés-Low-e4-Low-e4</t>
  </si>
  <si>
    <t>Aprokockás-Low-e4-Low-e4</t>
  </si>
  <si>
    <t>Barna fatörzs-F4-Low-e4</t>
  </si>
  <si>
    <t>Fehér csincsilla-Low-e4-Low-e4</t>
  </si>
  <si>
    <t>Fehér screen-Tukor</t>
  </si>
  <si>
    <t>Dx7-Homokolt matt</t>
  </si>
  <si>
    <t>Tukor-Fehér tüskés</t>
  </si>
  <si>
    <t>Tukor-Satin bronz</t>
  </si>
  <si>
    <t>F4-Satin bronz</t>
  </si>
  <si>
    <t>Barna tégla-F4-Low-e4</t>
  </si>
  <si>
    <t>Refl4-Barna csincsilla</t>
  </si>
  <si>
    <t>Homokolt matt-Homokolt matt</t>
  </si>
  <si>
    <t>Tukor-Fehér fatörzs</t>
  </si>
  <si>
    <t>Refl4-F4-Homokolt matt</t>
  </si>
  <si>
    <t>Barna tüskés-Low-e4-Low-e4</t>
  </si>
  <si>
    <t>4s-Aprokockás-Low-e4</t>
  </si>
  <si>
    <t>Barna pálma-Low-e4</t>
  </si>
  <si>
    <t>Fehér tégla-Low-e4-Low-e4</t>
  </si>
  <si>
    <t>Barna fatörzs-Low-e4-Low-e4</t>
  </si>
  <si>
    <t>4s-Fehér csincsilla-Low-e4</t>
  </si>
  <si>
    <t>4s-Dx7</t>
  </si>
  <si>
    <t>Dx7-F6</t>
  </si>
  <si>
    <t>Refl4-Homokolt matt</t>
  </si>
  <si>
    <t>Satin bronz-F4-F4</t>
  </si>
  <si>
    <t>Fehér delta2-Low-e4-Low-e4</t>
  </si>
  <si>
    <t>Fehér hóvirág-Low-e4</t>
  </si>
  <si>
    <t>F6-F6</t>
  </si>
  <si>
    <t>Barna delta2-F4-Low-e4</t>
  </si>
  <si>
    <t>Fehér screen-F4</t>
  </si>
  <si>
    <t>Lowe 6-F6</t>
  </si>
  <si>
    <t>Fust4-Low-e4-Low-e4</t>
  </si>
  <si>
    <t>4s-F4</t>
  </si>
  <si>
    <t>Dx7-Homokolt matt-Dx7</t>
  </si>
  <si>
    <t>Refl4-Lowe 6</t>
  </si>
  <si>
    <t>Refl4-Homokolt matt-Low-e4</t>
  </si>
  <si>
    <t>Fust4-F4-Low-e4</t>
  </si>
  <si>
    <t>Fehér screen-Low-e4-Low-e4</t>
  </si>
  <si>
    <t>Tukor-Homokolt matt</t>
  </si>
  <si>
    <t>Satin bronz-F4-Low-e4</t>
  </si>
  <si>
    <t>Fehér csincsilla-F4-Low-e4</t>
  </si>
  <si>
    <t>4s-F6-Low-e4</t>
  </si>
  <si>
    <t>4S- F6- Low-e4</t>
  </si>
  <si>
    <t>Dx7-Fehér screen-Low-e4</t>
  </si>
  <si>
    <t>Dx7-Refl4-Low-e4_</t>
  </si>
  <si>
    <t>Dx7-barna tuskes-Low-e4</t>
  </si>
  <si>
    <t>Lowe 6-4s</t>
  </si>
  <si>
    <t>F6- Low-e6</t>
  </si>
  <si>
    <t>4.4.2. - Low-e4</t>
  </si>
  <si>
    <t>Tuz4-Low-e4_</t>
  </si>
  <si>
    <t>4.4.2. - Low-e6</t>
  </si>
  <si>
    <t>Tuz4-Lowe 6</t>
  </si>
  <si>
    <t>Dx7 (3.3.1.) - Low-e6</t>
  </si>
  <si>
    <t>Dx7-Lowe 6</t>
  </si>
  <si>
    <t>4S-F6</t>
  </si>
  <si>
    <t>4s-Fehér screen-Low-e4</t>
  </si>
  <si>
    <t>Dx7-F4-Refl4</t>
  </si>
  <si>
    <t>Aprokockás-Anti2</t>
  </si>
  <si>
    <t>Dx9-Low-e4</t>
  </si>
  <si>
    <t>F8-Dx9</t>
  </si>
  <si>
    <t>Satin bronz-Low-e4-Low-e4</t>
  </si>
  <si>
    <t>Fehér csincsilla-F4</t>
  </si>
  <si>
    <t>F6-Lowe 6-Low-e4</t>
  </si>
  <si>
    <t>Tukor-Fehér csincsilla</t>
  </si>
  <si>
    <t>Refl4-Low-e4-Lowe 6</t>
  </si>
  <si>
    <t>Fehér tüskés-F4-Low-e4</t>
  </si>
  <si>
    <t>F6E- 4S- Dx9</t>
  </si>
  <si>
    <t>4s-Low-e4-Lowe 6</t>
  </si>
  <si>
    <t>Dx9-F4-Low-e4</t>
  </si>
  <si>
    <t>F4-Lowe 6</t>
  </si>
  <si>
    <t>Dx7-Fehér fatörzs</t>
  </si>
  <si>
    <t>Dx9-Fehér fatörzs</t>
  </si>
  <si>
    <t>4s-F6-Lowe 6</t>
  </si>
  <si>
    <t>tukor-Barna delta2-Low-e4</t>
  </si>
  <si>
    <t>Dx7-F4</t>
  </si>
  <si>
    <t>Fust4-F4</t>
  </si>
  <si>
    <t>4s-Lowe 6</t>
  </si>
  <si>
    <t>Low-e4-Low-e4</t>
  </si>
  <si>
    <t>Homokolt matt-F4-F4</t>
  </si>
  <si>
    <t>4s-F6</t>
  </si>
  <si>
    <t>Lowe6-BarnaSatin-4s</t>
  </si>
  <si>
    <t>ref4-feher delta2</t>
  </si>
  <si>
    <t>ref4-barnadeta2</t>
  </si>
  <si>
    <t>Dx7-Satin bronz</t>
  </si>
  <si>
    <t>F3-Homokolt matt</t>
  </si>
  <si>
    <t>Dx7-Refl4-Low-e4E</t>
  </si>
  <si>
    <t>F6E-Fehér delta2</t>
  </si>
  <si>
    <t>Dx7-F4-F4</t>
  </si>
  <si>
    <t>Homokolt matt-F6</t>
  </si>
  <si>
    <t>Dx9-Homokolt matt</t>
  </si>
  <si>
    <t>Refl4-F6-F4</t>
  </si>
  <si>
    <t>F4E-Low-e4</t>
  </si>
  <si>
    <t>4S-F6-F4</t>
  </si>
  <si>
    <t>4s-F4-F4</t>
  </si>
  <si>
    <t>F6E-4S-Dx7</t>
  </si>
  <si>
    <t>Dx9-F4</t>
  </si>
  <si>
    <t>Refl4-F4-F4</t>
  </si>
  <si>
    <t>Fehér hóvirág-Fehér hóvirág</t>
  </si>
  <si>
    <t>Barna tüskés-F4-Low-e4</t>
  </si>
  <si>
    <t>4 évszakos- F4mm- Low-e4 termó</t>
  </si>
  <si>
    <t>Duplex- Screen - Low-e4</t>
  </si>
  <si>
    <t>dx7-barna tuskes-low-e4</t>
  </si>
  <si>
    <t>F6 -Low-e6 termó</t>
  </si>
  <si>
    <t>4.4.2. Silense - Low-e4 termó</t>
  </si>
  <si>
    <t>4.4.2. Silense - Low-e6 termó</t>
  </si>
  <si>
    <t>Duplex7 - Low-e6 termó</t>
  </si>
  <si>
    <r>
      <rPr>
        <sz val="11"/>
        <color theme="1"/>
        <rFont val="Calibri"/>
      </rPr>
      <t>Kobezol ár (</t>
    </r>
    <r>
      <rPr>
        <sz val="11"/>
        <color rgb="FF000000"/>
        <rFont val="Calibri"/>
      </rPr>
      <t>€/ m2)</t>
    </r>
  </si>
  <si>
    <t>megjegyzes primer miatt</t>
  </si>
  <si>
    <t>Float 4mm-Float 4mm termó</t>
  </si>
  <si>
    <t>Duplex</t>
  </si>
  <si>
    <t>F4</t>
  </si>
  <si>
    <t>166.00</t>
  </si>
  <si>
    <t>142.00</t>
  </si>
  <si>
    <t>Float 4mm-Low-e 4mm termó</t>
  </si>
  <si>
    <t>Low-e4</t>
  </si>
  <si>
    <t>177.00</t>
  </si>
  <si>
    <t>151.00</t>
  </si>
  <si>
    <t>4 evszakos-Low-e 4mm termó</t>
  </si>
  <si>
    <t>4s</t>
  </si>
  <si>
    <t>195.00</t>
  </si>
  <si>
    <t>Float 6mm-Low-e 4mm termó</t>
  </si>
  <si>
    <t>F6</t>
  </si>
  <si>
    <t>237.00</t>
  </si>
  <si>
    <t>202.00</t>
  </si>
  <si>
    <t>Mintas uveg feher fatorzs-Low-e 4mm termó</t>
  </si>
  <si>
    <t>Fehér fatörzs</t>
  </si>
  <si>
    <t>295.00</t>
  </si>
  <si>
    <t>251.00</t>
  </si>
  <si>
    <t>Duplakockas-Low-e 4mm termó</t>
  </si>
  <si>
    <t>Duplakockás</t>
  </si>
  <si>
    <t>272.00</t>
  </si>
  <si>
    <t>232.00</t>
  </si>
  <si>
    <t>Feher csincsilla-Low-e 4mm termó</t>
  </si>
  <si>
    <t>Fehér csincsilla</t>
  </si>
  <si>
    <t>Barna delta 2-Low-e 4mm termó</t>
  </si>
  <si>
    <t>Barna delta2</t>
  </si>
  <si>
    <t>307.00</t>
  </si>
  <si>
    <t>261.00</t>
  </si>
  <si>
    <t>Savmarta feher tuskes-Low-e 4mm termó</t>
  </si>
  <si>
    <t>Fehér tüskés</t>
  </si>
  <si>
    <t>Savmarta barna tuskes-Low-e 4mm termó</t>
  </si>
  <si>
    <t>Barna tüskés</t>
  </si>
  <si>
    <t>324.00</t>
  </si>
  <si>
    <t>276.00</t>
  </si>
  <si>
    <t>Homokfujt 4mm-Low-e 4mm termó</t>
  </si>
  <si>
    <t>Homokolt matt</t>
  </si>
  <si>
    <t>247.00</t>
  </si>
  <si>
    <t>210.00</t>
  </si>
  <si>
    <t>Satin bronz-Low-e 4mm termó</t>
  </si>
  <si>
    <t>Satin bronz</t>
  </si>
  <si>
    <t>263.00</t>
  </si>
  <si>
    <t>224.00</t>
  </si>
  <si>
    <t>Fustos 4mm-Low-e 4mm termó</t>
  </si>
  <si>
    <t>Fust4</t>
  </si>
  <si>
    <t>285.00</t>
  </si>
  <si>
    <t>243.00</t>
  </si>
  <si>
    <t>Duplex 3.1.3.-Low-e 4mm termó</t>
  </si>
  <si>
    <t>Dx7</t>
  </si>
  <si>
    <t>286.00</t>
  </si>
  <si>
    <t>244.00</t>
  </si>
  <si>
    <t>Reflexios 4mm-Low-e 4mm termó</t>
  </si>
  <si>
    <t>Refl4</t>
  </si>
  <si>
    <t>294.00</t>
  </si>
  <si>
    <t>250.00</t>
  </si>
  <si>
    <t>Tukor 4mm-Tukor 4mm termó</t>
  </si>
  <si>
    <t>Tukor</t>
  </si>
  <si>
    <t>353.00</t>
  </si>
  <si>
    <t>301.00</t>
  </si>
  <si>
    <t>Float 4mm-Float 4mm-Float 4mm termó</t>
  </si>
  <si>
    <t>Triplex</t>
  </si>
  <si>
    <t>340.00</t>
  </si>
  <si>
    <t>289.00</t>
  </si>
  <si>
    <t>Float 4mm-Float 4mm-Low-e 4mm termó</t>
  </si>
  <si>
    <t>Low-e 4mm-Float 4mm-Low-e 4mm termó</t>
  </si>
  <si>
    <t>Duplex 3.1.3.-Low-e 4mm-Low-e 4mm termó</t>
  </si>
  <si>
    <t>439.00</t>
  </si>
  <si>
    <t>374.00</t>
  </si>
  <si>
    <t>Duplex 3.1.3.-4 evszakos-Low-e 4mm termó</t>
  </si>
  <si>
    <t>433.00</t>
  </si>
  <si>
    <t>369.00</t>
  </si>
  <si>
    <t>Float 3mm-Float 3mm termó</t>
  </si>
  <si>
    <t>205.00</t>
  </si>
  <si>
    <t>175.00</t>
  </si>
  <si>
    <t>Homokfujt 4mm-Low-e 4mm-Low-e 4mm termó</t>
  </si>
  <si>
    <t>380.00</t>
  </si>
  <si>
    <t>323.00</t>
  </si>
  <si>
    <t>4 evszakos-Low-e 4mm-Low-e 4mm termó</t>
  </si>
  <si>
    <t>300.00</t>
  </si>
  <si>
    <t>255.00</t>
  </si>
  <si>
    <t>4 evszakos-Float 4mm-Low-e 4mm termó</t>
  </si>
  <si>
    <t>278.00</t>
  </si>
  <si>
    <t>Mintas uveg aprokockas-Float 4mm termó</t>
  </si>
  <si>
    <t>Aprokockás</t>
  </si>
  <si>
    <t>213.00</t>
  </si>
  <si>
    <t>Tukor 4mm-Savmarta barna tuskes termó</t>
  </si>
  <si>
    <t>395.00</t>
  </si>
  <si>
    <t>336.00</t>
  </si>
  <si>
    <t>Duplex 3.1.3.-Duplex 3.1.3.-Float 6mm termó</t>
  </si>
  <si>
    <t>456.00</t>
  </si>
  <si>
    <t>388.00</t>
  </si>
  <si>
    <t>Duplex 3.1.3.-Float 4mm-Low-e 4mm termó</t>
  </si>
  <si>
    <t>417.00</t>
  </si>
  <si>
    <t>355.00</t>
  </si>
  <si>
    <t>Mintas uveg delta 2-Low-e 4mm termó</t>
  </si>
  <si>
    <t>Fehér delta2</t>
  </si>
  <si>
    <t>Barna csincsilla-Low-e 4mm-Low-e 4mm termó</t>
  </si>
  <si>
    <t>Barna csincsilla</t>
  </si>
  <si>
    <t>460.00</t>
  </si>
  <si>
    <t>391.00</t>
  </si>
  <si>
    <t>Barna fatorzs-Low-e 4mm termó</t>
  </si>
  <si>
    <t>Barna fatörzs</t>
  </si>
  <si>
    <t>Tukor 4mm-Barna csincsilla termó</t>
  </si>
  <si>
    <t>357.00</t>
  </si>
  <si>
    <t>304.00</t>
  </si>
  <si>
    <t>Float 8mm-Low-e 4mm termó</t>
  </si>
  <si>
    <t>F8</t>
  </si>
  <si>
    <t>275.00</t>
  </si>
  <si>
    <t>234.00</t>
  </si>
  <si>
    <t>Feher screen-Low-e 4mm termó</t>
  </si>
  <si>
    <t>Fehér screen</t>
  </si>
  <si>
    <t>Mintas uveg delta 2-Float 4mm termó</t>
  </si>
  <si>
    <t>Float 6mm-Low-e 4mm-Low-e 4mm termó</t>
  </si>
  <si>
    <t>390.00</t>
  </si>
  <si>
    <t>332.00</t>
  </si>
  <si>
    <t>Feher screen-Float 4mm-Low-e 4mm termó</t>
  </si>
  <si>
    <t>396.00</t>
  </si>
  <si>
    <t>337.00</t>
  </si>
  <si>
    <t>Mintas uveg feher fatorzs-Float 4mm termó</t>
  </si>
  <si>
    <t>273.00</t>
  </si>
  <si>
    <t>233.00</t>
  </si>
  <si>
    <t>Homokfujt 4mm-Float 4mm termó</t>
  </si>
  <si>
    <t>225.00</t>
  </si>
  <si>
    <t>192.00</t>
  </si>
  <si>
    <t>Mintas uveg aprokockas-Low-e 4mm termó</t>
  </si>
  <si>
    <t>Reflexios 4mm-Low-e 4mm-Low-e 4mm termó</t>
  </si>
  <si>
    <t>447.00</t>
  </si>
  <si>
    <t>Barna csincsilla-Low-e 4mm termó</t>
  </si>
  <si>
    <t>Mintas uveg aprokockas-Float 4mm-Low-e 4mm termó</t>
  </si>
  <si>
    <t>403.00</t>
  </si>
  <si>
    <t>343.00</t>
  </si>
  <si>
    <t>Homokfujt 4mm-Float 4mm-Low-e 4mm termó</t>
  </si>
  <si>
    <t>358.00</t>
  </si>
  <si>
    <t>305.00</t>
  </si>
  <si>
    <t>Savamarta barna tegla-Low-e 4mm termó</t>
  </si>
  <si>
    <t>Barna tégla</t>
  </si>
  <si>
    <t>Savmarta feher Tegla-Low-e 4mm termó</t>
  </si>
  <si>
    <t>Fehér tégla</t>
  </si>
  <si>
    <t>Duplex 3.1.3.-Duplex 3.1.3. termó</t>
  </si>
  <si>
    <t>319.00</t>
  </si>
  <si>
    <t>Barna delta 2-Tukor 4mm termó</t>
  </si>
  <si>
    <t>Reflexios 4mm-Savmarta barna tuskes termó</t>
  </si>
  <si>
    <t>386.00</t>
  </si>
  <si>
    <t>329.00</t>
  </si>
  <si>
    <t>Satin bronz-Satin bronz termó</t>
  </si>
  <si>
    <t>303.00</t>
  </si>
  <si>
    <t>258.00</t>
  </si>
  <si>
    <t>4 evszakos-Homokfujt 4mm-Low-e 4mm termó</t>
  </si>
  <si>
    <t>424.00</t>
  </si>
  <si>
    <t>361.00</t>
  </si>
  <si>
    <t>Float 6mm-Float 4mm termó</t>
  </si>
  <si>
    <t>215.00</t>
  </si>
  <si>
    <t>183.00</t>
  </si>
  <si>
    <t>Reflexios 4mm-Float 4mm termó</t>
  </si>
  <si>
    <t>Savmarta feher tuskes-Float 4mm termó</t>
  </si>
  <si>
    <t>Savmarta barna tuskes-Float 4mm termó</t>
  </si>
  <si>
    <t>302.00</t>
  </si>
  <si>
    <t>257.00</t>
  </si>
  <si>
    <t>Savmarta barna hovirag-Low-e 4mm termó</t>
  </si>
  <si>
    <t>Barna hóvirág</t>
  </si>
  <si>
    <t>Duplex 3.1.3.-Homokfujt 4mm-Low-e 4mm termó</t>
  </si>
  <si>
    <t>463.00</t>
  </si>
  <si>
    <t>394.00</t>
  </si>
  <si>
    <t>Duplakockas-Float 4mm-Low-e 4mm termó</t>
  </si>
  <si>
    <t>Fustos 4mm-Mintas uveg feher fatorzs termó</t>
  </si>
  <si>
    <t>327.00</t>
  </si>
  <si>
    <t>4 evszakos-Mintas uveg feher fatorzs-Low-e 4mm termó</t>
  </si>
  <si>
    <t>442.00</t>
  </si>
  <si>
    <t>376.00</t>
  </si>
  <si>
    <t>Float 6mm-Float 4mm-Float 4mm termó</t>
  </si>
  <si>
    <t>346.00</t>
  </si>
  <si>
    <t>Barna fatorzs-Float 4mm termó</t>
  </si>
  <si>
    <t>4 evszakos-Savmarta feher Tegla-Low-e 4mm termó</t>
  </si>
  <si>
    <t>Reflexios 4mm-Float 4mm-Low-e 4mm termó</t>
  </si>
  <si>
    <t>425.00</t>
  </si>
  <si>
    <t>362.00</t>
  </si>
  <si>
    <t>Float 6mm-Float 4mm-Low-e 4mm termó</t>
  </si>
  <si>
    <t>368.00</t>
  </si>
  <si>
    <t>313.00</t>
  </si>
  <si>
    <t>4 evszakos-Low-e 4mm-Duplex 3.1.3. termó</t>
  </si>
  <si>
    <t>Savmarta feher Tegla-Float 4mm-Low-e 4mm termó</t>
  </si>
  <si>
    <t>426.00</t>
  </si>
  <si>
    <t>363.00</t>
  </si>
  <si>
    <t>Tukor 4mm-Barna fatorzs termó</t>
  </si>
  <si>
    <t>Barna csincsilla-F4</t>
  </si>
  <si>
    <t>Barna csincsilla-Float 4mm termó</t>
  </si>
  <si>
    <t>Barna delta 2-Float 4mm termó</t>
  </si>
  <si>
    <t>Fehér hóvirág-Low-e 4mm-Low-e 4mm termó</t>
  </si>
  <si>
    <t>Fehér hóvirág</t>
  </si>
  <si>
    <t>448.00</t>
  </si>
  <si>
    <t>381.00</t>
  </si>
  <si>
    <t>4 evszakos-Float 4mm-Duplex 3.1.3. termó</t>
  </si>
  <si>
    <t>411.00</t>
  </si>
  <si>
    <t>350.00</t>
  </si>
  <si>
    <t>Savmarta feher Tegla-Float 4mm termó</t>
  </si>
  <si>
    <t>Savmarta barna hovirag-Float 4mm-Low-e 4mm termó</t>
  </si>
  <si>
    <t>476.00</t>
  </si>
  <si>
    <t>405.00</t>
  </si>
  <si>
    <t>4 evszakos-Satin bronz-Low-e 4mm termó</t>
  </si>
  <si>
    <t>Savmarta feher tuskes-Low-e 4mm-Low-e 4mm termó</t>
  </si>
  <si>
    <t>Mintas uveg aprokockas-Low-e 4mm-Low-e 4mm termó</t>
  </si>
  <si>
    <t>Barna fatorzs-Float 4mm-Low-e 4mm termó</t>
  </si>
  <si>
    <t>438.00</t>
  </si>
  <si>
    <t>373.00</t>
  </si>
  <si>
    <t>Feher csincsilla-Low-e 4mm-Low-e 4mm termó</t>
  </si>
  <si>
    <t>Feher screen-Tukor 4mm termó</t>
  </si>
  <si>
    <t>315.00</t>
  </si>
  <si>
    <t>268.00</t>
  </si>
  <si>
    <t>Duplex 3.1.3.-Homokfujt 4mm termó</t>
  </si>
  <si>
    <t>310.00</t>
  </si>
  <si>
    <t>264.00</t>
  </si>
  <si>
    <t>Tukor 4mm-Savmarta feher tuskes termó</t>
  </si>
  <si>
    <t>345.00</t>
  </si>
  <si>
    <t>Tukor 4mm-Satin bronz termó</t>
  </si>
  <si>
    <t>328.00</t>
  </si>
  <si>
    <t>279.00</t>
  </si>
  <si>
    <t>Float 4mm-Satin bronz termó</t>
  </si>
  <si>
    <t>256.00</t>
  </si>
  <si>
    <t>218.00</t>
  </si>
  <si>
    <t>Savamarta barna tegla-Float 4mm-Low-e 4mm termó</t>
  </si>
  <si>
    <t>Reflexios 4mm-Barna csincsilla termó</t>
  </si>
  <si>
    <t>348.00</t>
  </si>
  <si>
    <t>296.00</t>
  </si>
  <si>
    <t>Homokfujt 4mm-Homokfujt 4mm termó</t>
  </si>
  <si>
    <t>Tukor 4mm-Mintas uveg feher fatorzs termó</t>
  </si>
  <si>
    <t>Reflexios 4mm-Float 4mm-Homokfujt 4mm termó</t>
  </si>
  <si>
    <t>449.00</t>
  </si>
  <si>
    <t>382.00</t>
  </si>
  <si>
    <t>Savmarta barna tuskes-Low-e 4mm-Low-e 4mm termó</t>
  </si>
  <si>
    <t>458.00</t>
  </si>
  <si>
    <t>4 evszakos-Mintas uveg aprokockas-Low-e 4mm termó</t>
  </si>
  <si>
    <t>419.00</t>
  </si>
  <si>
    <t>Savmarta barna palma-Low-e 4mm termó</t>
  </si>
  <si>
    <t>Barna pálma</t>
  </si>
  <si>
    <t>Savmarta feher Tegla-Low-e 4mm-Low-e 4mm termó</t>
  </si>
  <si>
    <t>Barna fatorzs-Low-e 4mm-Low-e 4mm termó</t>
  </si>
  <si>
    <t>4 evszakos-Feher csincsilla-Low-e 4mm termó</t>
  </si>
  <si>
    <t>4 evszakos-Duplex 3.1.3. termó</t>
  </si>
  <si>
    <t>280.00</t>
  </si>
  <si>
    <t>238.00</t>
  </si>
  <si>
    <t>Duplex 3.1.3.-Float 6mm termó</t>
  </si>
  <si>
    <t>270.00</t>
  </si>
  <si>
    <t>230.00</t>
  </si>
  <si>
    <t>Reflexios 4mm-Homokfujt 4mm termó</t>
  </si>
  <si>
    <t>318.00</t>
  </si>
  <si>
    <t>271.00</t>
  </si>
  <si>
    <t>Satin bronz-Float 4mm-Float 4mm termó</t>
  </si>
  <si>
    <t>287.00</t>
  </si>
  <si>
    <t>Mintas uveg delta 2-Low-e 4mm-Low-e 4mm termó</t>
  </si>
  <si>
    <t>Fehér hóvirág-Low-e 4mm termó</t>
  </si>
  <si>
    <t>Float 6mm-Float 6mm termó</t>
  </si>
  <si>
    <t>221.00</t>
  </si>
  <si>
    <t>188.00</t>
  </si>
  <si>
    <t>Barna delta 2-Float 4mm-Low-e 4mm termó</t>
  </si>
  <si>
    <t>Feher screen-Float 4mm termó</t>
  </si>
  <si>
    <t>228.00</t>
  </si>
  <si>
    <t>194.00</t>
  </si>
  <si>
    <t>Lowe 6 mm-Float 6mm termó</t>
  </si>
  <si>
    <t>Lowe 6</t>
  </si>
  <si>
    <t>Fustos 4mm-Low-e 4mm-Low-e 4mm termó</t>
  </si>
  <si>
    <t>4 evszakos-Float 4mm termó</t>
  </si>
  <si>
    <t>174.00</t>
  </si>
  <si>
    <t>148.00</t>
  </si>
  <si>
    <t>Duplex 3.1.3.-Homokfujt 4mm-Duplex 3.1.3. termó</t>
  </si>
  <si>
    <t>496.00</t>
  </si>
  <si>
    <t>422.00</t>
  </si>
  <si>
    <t>Reflexios 4mm-Lowe 6 mm termó</t>
  </si>
  <si>
    <t>393.00</t>
  </si>
  <si>
    <t>335.00</t>
  </si>
  <si>
    <t>Reflexios 4mm-Homokfujt 4mm-Low-e 4mm termó</t>
  </si>
  <si>
    <t>471.00</t>
  </si>
  <si>
    <t>401.00</t>
  </si>
  <si>
    <t>Fustos 4mm-Float 4mm-Low-e 4mm termó</t>
  </si>
  <si>
    <t>416.00</t>
  </si>
  <si>
    <t>354.00</t>
  </si>
  <si>
    <t>Feher screen-Low-e 4mm-Low-e 4mm termó</t>
  </si>
  <si>
    <t>418.00</t>
  </si>
  <si>
    <t>356.00</t>
  </si>
  <si>
    <t>Tukor 4mm-Homokfujt 4mm termó</t>
  </si>
  <si>
    <t>Satin bronz-Float 4mm-Low-e 4mm termó</t>
  </si>
  <si>
    <t>379.00</t>
  </si>
  <si>
    <t>Feher csincsilla-Float 4mm-Low-e 4mm termó</t>
  </si>
  <si>
    <t>4 evszakos-Float 6mm-Low-e 4mm termó</t>
  </si>
  <si>
    <t>384.00</t>
  </si>
  <si>
    <t>Duplex 3.1.3.-Feher screen-Low-e 4mm termó</t>
  </si>
  <si>
    <t>451.00</t>
  </si>
  <si>
    <t>Dx7-Refl4-Low-e4</t>
  </si>
  <si>
    <t>Duplex 3.1.3.-Reflexios 4mm-Low-e 4mm termó</t>
  </si>
  <si>
    <t>480.00</t>
  </si>
  <si>
    <t>408.00</t>
  </si>
  <si>
    <t>Lowe 6 mm-4 evszakos termó</t>
  </si>
  <si>
    <t>Tuz4-Low-e4</t>
  </si>
  <si>
    <t>Tuzallo -Low-e 4mm termó</t>
  </si>
  <si>
    <t>Tuz4</t>
  </si>
  <si>
    <t>3,153.00</t>
  </si>
  <si>
    <t>2,681.00</t>
  </si>
  <si>
    <t>Tuzallo -Lowe 6 mm termó</t>
  </si>
  <si>
    <t>3,252.00</t>
  </si>
  <si>
    <t>2,765.00</t>
  </si>
  <si>
    <t>Duplex 3.1.3.-Lowe 6 mm termó</t>
  </si>
  <si>
    <t>385.00</t>
  </si>
  <si>
    <t>4 evszakos-Feher screen-Low-e 4mm termó</t>
  </si>
  <si>
    <t>412.00</t>
  </si>
  <si>
    <t>351.00</t>
  </si>
  <si>
    <t>Duplex 3.1.3.-Float 4mm-Reflexios 4mm termó</t>
  </si>
  <si>
    <t>Mintas uveg aprokockas-Antireflex 2mm termó</t>
  </si>
  <si>
    <t>Anti2</t>
  </si>
  <si>
    <t>334.00</t>
  </si>
  <si>
    <t>284.00</t>
  </si>
  <si>
    <t>Duplex 4.2.4-Low-e 4mm termó</t>
  </si>
  <si>
    <t>Dx9</t>
  </si>
  <si>
    <t>603.00</t>
  </si>
  <si>
    <t>513.00</t>
  </si>
  <si>
    <t>Float 8mm-Duplex 4.2.4 termó</t>
  </si>
  <si>
    <t>625.00</t>
  </si>
  <si>
    <t>532.00</t>
  </si>
  <si>
    <t>Satin bronz-Low-e 4mm-Low-e 4mm termó</t>
  </si>
  <si>
    <t>341.00</t>
  </si>
  <si>
    <t>Feher csincsilla-Float 4mm termó</t>
  </si>
  <si>
    <t>Float 6mm-Lowe 6 mm-Low-e 4mm termó</t>
  </si>
  <si>
    <t>489.00</t>
  </si>
  <si>
    <t>Tukor 4mm-Feher csincsilla termó</t>
  </si>
  <si>
    <t>322.00</t>
  </si>
  <si>
    <t>274.00</t>
  </si>
  <si>
    <t>Reflexios 4mm-Low-e 4mm-Lowe 6 mm termó</t>
  </si>
  <si>
    <t>546.00</t>
  </si>
  <si>
    <t>465.00</t>
  </si>
  <si>
    <t>Savmarta feher tuskes-Float 4mm-Low-e 4mm termó</t>
  </si>
  <si>
    <t>tetőüveg</t>
  </si>
  <si>
    <t>F6E</t>
  </si>
  <si>
    <t>902.00</t>
  </si>
  <si>
    <t>767.00</t>
  </si>
  <si>
    <t>4 evszakos-Low-e 4mm-Lowe 6 mm termó</t>
  </si>
  <si>
    <t>499.00</t>
  </si>
  <si>
    <t>Duplex 4.2.4-Float 4mm-Low-e 4mm termó</t>
  </si>
  <si>
    <t>734.00</t>
  </si>
  <si>
    <t>624.00</t>
  </si>
  <si>
    <t>Float 4mm-Lowe 6 mm termó</t>
  </si>
  <si>
    <t>330.00</t>
  </si>
  <si>
    <t>281.00</t>
  </si>
  <si>
    <t>Tukor-Low-e4</t>
  </si>
  <si>
    <t>Tukor 4mm-Low-e 4mm termó</t>
  </si>
  <si>
    <t>Duplex 3.1.3.-Mintas uveg feher fatorzs termó</t>
  </si>
  <si>
    <t>Duplex 4.2.4-Mintas uveg feher fatorzs termó</t>
  </si>
  <si>
    <t>645.00</t>
  </si>
  <si>
    <t>549.00</t>
  </si>
  <si>
    <t>4 evszakos-Float 6mm-Lowe 6 mm termó</t>
  </si>
  <si>
    <t>483.00</t>
  </si>
  <si>
    <t>Tukor 4mm-Barna delta 2-Low-e 4mm termó</t>
  </si>
  <si>
    <t>tukor</t>
  </si>
  <si>
    <t>510.00</t>
  </si>
  <si>
    <t>434.00</t>
  </si>
  <si>
    <t>Duplex 3.1.3.-Float 4mm termó</t>
  </si>
  <si>
    <t>Fustos 4mm-Float 4mm termó</t>
  </si>
  <si>
    <t>Flot6-4s</t>
  </si>
  <si>
    <t>231.00</t>
  </si>
  <si>
    <t>197.00</t>
  </si>
  <si>
    <t>4 evszakos-Lowe 6 mm termó</t>
  </si>
  <si>
    <t>Low-e 4mm-Low-e 4mm termó</t>
  </si>
  <si>
    <t>253.00</t>
  </si>
  <si>
    <t>216.00</t>
  </si>
  <si>
    <t>Homokfujt 4mm-Float 4mm-Float 4mm termó</t>
  </si>
  <si>
    <t>4 evszakos-Float 6mm termó</t>
  </si>
  <si>
    <t>F6-Refl4-Low-e4</t>
  </si>
  <si>
    <t>Float 6mm-Reflexios 4mm-Low-e 4mm termó</t>
  </si>
  <si>
    <t>431.00</t>
  </si>
  <si>
    <t>367.00</t>
  </si>
  <si>
    <t>Lowe 6mm-BarnaSatin 4mm-4 evszakos</t>
  </si>
  <si>
    <t>524.00</t>
  </si>
  <si>
    <t>446.00</t>
  </si>
  <si>
    <t>reflexios 4mm-feher delta2</t>
  </si>
  <si>
    <t>267.00</t>
  </si>
  <si>
    <t>reflexios 4mm-barnadelta2</t>
  </si>
  <si>
    <t>Duplex 3.1.3.-Satin bronz termó</t>
  </si>
  <si>
    <t>311.00</t>
  </si>
  <si>
    <t>265.00</t>
  </si>
  <si>
    <t>Float 3mm-Homokfujt 4mm termó</t>
  </si>
  <si>
    <t>F3</t>
  </si>
  <si>
    <t>Duplex 3.1.3.-Reflexios 4mm-Low-e 4mm edzve termó</t>
  </si>
  <si>
    <t>Low-e4E</t>
  </si>
  <si>
    <t>680.00</t>
  </si>
  <si>
    <t>578.00</t>
  </si>
  <si>
    <t>F6mm edzve-Mintas uveg delta 2 termó</t>
  </si>
  <si>
    <t>Duplex 3.1.3.-Float 4mm-Float 4mm termó</t>
  </si>
  <si>
    <t>Homokfujt 4mm-Float 6mm termó</t>
  </si>
  <si>
    <t>222.00</t>
  </si>
  <si>
    <t>Duplex 4.2.4-Homokfujt 4mm termó</t>
  </si>
  <si>
    <t>627.00</t>
  </si>
  <si>
    <t>533.00</t>
  </si>
  <si>
    <t>Reflexios 4mm-Float 6mm-Float 4mm termó</t>
  </si>
  <si>
    <t>409.00</t>
  </si>
  <si>
    <t>Float 4mm edzve-Low-e 4mm termó</t>
  </si>
  <si>
    <t>F4E</t>
  </si>
  <si>
    <t>387.00</t>
  </si>
  <si>
    <t>4 evszakos-Float 6mm-Float 4mm termó</t>
  </si>
  <si>
    <t>4S</t>
  </si>
  <si>
    <t>308.00</t>
  </si>
  <si>
    <t>4 evszakos-Float 4mm-Float 4mm termó</t>
  </si>
  <si>
    <t>F6mm edzve-4 evszakos-Duplex 3.1.3. termó</t>
  </si>
  <si>
    <t>585.00</t>
  </si>
  <si>
    <t>498.00</t>
  </si>
  <si>
    <t>Duplex 4.2.4-Float 4mm termó</t>
  </si>
  <si>
    <t>581.00</t>
  </si>
  <si>
    <t>494.00</t>
  </si>
  <si>
    <t>Reflexios 4mm-Float 4mm-Float 4mm termó</t>
  </si>
  <si>
    <t>Fehér hóvirág-Fehér hóvirág termó</t>
  </si>
  <si>
    <t>Savmarta barna tuskes-Float 4mm-Low-e 4mm termó</t>
  </si>
  <si>
    <t>436.00</t>
  </si>
  <si>
    <t>371.00</t>
  </si>
  <si>
    <t>-</t>
  </si>
  <si>
    <t>#HIÁNYZIK</t>
  </si>
  <si>
    <t>SIMA UVEG!</t>
  </si>
  <si>
    <t>Termek tipus</t>
  </si>
  <si>
    <t>Modosítás dátuma</t>
  </si>
  <si>
    <t>4 evszakos</t>
  </si>
  <si>
    <t>Uveg</t>
  </si>
  <si>
    <t>Antireflex 2mm</t>
  </si>
  <si>
    <t>Mintas uveg aprokockas</t>
  </si>
  <si>
    <t>Barna delta 2</t>
  </si>
  <si>
    <t>Barna fatorzs</t>
  </si>
  <si>
    <t>Savmarta barna hovirag</t>
  </si>
  <si>
    <t>Savmarta barna palma</t>
  </si>
  <si>
    <t>Savamarta barna tegla</t>
  </si>
  <si>
    <t>Savmarta barna tuskes</t>
  </si>
  <si>
    <t>Duplakockas</t>
  </si>
  <si>
    <t>Duplex 3.1.3.</t>
  </si>
  <si>
    <t>Duplex 4.2.4</t>
  </si>
  <si>
    <t>F10</t>
  </si>
  <si>
    <t>Float 10mm</t>
  </si>
  <si>
    <t>F2</t>
  </si>
  <si>
    <t>Float 2mm</t>
  </si>
  <si>
    <t>Float 3mm</t>
  </si>
  <si>
    <t>Float 4mm</t>
  </si>
  <si>
    <t>Float 6mm</t>
  </si>
  <si>
    <t>Float 8mm</t>
  </si>
  <si>
    <t>Feher csincsilla</t>
  </si>
  <si>
    <t>Mintas uveg delta 2</t>
  </si>
  <si>
    <t>Mintas uveg feher fatorzs</t>
  </si>
  <si>
    <t>Feher screen</t>
  </si>
  <si>
    <t>Savmarta feher Tegla</t>
  </si>
  <si>
    <t>Savmarta feher tuskes</t>
  </si>
  <si>
    <t>Fustos 4mm</t>
  </si>
  <si>
    <t>Fust6</t>
  </si>
  <si>
    <t>Fustos 6mm</t>
  </si>
  <si>
    <t>Homokfujt 4mm</t>
  </si>
  <si>
    <t>Lowe 6 mm</t>
  </si>
  <si>
    <t>Low-e 4mm</t>
  </si>
  <si>
    <t>Plex3</t>
  </si>
  <si>
    <t>Plexid 3mm</t>
  </si>
  <si>
    <t>Plex5</t>
  </si>
  <si>
    <t>Plexid 5mm</t>
  </si>
  <si>
    <t>Reflexios 4mm</t>
  </si>
  <si>
    <t>Tukor 4mm</t>
  </si>
  <si>
    <t>Tuzallo</t>
  </si>
  <si>
    <t>F6mm edzve</t>
  </si>
  <si>
    <t>üveg</t>
  </si>
  <si>
    <t>Low-e 4mm edzve</t>
  </si>
  <si>
    <t>Float 4mm edzve</t>
  </si>
  <si>
    <t>Dx8</t>
  </si>
  <si>
    <t>Duplex 4.1.4</t>
  </si>
  <si>
    <t>Retegszam</t>
  </si>
  <si>
    <t>Ar</t>
  </si>
  <si>
    <t>Vastagsag</t>
  </si>
  <si>
    <t>Gaz</t>
  </si>
  <si>
    <t>Argon</t>
  </si>
  <si>
    <t>24 (14,5)</t>
  </si>
  <si>
    <t>12(5,5)</t>
  </si>
  <si>
    <t xml:space="preserve">Tuzallo </t>
  </si>
  <si>
    <t>Duplex 7mm</t>
  </si>
  <si>
    <t>Tukor 4m</t>
  </si>
  <si>
    <t>Duplex 9mm</t>
  </si>
  <si>
    <t>F4_</t>
  </si>
  <si>
    <t>Uveg, alap ár</t>
  </si>
  <si>
    <t>Low-e4_</t>
  </si>
  <si>
    <t>2022,09,20</t>
  </si>
  <si>
    <t>tartarot</t>
  </si>
  <si>
    <t>Eltero Forma</t>
  </si>
  <si>
    <t>Meleg Perem tipusok</t>
  </si>
  <si>
    <t>Nincs</t>
  </si>
  <si>
    <t>Szurke</t>
  </si>
  <si>
    <t>BENKORBAN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</si>
</sst>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00000"/>
    <numFmt numFmtId="165" formatCode="&quot;Egység ár: &quot;#&quot; lej&quot;"/>
    <numFmt numFmtId="166" formatCode="yyyy\.mm\.dd"/>
    <numFmt numFmtId="167" formatCode="&quot;Megrendelői Szám:&quot;\ @"/>
    <numFmt numFmtId="168" formatCode="[$-40E]mmmm\ d\."/>
    <numFmt numFmtId="169" formatCode="#,##0.0"/>
    <numFmt numFmtId="170" formatCode="&quot;Glaserdi sorszám: &quot;00000"/>
    <numFmt numFmtId="171" formatCode="&quot;M. Szám:&quot;\ @"/>
    <numFmt numFmtId="172" formatCode="#,##0.000"/>
    <numFmt numFmtId="173" formatCode="yyyy/mm/dd"/>
    <numFmt numFmtId="174" formatCode="_-* #,##0\ _F_t_-;\-* #,##0\ _F_t_-;_-* &quot;-&quot;??\ _F_t_-;_-@"/>
  </numFmts>
  <fonts count="25" x14ac:knownFonts="1">
    <font>
      <sz val="11"/>
      <color theme="1"/>
      <name val="Calibri"/>
      <scheme val="minor"/>
    </font>
    <font>
      <sz val="11"/>
      <color theme="1"/>
      <name val="Calibri"/>
      <scheme val="minor"/>
    </font>
    <font>
      <sz val="8"/>
      <color theme="1"/>
      <name val="Verdana"/>
    </font>
    <font>
      <sz val="8"/>
      <color theme="1"/>
      <name val="Calibri"/>
    </font>
    <font>
      <i/>
      <sz val="8"/>
      <color theme="1"/>
      <name val="Arial"/>
    </font>
    <font>
      <sz val="8"/>
      <color theme="1"/>
      <name val="Arial"/>
    </font>
    <font>
      <sz val="10"/>
      <color theme="1"/>
      <name val="Arial"/>
    </font>
    <font>
      <sz val="11"/>
      <name val="Calibri"/>
    </font>
    <font>
      <b/>
      <sz val="10"/>
      <color theme="1"/>
      <name val="Arial"/>
    </font>
    <font>
      <b/>
      <sz val="9"/>
      <color theme="1"/>
      <name val="Arial"/>
    </font>
    <font>
      <b/>
      <sz val="12"/>
      <color theme="1"/>
      <name val="Arial"/>
    </font>
    <font>
      <b/>
      <sz val="10"/>
      <color theme="0"/>
      <name val="Arial"/>
    </font>
    <font>
      <sz val="8"/>
      <color theme="0"/>
      <name val="Arial"/>
    </font>
    <font>
      <b/>
      <sz val="8"/>
      <color theme="1"/>
      <name val="Arial"/>
    </font>
    <font>
      <sz val="9"/>
      <color theme="1"/>
      <name val="Arial"/>
    </font>
    <font>
      <sz val="8"/>
      <color rgb="FFD8D8D8"/>
      <name val="Arial"/>
    </font>
    <font>
      <sz val="8"/>
      <color rgb="FF7F7F7F"/>
      <name val="Arial"/>
    </font>
    <font>
      <b/>
      <u/>
      <sz val="9"/>
      <color theme="1"/>
      <name val="Arial"/>
    </font>
    <font>
      <sz val="11"/>
      <color theme="1"/>
      <name val="Calibri"/>
    </font>
    <font>
      <sz val="12"/>
      <color theme="1"/>
      <name val="Calibri"/>
    </font>
    <font>
      <sz val="14"/>
      <color theme="1"/>
      <name val="Calibri"/>
    </font>
    <font>
      <sz val="11"/>
      <color theme="0"/>
      <name val="Calibri"/>
    </font>
    <font>
      <sz val="12"/>
      <color theme="1"/>
      <name val="Arial"/>
    </font>
    <font>
      <b/>
      <i/>
      <sz val="8"/>
      <color theme="1"/>
      <name val="Arial"/>
    </font>
    <font>
      <sz val="11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FFF99"/>
        <bgColor rgb="FFFFFF99"/>
      </patternFill>
    </fill>
  </fills>
  <borders count="37">
    <border>
      <left/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8D8D8"/>
      </top>
      <bottom style="thin">
        <color rgb="FFD8D8D8"/>
      </bottom>
      <diagonal/>
    </border>
    <border>
      <left/>
      <right/>
      <top/>
      <bottom style="thin">
        <color rgb="FFD8D8D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FFFFFF"/>
      </right>
      <top style="thin">
        <color rgb="FFA6A6A6"/>
      </top>
      <bottom style="thin">
        <color rgb="FFA6A6A6"/>
      </bottom>
      <diagonal/>
    </border>
    <border>
      <left style="thin">
        <color rgb="FFFFFFFF"/>
      </left>
      <right style="thin">
        <color rgb="FFFFFFFF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5A5A5"/>
      </top>
      <bottom style="thin">
        <color rgb="FFA5A5A5"/>
      </bottom>
      <diagonal/>
    </border>
    <border>
      <left/>
      <right style="thin">
        <color rgb="FFFFFFFF"/>
      </right>
      <top style="thin">
        <color rgb="FFA6A6A6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A6A6A6"/>
      </top>
      <bottom style="thin">
        <color rgb="FFFFFFFF"/>
      </bottom>
      <diagonal/>
    </border>
    <border>
      <left/>
      <right style="thin">
        <color rgb="FFFFFFFF"/>
      </right>
      <top style="thin">
        <color rgb="FFA6A6A6"/>
      </top>
      <bottom/>
      <diagonal/>
    </border>
    <border>
      <left style="thin">
        <color rgb="FFFFFFFF"/>
      </left>
      <right style="thin">
        <color rgb="FFFFFFFF"/>
      </right>
      <top style="thin">
        <color rgb="FFA6A6A6"/>
      </top>
      <bottom/>
      <diagonal/>
    </border>
    <border>
      <left/>
      <right/>
      <top style="thin">
        <color rgb="FFA5A5A5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rgb="FFA5A5A5"/>
      </top>
      <bottom style="thin">
        <color rgb="FFA5A5A5"/>
      </bottom>
      <diagonal/>
    </border>
    <border>
      <left style="thin">
        <color theme="0"/>
      </left>
      <right style="thin">
        <color theme="0"/>
      </right>
      <top style="thin">
        <color rgb="FFA5A5A5"/>
      </top>
      <bottom style="thin">
        <color rgb="FFA5A5A5"/>
      </bottom>
      <diagonal/>
    </border>
    <border>
      <left style="thin">
        <color theme="0"/>
      </left>
      <right/>
      <top style="thin">
        <color rgb="FFA5A5A5"/>
      </top>
      <bottom style="thin">
        <color rgb="FFA5A5A5"/>
      </bottom>
      <diagonal/>
    </border>
    <border>
      <left/>
      <right style="thin">
        <color theme="0"/>
      </right>
      <top style="thin">
        <color rgb="FFA5A5A5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rgb="FFA5A5A5"/>
      </top>
      <bottom style="thin">
        <color rgb="FF000000"/>
      </bottom>
      <diagonal/>
    </border>
    <border>
      <left style="thin">
        <color theme="0"/>
      </left>
      <right/>
      <top style="thin">
        <color rgb="FFA5A5A5"/>
      </top>
      <bottom style="thin">
        <color rgb="FF000000"/>
      </bottom>
      <diagonal/>
    </border>
    <border>
      <left/>
      <right style="thin">
        <color theme="0"/>
      </right>
      <top/>
      <bottom style="thin">
        <color rgb="FFA5A5A5"/>
      </bottom>
      <diagonal/>
    </border>
    <border>
      <left style="thin">
        <color theme="0"/>
      </left>
      <right/>
      <top/>
      <bottom style="thin">
        <color rgb="FFA5A5A5"/>
      </bottom>
      <diagonal/>
    </border>
  </borders>
  <cellStyleXfs count="1">
    <xf numFmtId="0" fontId="0" fillId="0" borderId="0"/>
  </cellStyleXfs>
  <cellXfs count="202">
    <xf numFmtId="0" fontId="0" fillId="0" borderId="0" xfId="0"/>
    <xf numFmtId="0" fontId="1" fillId="0" borderId="0" xfId="0" applyFont="1"/>
    <xf numFmtId="164" fontId="2" fillId="0" borderId="0" xfId="0" applyNumberFormat="1" applyFont="1" applyAlignment="1">
      <alignment wrapText="1"/>
    </xf>
    <xf numFmtId="164" fontId="3" fillId="0" borderId="0" xfId="0" applyNumberFormat="1" applyFont="1"/>
    <xf numFmtId="0" fontId="4" fillId="2" borderId="1" xfId="0" applyFont="1" applyFill="1" applyBorder="1" applyAlignment="1">
      <alignment wrapText="1"/>
    </xf>
    <xf numFmtId="0" fontId="4" fillId="2" borderId="2" xfId="0" applyFont="1" applyFill="1" applyBorder="1" applyAlignment="1">
      <alignment wrapText="1"/>
    </xf>
    <xf numFmtId="0" fontId="5" fillId="2" borderId="3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vertical="center" wrapText="1"/>
    </xf>
    <xf numFmtId="0" fontId="5" fillId="2" borderId="4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wrapText="1"/>
    </xf>
    <xf numFmtId="0" fontId="5" fillId="2" borderId="2" xfId="0" applyFont="1" applyFill="1" applyBorder="1" applyAlignment="1">
      <alignment horizontal="right" vertical="center" wrapText="1"/>
    </xf>
    <xf numFmtId="2" fontId="5" fillId="2" borderId="2" xfId="0" applyNumberFormat="1" applyFont="1" applyFill="1" applyBorder="1" applyAlignment="1">
      <alignment horizontal="right" vertical="center" wrapText="1"/>
    </xf>
    <xf numFmtId="165" fontId="9" fillId="2" borderId="2" xfId="0" applyNumberFormat="1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right" wrapText="1"/>
    </xf>
    <xf numFmtId="0" fontId="5" fillId="3" borderId="2" xfId="0" applyFont="1" applyFill="1" applyBorder="1" applyAlignment="1">
      <alignment horizontal="left" wrapText="1"/>
    </xf>
    <xf numFmtId="0" fontId="10" fillId="2" borderId="2" xfId="0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left" vertical="center" wrapText="1"/>
    </xf>
    <xf numFmtId="167" fontId="8" fillId="2" borderId="2" xfId="0" applyNumberFormat="1" applyFont="1" applyFill="1" applyBorder="1" applyAlignment="1">
      <alignment vertical="center" wrapText="1"/>
    </xf>
    <xf numFmtId="0" fontId="11" fillId="2" borderId="2" xfId="0" applyFont="1" applyFill="1" applyBorder="1" applyAlignment="1">
      <alignment wrapText="1"/>
    </xf>
    <xf numFmtId="0" fontId="12" fillId="2" borderId="2" xfId="0" applyFont="1" applyFill="1" applyBorder="1" applyAlignment="1">
      <alignment wrapText="1"/>
    </xf>
    <xf numFmtId="0" fontId="4" fillId="3" borderId="2" xfId="0" applyFont="1" applyFill="1" applyBorder="1" applyAlignment="1">
      <alignment horizontal="center" wrapText="1"/>
    </xf>
    <xf numFmtId="1" fontId="4" fillId="2" borderId="2" xfId="0" applyNumberFormat="1" applyFont="1" applyFill="1" applyBorder="1" applyAlignment="1">
      <alignment horizontal="right" wrapText="1"/>
    </xf>
    <xf numFmtId="2" fontId="4" fillId="2" borderId="2" xfId="0" applyNumberFormat="1" applyFont="1" applyFill="1" applyBorder="1" applyAlignment="1">
      <alignment horizontal="right" wrapText="1"/>
    </xf>
    <xf numFmtId="166" fontId="8" fillId="2" borderId="2" xfId="0" applyNumberFormat="1" applyFont="1" applyFill="1" applyBorder="1" applyAlignment="1">
      <alignment vertical="center" wrapText="1"/>
    </xf>
    <xf numFmtId="166" fontId="9" fillId="2" borderId="2" xfId="0" applyNumberFormat="1" applyFont="1" applyFill="1" applyBorder="1" applyAlignment="1">
      <alignment horizontal="left" vertical="center" wrapText="1"/>
    </xf>
    <xf numFmtId="49" fontId="8" fillId="2" borderId="2" xfId="0" applyNumberFormat="1" applyFont="1" applyFill="1" applyBorder="1" applyAlignment="1">
      <alignment vertical="center" wrapText="1"/>
    </xf>
    <xf numFmtId="168" fontId="13" fillId="2" borderId="2" xfId="0" applyNumberFormat="1" applyFont="1" applyFill="1" applyBorder="1" applyAlignment="1">
      <alignment vertical="center" wrapText="1"/>
    </xf>
    <xf numFmtId="0" fontId="5" fillId="2" borderId="8" xfId="0" applyFont="1" applyFill="1" applyBorder="1" applyAlignment="1">
      <alignment horizontal="center" vertical="center" wrapText="1"/>
    </xf>
    <xf numFmtId="169" fontId="6" fillId="3" borderId="8" xfId="0" applyNumberFormat="1" applyFont="1" applyFill="1" applyBorder="1" applyAlignment="1">
      <alignment horizontal="right" vertical="center" wrapText="1"/>
    </xf>
    <xf numFmtId="3" fontId="6" fillId="3" borderId="8" xfId="0" applyNumberFormat="1" applyFont="1" applyFill="1" applyBorder="1" applyAlignment="1">
      <alignment horizontal="right" vertical="center" wrapText="1"/>
    </xf>
    <xf numFmtId="2" fontId="6" fillId="2" borderId="8" xfId="0" applyNumberFormat="1" applyFont="1" applyFill="1" applyBorder="1" applyAlignment="1">
      <alignment vertical="center" wrapText="1"/>
    </xf>
    <xf numFmtId="2" fontId="8" fillId="2" borderId="8" xfId="0" applyNumberFormat="1" applyFont="1" applyFill="1" applyBorder="1" applyAlignment="1">
      <alignment horizontal="right" vertical="center" wrapText="1"/>
    </xf>
    <xf numFmtId="4" fontId="6" fillId="2" borderId="8" xfId="0" applyNumberFormat="1" applyFont="1" applyFill="1" applyBorder="1" applyAlignment="1">
      <alignment vertical="center" wrapText="1"/>
    </xf>
    <xf numFmtId="1" fontId="6" fillId="3" borderId="8" xfId="0" applyNumberFormat="1" applyFont="1" applyFill="1" applyBorder="1" applyAlignment="1">
      <alignment horizontal="right" vertical="center" wrapText="1"/>
    </xf>
    <xf numFmtId="1" fontId="8" fillId="2" borderId="2" xfId="0" applyNumberFormat="1" applyFont="1" applyFill="1" applyBorder="1" applyAlignment="1">
      <alignment vertical="center" wrapText="1"/>
    </xf>
    <xf numFmtId="1" fontId="8" fillId="2" borderId="8" xfId="0" applyNumberFormat="1" applyFont="1" applyFill="1" applyBorder="1" applyAlignment="1">
      <alignment horizontal="right" vertical="center" wrapText="1"/>
    </xf>
    <xf numFmtId="4" fontId="8" fillId="2" borderId="8" xfId="0" applyNumberFormat="1" applyFont="1" applyFill="1" applyBorder="1" applyAlignment="1">
      <alignment horizontal="right" vertical="center" wrapText="1"/>
    </xf>
    <xf numFmtId="2" fontId="5" fillId="2" borderId="2" xfId="0" applyNumberFormat="1" applyFont="1" applyFill="1" applyBorder="1" applyAlignment="1">
      <alignment vertical="center" wrapText="1"/>
    </xf>
    <xf numFmtId="1" fontId="14" fillId="2" borderId="2" xfId="0" applyNumberFormat="1" applyFont="1" applyFill="1" applyBorder="1" applyAlignment="1">
      <alignment wrapText="1"/>
    </xf>
    <xf numFmtId="2" fontId="14" fillId="2" borderId="2" xfId="0" applyNumberFormat="1" applyFont="1" applyFill="1" applyBorder="1" applyAlignment="1">
      <alignment wrapText="1"/>
    </xf>
    <xf numFmtId="1" fontId="16" fillId="2" borderId="2" xfId="0" applyNumberFormat="1" applyFont="1" applyFill="1" applyBorder="1" applyAlignment="1">
      <alignment wrapText="1"/>
    </xf>
    <xf numFmtId="2" fontId="16" fillId="2" borderId="2" xfId="0" applyNumberFormat="1" applyFont="1" applyFill="1" applyBorder="1" applyAlignment="1">
      <alignment wrapText="1"/>
    </xf>
    <xf numFmtId="1" fontId="5" fillId="2" borderId="2" xfId="0" applyNumberFormat="1" applyFont="1" applyFill="1" applyBorder="1" applyAlignment="1">
      <alignment wrapText="1"/>
    </xf>
    <xf numFmtId="2" fontId="5" fillId="2" borderId="2" xfId="0" applyNumberFormat="1" applyFont="1" applyFill="1" applyBorder="1" applyAlignment="1">
      <alignment wrapText="1"/>
    </xf>
    <xf numFmtId="2" fontId="5" fillId="2" borderId="2" xfId="0" applyNumberFormat="1" applyFont="1" applyFill="1" applyBorder="1" applyAlignment="1">
      <alignment horizontal="right" wrapText="1"/>
    </xf>
    <xf numFmtId="0" fontId="17" fillId="4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right" vertical="center" wrapText="1"/>
    </xf>
    <xf numFmtId="0" fontId="18" fillId="3" borderId="2" xfId="0" applyFont="1" applyFill="1" applyBorder="1"/>
    <xf numFmtId="0" fontId="18" fillId="3" borderId="2" xfId="0" applyFont="1" applyFill="1" applyBorder="1" applyAlignment="1">
      <alignment vertical="top"/>
    </xf>
    <xf numFmtId="0" fontId="18" fillId="3" borderId="2" xfId="0" applyFont="1" applyFill="1" applyBorder="1" applyAlignment="1">
      <alignment vertical="center"/>
    </xf>
    <xf numFmtId="0" fontId="9" fillId="3" borderId="2" xfId="0" applyFont="1" applyFill="1" applyBorder="1" applyAlignment="1">
      <alignment vertical="top" wrapText="1"/>
    </xf>
    <xf numFmtId="171" fontId="8" fillId="2" borderId="2" xfId="0" applyNumberFormat="1" applyFont="1" applyFill="1" applyBorder="1" applyAlignment="1">
      <alignment vertical="center" wrapText="1"/>
    </xf>
    <xf numFmtId="0" fontId="4" fillId="3" borderId="2" xfId="0" applyFont="1" applyFill="1" applyBorder="1" applyAlignment="1">
      <alignment horizontal="right" wrapText="1"/>
    </xf>
    <xf numFmtId="1" fontId="4" fillId="3" borderId="2" xfId="0" applyNumberFormat="1" applyFont="1" applyFill="1" applyBorder="1" applyAlignment="1">
      <alignment horizontal="right" wrapText="1"/>
    </xf>
    <xf numFmtId="2" fontId="4" fillId="3" borderId="2" xfId="0" applyNumberFormat="1" applyFont="1" applyFill="1" applyBorder="1" applyAlignment="1">
      <alignment horizontal="right" wrapText="1"/>
    </xf>
    <xf numFmtId="0" fontId="4" fillId="3" borderId="2" xfId="0" applyFont="1" applyFill="1" applyBorder="1" applyAlignment="1">
      <alignment wrapText="1"/>
    </xf>
    <xf numFmtId="168" fontId="18" fillId="3" borderId="2" xfId="0" applyNumberFormat="1" applyFont="1" applyFill="1" applyBorder="1"/>
    <xf numFmtId="0" fontId="5" fillId="3" borderId="8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>
      <alignment vertical="center" wrapText="1"/>
    </xf>
    <xf numFmtId="2" fontId="6" fillId="3" borderId="8" xfId="0" applyNumberFormat="1" applyFont="1" applyFill="1" applyBorder="1" applyAlignment="1">
      <alignment vertical="center" wrapText="1"/>
    </xf>
    <xf numFmtId="2" fontId="8" fillId="3" borderId="8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vertical="center" wrapText="1"/>
    </xf>
    <xf numFmtId="1" fontId="8" fillId="3" borderId="2" xfId="0" applyNumberFormat="1" applyFont="1" applyFill="1" applyBorder="1" applyAlignment="1">
      <alignment vertical="center" wrapText="1"/>
    </xf>
    <xf numFmtId="1" fontId="8" fillId="3" borderId="8" xfId="0" applyNumberFormat="1" applyFont="1" applyFill="1" applyBorder="1" applyAlignment="1">
      <alignment horizontal="right" vertical="center" wrapText="1"/>
    </xf>
    <xf numFmtId="1" fontId="8" fillId="3" borderId="8" xfId="0" applyNumberFormat="1" applyFont="1" applyFill="1" applyBorder="1" applyAlignment="1">
      <alignment vertical="center" wrapText="1"/>
    </xf>
    <xf numFmtId="2" fontId="8" fillId="3" borderId="8" xfId="0" applyNumberFormat="1" applyFont="1" applyFill="1" applyBorder="1" applyAlignment="1">
      <alignment vertical="center" wrapText="1"/>
    </xf>
    <xf numFmtId="1" fontId="8" fillId="3" borderId="9" xfId="0" applyNumberFormat="1" applyFont="1" applyFill="1" applyBorder="1" applyAlignment="1">
      <alignment horizontal="right" vertical="center" wrapText="1"/>
    </xf>
    <xf numFmtId="1" fontId="8" fillId="3" borderId="9" xfId="0" applyNumberFormat="1" applyFont="1" applyFill="1" applyBorder="1" applyAlignment="1">
      <alignment vertical="center" wrapText="1"/>
    </xf>
    <xf numFmtId="2" fontId="8" fillId="3" borderId="9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wrapText="1"/>
    </xf>
    <xf numFmtId="1" fontId="5" fillId="3" borderId="2" xfId="0" applyNumberFormat="1" applyFont="1" applyFill="1" applyBorder="1" applyAlignment="1">
      <alignment wrapText="1"/>
    </xf>
    <xf numFmtId="2" fontId="5" fillId="3" borderId="2" xfId="0" applyNumberFormat="1" applyFont="1" applyFill="1" applyBorder="1" applyAlignment="1">
      <alignment wrapText="1"/>
    </xf>
    <xf numFmtId="2" fontId="5" fillId="3" borderId="2" xfId="0" applyNumberFormat="1" applyFont="1" applyFill="1" applyBorder="1" applyAlignment="1">
      <alignment horizontal="right" wrapText="1"/>
    </xf>
    <xf numFmtId="1" fontId="16" fillId="3" borderId="2" xfId="0" applyNumberFormat="1" applyFont="1" applyFill="1" applyBorder="1" applyAlignment="1">
      <alignment wrapText="1"/>
    </xf>
    <xf numFmtId="2" fontId="16" fillId="3" borderId="2" xfId="0" applyNumberFormat="1" applyFont="1" applyFill="1" applyBorder="1" applyAlignment="1">
      <alignment wrapText="1"/>
    </xf>
    <xf numFmtId="169" fontId="18" fillId="0" borderId="0" xfId="0" applyNumberFormat="1" applyFont="1"/>
    <xf numFmtId="1" fontId="18" fillId="0" borderId="0" xfId="0" applyNumberFormat="1" applyFont="1"/>
    <xf numFmtId="2" fontId="18" fillId="0" borderId="0" xfId="0" applyNumberFormat="1" applyFont="1"/>
    <xf numFmtId="164" fontId="18" fillId="0" borderId="0" xfId="0" applyNumberFormat="1" applyFont="1"/>
    <xf numFmtId="0" fontId="18" fillId="0" borderId="10" xfId="0" applyFont="1" applyBorder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/>
    <xf numFmtId="0" fontId="18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vertical="center"/>
    </xf>
    <xf numFmtId="0" fontId="20" fillId="0" borderId="11" xfId="0" applyFont="1" applyBorder="1"/>
    <xf numFmtId="0" fontId="19" fillId="0" borderId="11" xfId="0" applyFont="1" applyBorder="1"/>
    <xf numFmtId="0" fontId="18" fillId="0" borderId="11" xfId="0" applyFont="1" applyBorder="1"/>
    <xf numFmtId="4" fontId="18" fillId="3" borderId="11" xfId="0" applyNumberFormat="1" applyFont="1" applyFill="1" applyBorder="1"/>
    <xf numFmtId="0" fontId="20" fillId="3" borderId="11" xfId="0" applyFont="1" applyFill="1" applyBorder="1"/>
    <xf numFmtId="1" fontId="18" fillId="3" borderId="11" xfId="0" applyNumberFormat="1" applyFont="1" applyFill="1" applyBorder="1"/>
    <xf numFmtId="0" fontId="18" fillId="3" borderId="11" xfId="0" applyFont="1" applyFill="1" applyBorder="1"/>
    <xf numFmtId="2" fontId="18" fillId="3" borderId="11" xfId="0" applyNumberFormat="1" applyFont="1" applyFill="1" applyBorder="1" applyAlignment="1">
      <alignment horizontal="center"/>
    </xf>
    <xf numFmtId="1" fontId="18" fillId="3" borderId="11" xfId="0" applyNumberFormat="1" applyFont="1" applyFill="1" applyBorder="1" applyAlignment="1">
      <alignment horizontal="center"/>
    </xf>
    <xf numFmtId="0" fontId="21" fillId="3" borderId="2" xfId="0" applyFont="1" applyFill="1" applyBorder="1"/>
    <xf numFmtId="0" fontId="19" fillId="3" borderId="11" xfId="0" applyFont="1" applyFill="1" applyBorder="1"/>
    <xf numFmtId="0" fontId="22" fillId="2" borderId="11" xfId="0" applyFont="1" applyFill="1" applyBorder="1" applyAlignment="1">
      <alignment wrapText="1"/>
    </xf>
    <xf numFmtId="0" fontId="22" fillId="3" borderId="11" xfId="0" applyFont="1" applyFill="1" applyBorder="1" applyAlignment="1">
      <alignment wrapText="1"/>
    </xf>
    <xf numFmtId="0" fontId="2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10" xfId="0" applyFont="1" applyBorder="1" applyAlignment="1">
      <alignment vertical="center"/>
    </xf>
    <xf numFmtId="0" fontId="18" fillId="0" borderId="10" xfId="0" applyFont="1" applyBorder="1" applyAlignment="1">
      <alignment horizontal="center" vertical="center" wrapText="1"/>
    </xf>
    <xf numFmtId="0" fontId="5" fillId="3" borderId="3" xfId="0" applyFont="1" applyFill="1" applyBorder="1" applyAlignment="1">
      <alignment wrapText="1"/>
    </xf>
    <xf numFmtId="1" fontId="18" fillId="3" borderId="12" xfId="0" applyNumberFormat="1" applyFont="1" applyFill="1" applyBorder="1"/>
    <xf numFmtId="0" fontId="4" fillId="2" borderId="13" xfId="0" applyFont="1" applyFill="1" applyBorder="1"/>
    <xf numFmtId="0" fontId="4" fillId="2" borderId="0" xfId="0" applyFont="1" applyFill="1"/>
    <xf numFmtId="0" fontId="4" fillId="5" borderId="0" xfId="0" applyFont="1" applyFill="1"/>
    <xf numFmtId="4" fontId="4" fillId="2" borderId="0" xfId="0" applyNumberFormat="1" applyFont="1" applyFill="1"/>
    <xf numFmtId="0" fontId="5" fillId="2" borderId="13" xfId="0" applyFont="1" applyFill="1" applyBorder="1"/>
    <xf numFmtId="0" fontId="5" fillId="2" borderId="14" xfId="0" applyFont="1" applyFill="1" applyBorder="1"/>
    <xf numFmtId="0" fontId="5" fillId="5" borderId="15" xfId="0" applyFont="1" applyFill="1" applyBorder="1"/>
    <xf numFmtId="0" fontId="5" fillId="2" borderId="15" xfId="0" applyFont="1" applyFill="1" applyBorder="1" applyAlignment="1">
      <alignment horizontal="right"/>
    </xf>
    <xf numFmtId="4" fontId="5" fillId="2" borderId="15" xfId="0" applyNumberFormat="1" applyFont="1" applyFill="1" applyBorder="1" applyAlignment="1">
      <alignment horizontal="right"/>
    </xf>
    <xf numFmtId="0" fontId="5" fillId="5" borderId="15" xfId="0" applyFont="1" applyFill="1" applyBorder="1" applyAlignment="1">
      <alignment horizontal="right"/>
    </xf>
    <xf numFmtId="0" fontId="5" fillId="2" borderId="16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wrapText="1"/>
    </xf>
    <xf numFmtId="0" fontId="5" fillId="5" borderId="0" xfId="0" applyFont="1" applyFill="1"/>
    <xf numFmtId="0" fontId="5" fillId="2" borderId="14" xfId="0" applyFont="1" applyFill="1" applyBorder="1" applyAlignment="1">
      <alignment horizontal="right"/>
    </xf>
    <xf numFmtId="0" fontId="5" fillId="5" borderId="16" xfId="0" applyFont="1" applyFill="1" applyBorder="1"/>
    <xf numFmtId="0" fontId="5" fillId="2" borderId="17" xfId="0" applyFont="1" applyFill="1" applyBorder="1" applyAlignment="1">
      <alignment horizontal="right"/>
    </xf>
    <xf numFmtId="0" fontId="5" fillId="5" borderId="0" xfId="0" applyFont="1" applyFill="1" applyAlignment="1">
      <alignment horizontal="right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4" fontId="5" fillId="2" borderId="15" xfId="0" applyNumberFormat="1" applyFont="1" applyFill="1" applyBorder="1" applyAlignment="1">
      <alignment horizontal="center"/>
    </xf>
    <xf numFmtId="4" fontId="5" fillId="2" borderId="0" xfId="0" applyNumberFormat="1" applyFont="1" applyFill="1"/>
    <xf numFmtId="0" fontId="5" fillId="5" borderId="2" xfId="0" applyFont="1" applyFill="1" applyBorder="1" applyAlignment="1">
      <alignment wrapText="1"/>
    </xf>
    <xf numFmtId="4" fontId="5" fillId="2" borderId="2" xfId="0" applyNumberFormat="1" applyFont="1" applyFill="1" applyBorder="1" applyAlignment="1">
      <alignment wrapText="1"/>
    </xf>
    <xf numFmtId="3" fontId="4" fillId="5" borderId="2" xfId="0" applyNumberFormat="1" applyFont="1" applyFill="1" applyBorder="1" applyAlignment="1">
      <alignment wrapText="1"/>
    </xf>
    <xf numFmtId="172" fontId="4" fillId="2" borderId="2" xfId="0" applyNumberFormat="1" applyFont="1" applyFill="1" applyBorder="1" applyAlignment="1">
      <alignment horizontal="center" vertical="center" wrapText="1"/>
    </xf>
    <xf numFmtId="3" fontId="4" fillId="5" borderId="2" xfId="0" applyNumberFormat="1" applyFont="1" applyFill="1" applyBorder="1" applyAlignment="1">
      <alignment horizontal="center" wrapText="1"/>
    </xf>
    <xf numFmtId="173" fontId="4" fillId="5" borderId="2" xfId="0" applyNumberFormat="1" applyFont="1" applyFill="1" applyBorder="1" applyAlignment="1">
      <alignment horizontal="center" wrapText="1"/>
    </xf>
    <xf numFmtId="3" fontId="4" fillId="2" borderId="2" xfId="0" applyNumberFormat="1" applyFont="1" applyFill="1" applyBorder="1" applyAlignment="1">
      <alignment wrapText="1"/>
    </xf>
    <xf numFmtId="0" fontId="5" fillId="5" borderId="18" xfId="0" applyFont="1" applyFill="1" applyBorder="1"/>
    <xf numFmtId="0" fontId="5" fillId="5" borderId="19" xfId="0" applyFont="1" applyFill="1" applyBorder="1"/>
    <xf numFmtId="174" fontId="5" fillId="2" borderId="19" xfId="0" applyNumberFormat="1" applyFont="1" applyFill="1" applyBorder="1"/>
    <xf numFmtId="0" fontId="5" fillId="5" borderId="19" xfId="0" applyFont="1" applyFill="1" applyBorder="1" applyAlignment="1">
      <alignment horizontal="center"/>
    </xf>
    <xf numFmtId="173" fontId="5" fillId="5" borderId="20" xfId="0" applyNumberFormat="1" applyFont="1" applyFill="1" applyBorder="1" applyAlignment="1">
      <alignment horizontal="center" wrapText="1"/>
    </xf>
    <xf numFmtId="0" fontId="5" fillId="5" borderId="21" xfId="0" applyFont="1" applyFill="1" applyBorder="1"/>
    <xf numFmtId="0" fontId="5" fillId="5" borderId="22" xfId="0" applyFont="1" applyFill="1" applyBorder="1"/>
    <xf numFmtId="174" fontId="5" fillId="2" borderId="22" xfId="0" applyNumberFormat="1" applyFont="1" applyFill="1" applyBorder="1"/>
    <xf numFmtId="0" fontId="5" fillId="5" borderId="22" xfId="0" applyFont="1" applyFill="1" applyBorder="1" applyAlignment="1">
      <alignment horizontal="center"/>
    </xf>
    <xf numFmtId="0" fontId="5" fillId="5" borderId="23" xfId="0" applyFont="1" applyFill="1" applyBorder="1"/>
    <xf numFmtId="0" fontId="5" fillId="5" borderId="24" xfId="0" applyFont="1" applyFill="1" applyBorder="1"/>
    <xf numFmtId="174" fontId="5" fillId="2" borderId="24" xfId="0" applyNumberFormat="1" applyFont="1" applyFill="1" applyBorder="1"/>
    <xf numFmtId="0" fontId="5" fillId="5" borderId="24" xfId="0" applyFont="1" applyFill="1" applyBorder="1" applyAlignment="1">
      <alignment horizontal="center"/>
    </xf>
    <xf numFmtId="0" fontId="5" fillId="5" borderId="25" xfId="0" applyFont="1" applyFill="1" applyBorder="1" applyAlignment="1">
      <alignment wrapText="1"/>
    </xf>
    <xf numFmtId="174" fontId="5" fillId="2" borderId="25" xfId="0" applyNumberFormat="1" applyFont="1" applyFill="1" applyBorder="1" applyAlignment="1">
      <alignment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wrapText="1"/>
    </xf>
    <xf numFmtId="174" fontId="5" fillId="5" borderId="25" xfId="0" applyNumberFormat="1" applyFont="1" applyFill="1" applyBorder="1" applyAlignment="1">
      <alignment horizontal="center" vertical="center" wrapText="1"/>
    </xf>
    <xf numFmtId="173" fontId="5" fillId="5" borderId="25" xfId="0" applyNumberFormat="1" applyFont="1" applyFill="1" applyBorder="1" applyAlignment="1">
      <alignment horizontal="center" wrapText="1"/>
    </xf>
    <xf numFmtId="172" fontId="5" fillId="2" borderId="2" xfId="0" applyNumberFormat="1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173" fontId="5" fillId="5" borderId="2" xfId="0" applyNumberFormat="1" applyFont="1" applyFill="1" applyBorder="1" applyAlignment="1">
      <alignment horizontal="center" wrapText="1"/>
    </xf>
    <xf numFmtId="0" fontId="18" fillId="0" borderId="0" xfId="0" applyFont="1" applyAlignment="1">
      <alignment horizontal="right"/>
    </xf>
    <xf numFmtId="3" fontId="23" fillId="2" borderId="26" xfId="0" applyNumberFormat="1" applyFont="1" applyFill="1" applyBorder="1" applyAlignment="1">
      <alignment wrapText="1"/>
    </xf>
    <xf numFmtId="3" fontId="23" fillId="2" borderId="27" xfId="0" applyNumberFormat="1" applyFont="1" applyFill="1" applyBorder="1" applyAlignment="1">
      <alignment wrapText="1"/>
    </xf>
    <xf numFmtId="3" fontId="23" fillId="2" borderId="27" xfId="0" applyNumberFormat="1" applyFont="1" applyFill="1" applyBorder="1" applyAlignment="1">
      <alignment horizontal="center" vertical="center" wrapText="1"/>
    </xf>
    <xf numFmtId="172" fontId="23" fillId="2" borderId="27" xfId="0" applyNumberFormat="1" applyFont="1" applyFill="1" applyBorder="1" applyAlignment="1">
      <alignment horizontal="left" vertical="center" wrapText="1"/>
    </xf>
    <xf numFmtId="3" fontId="23" fillId="2" borderId="27" xfId="0" applyNumberFormat="1" applyFont="1" applyFill="1" applyBorder="1" applyAlignment="1">
      <alignment horizontal="center" wrapText="1"/>
    </xf>
    <xf numFmtId="173" fontId="23" fillId="2" borderId="28" xfId="0" applyNumberFormat="1" applyFont="1" applyFill="1" applyBorder="1" applyAlignment="1">
      <alignment wrapText="1"/>
    </xf>
    <xf numFmtId="0" fontId="5" fillId="2" borderId="29" xfId="0" applyFont="1" applyFill="1" applyBorder="1" applyAlignment="1">
      <alignment wrapText="1"/>
    </xf>
    <xf numFmtId="0" fontId="5" fillId="2" borderId="30" xfId="0" applyFont="1" applyFill="1" applyBorder="1" applyAlignment="1">
      <alignment wrapText="1"/>
    </xf>
    <xf numFmtId="0" fontId="5" fillId="2" borderId="30" xfId="0" applyFont="1" applyFill="1" applyBorder="1" applyAlignment="1">
      <alignment horizontal="center" vertical="center" wrapText="1"/>
    </xf>
    <xf numFmtId="174" fontId="5" fillId="2" borderId="30" xfId="0" applyNumberFormat="1" applyFont="1" applyFill="1" applyBorder="1" applyAlignment="1">
      <alignment horizontal="left" vertical="center" wrapText="1"/>
    </xf>
    <xf numFmtId="0" fontId="5" fillId="2" borderId="30" xfId="0" applyFont="1" applyFill="1" applyBorder="1" applyAlignment="1">
      <alignment horizontal="center" wrapText="1"/>
    </xf>
    <xf numFmtId="173" fontId="5" fillId="2" borderId="31" xfId="0" applyNumberFormat="1" applyFont="1" applyFill="1" applyBorder="1" applyAlignment="1">
      <alignment horizontal="left" wrapText="1"/>
    </xf>
    <xf numFmtId="0" fontId="5" fillId="2" borderId="32" xfId="0" applyFont="1" applyFill="1" applyBorder="1" applyAlignment="1">
      <alignment wrapText="1"/>
    </xf>
    <xf numFmtId="0" fontId="5" fillId="2" borderId="33" xfId="0" applyFont="1" applyFill="1" applyBorder="1" applyAlignment="1">
      <alignment wrapText="1"/>
    </xf>
    <xf numFmtId="0" fontId="5" fillId="2" borderId="33" xfId="0" applyFont="1" applyFill="1" applyBorder="1" applyAlignment="1">
      <alignment horizontal="center" vertical="center" wrapText="1"/>
    </xf>
    <xf numFmtId="3" fontId="5" fillId="2" borderId="33" xfId="0" applyNumberFormat="1" applyFont="1" applyFill="1" applyBorder="1" applyAlignment="1">
      <alignment horizontal="center" vertical="center" wrapText="1"/>
    </xf>
    <xf numFmtId="0" fontId="5" fillId="2" borderId="33" xfId="0" applyFont="1" applyFill="1" applyBorder="1" applyAlignment="1">
      <alignment horizontal="center" wrapText="1"/>
    </xf>
    <xf numFmtId="173" fontId="5" fillId="2" borderId="34" xfId="0" applyNumberFormat="1" applyFont="1" applyFill="1" applyBorder="1" applyAlignment="1">
      <alignment horizontal="left" wrapText="1"/>
    </xf>
    <xf numFmtId="0" fontId="5" fillId="2" borderId="35" xfId="0" applyFont="1" applyFill="1" applyBorder="1" applyAlignment="1">
      <alignment wrapText="1"/>
    </xf>
    <xf numFmtId="173" fontId="5" fillId="2" borderId="36" xfId="0" applyNumberFormat="1" applyFont="1" applyFill="1" applyBorder="1" applyAlignment="1">
      <alignment horizontal="left" wrapText="1"/>
    </xf>
    <xf numFmtId="2" fontId="5" fillId="2" borderId="5" xfId="0" quotePrefix="1" applyNumberFormat="1" applyFont="1" applyFill="1" applyBorder="1" applyAlignment="1">
      <alignment horizontal="left" vertical="top" wrapText="1"/>
    </xf>
    <xf numFmtId="0" fontId="7" fillId="0" borderId="7" xfId="0" applyFont="1" applyBorder="1"/>
    <xf numFmtId="0" fontId="7" fillId="0" borderId="6" xfId="0" applyFont="1" applyBorder="1"/>
    <xf numFmtId="0" fontId="14" fillId="2" borderId="5" xfId="0" applyFont="1" applyFill="1" applyBorder="1" applyAlignment="1">
      <alignment horizontal="center" wrapText="1"/>
    </xf>
    <xf numFmtId="2" fontId="14" fillId="2" borderId="5" xfId="0" applyNumberFormat="1" applyFont="1" applyFill="1" applyBorder="1" applyAlignment="1">
      <alignment horizontal="center" wrapText="1"/>
    </xf>
    <xf numFmtId="170" fontId="6" fillId="2" borderId="5" xfId="0" applyNumberFormat="1" applyFont="1" applyFill="1" applyBorder="1" applyAlignment="1">
      <alignment horizontal="right" wrapText="1"/>
    </xf>
    <xf numFmtId="0" fontId="15" fillId="2" borderId="5" xfId="0" applyFont="1" applyFill="1" applyBorder="1" applyAlignment="1">
      <alignment horizontal="center" wrapText="1"/>
    </xf>
    <xf numFmtId="0" fontId="8" fillId="2" borderId="5" xfId="0" applyFont="1" applyFill="1" applyBorder="1" applyAlignment="1">
      <alignment horizontal="left" vertical="center" wrapText="1"/>
    </xf>
    <xf numFmtId="2" fontId="5" fillId="2" borderId="5" xfId="0" quotePrefix="1" applyNumberFormat="1" applyFont="1" applyFill="1" applyBorder="1" applyAlignment="1">
      <alignment horizontal="left" wrapText="1"/>
    </xf>
    <xf numFmtId="0" fontId="6" fillId="2" borderId="5" xfId="0" applyFont="1" applyFill="1" applyBorder="1" applyAlignment="1">
      <alignment horizontal="left" vertical="center" wrapText="1"/>
    </xf>
    <xf numFmtId="166" fontId="8" fillId="2" borderId="5" xfId="0" applyNumberFormat="1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right" vertical="center" wrapText="1"/>
    </xf>
    <xf numFmtId="0" fontId="19" fillId="3" borderId="5" xfId="0" applyFont="1" applyFill="1" applyBorder="1" applyAlignment="1">
      <alignment horizontal="left" vertical="top"/>
    </xf>
    <xf numFmtId="2" fontId="5" fillId="3" borderId="5" xfId="0" applyNumberFormat="1" applyFont="1" applyFill="1" applyBorder="1" applyAlignment="1">
      <alignment horizontal="left" wrapText="1"/>
    </xf>
    <xf numFmtId="170" fontId="6" fillId="2" borderId="5" xfId="0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horizontal="left" vertical="center" wrapText="1"/>
    </xf>
    <xf numFmtId="168" fontId="8" fillId="2" borderId="5" xfId="0" applyNumberFormat="1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center" vertical="center" wrapText="1"/>
    </xf>
    <xf numFmtId="166" fontId="8" fillId="3" borderId="5" xfId="0" applyNumberFormat="1" applyFont="1" applyFill="1" applyBorder="1" applyAlignment="1">
      <alignment horizontal="center" vertical="center" wrapText="1"/>
    </xf>
    <xf numFmtId="0" fontId="16" fillId="3" borderId="5" xfId="0" applyFont="1" applyFill="1" applyBorder="1" applyAlignment="1">
      <alignment horizontal="center" wrapText="1"/>
    </xf>
  </cellXfs>
  <cellStyles count="1">
    <cellStyle name="Normal" xfId="0" builtinId="0"/>
  </cellStyles>
  <dxfs count="7">
    <dxf>
      <fill>
        <patternFill patternType="solid">
          <fgColor rgb="FFDDDDDD"/>
          <bgColor rgb="FFDDDDDD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OlvassEl-style" pivot="0" count="3" xr9:uid="{00000000-0011-0000-FFFF-FFFF00000000}">
      <tableStyleElement type="headerRow" dxfId="6"/>
      <tableStyleElement type="firstRowStripe" dxfId="5"/>
      <tableStyleElement type="secondRowStripe" dxfId="4"/>
    </tableStyle>
    <tableStyle name="EgyediTermekKod-style" pivot="0" count="3" xr9:uid="{00000000-0011-0000-FFFF-FFFF01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F31">
  <tableColumns count="6">
    <tableColumn id="1" xr3:uid="{00000000-0010-0000-0000-000001000000}" name="Fül"/>
    <tableColumn id="2" xr3:uid="{00000000-0010-0000-0000-000002000000}" name="Mező neve"/>
    <tableColumn id="3" xr3:uid="{00000000-0010-0000-0000-000003000000}" name="Mező referencia"/>
    <tableColumn id="4" xr3:uid="{00000000-0010-0000-0000-000004000000}" name="Magyarázat"/>
    <tableColumn id="5" xr3:uid="{00000000-0010-0000-0000-000005000000}" name="Részletek"/>
    <tableColumn id="6" xr3:uid="{00000000-0010-0000-0000-000006000000}" name="Kötelező mező?"/>
  </tableColumns>
  <tableStyleInfo name="OlvassE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F44">
  <tableColumns count="6">
    <tableColumn id="1" xr3:uid="{00000000-0010-0000-0100-000001000000}" name="Termék Kod"/>
    <tableColumn id="2" xr3:uid="{00000000-0010-0000-0100-000002000000}" name="Termék Megnevezés"/>
    <tableColumn id="3" xr3:uid="{00000000-0010-0000-0100-000003000000}" name="Eladási Ár 0"/>
    <tableColumn id="4" xr3:uid="{00000000-0010-0000-0100-000004000000}" name="Eladási Ár 2"/>
    <tableColumn id="5" xr3:uid="{00000000-0010-0000-0100-000005000000}" name="Termek tipus"/>
    <tableColumn id="6" xr3:uid="{00000000-0010-0000-0100-000006000000}" name="Modosítás dátuma"/>
  </tableColumns>
  <tableStyleInfo name="EgyediTermekKod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C1000"/>
  <sheetViews>
    <sheetView workbookViewId="0"/>
  </sheetViews>
  <sheetFormatPr defaultColWidth="14.44140625" defaultRowHeight="15" customHeight="1" x14ac:dyDescent="0.3"/>
  <cols>
    <col min="1" max="1" width="8.6640625" customWidth="1"/>
    <col min="2" max="2" width="11.6640625" customWidth="1"/>
    <col min="3" max="26" width="8.6640625" customWidth="1"/>
  </cols>
  <sheetData>
    <row r="1" spans="1:3" ht="14.25" customHeight="1" x14ac:dyDescent="0.3">
      <c r="A1" s="1" t="s">
        <v>0</v>
      </c>
    </row>
    <row r="2" spans="1:3" ht="14.25" customHeight="1" x14ac:dyDescent="0.3">
      <c r="B2" s="2" t="s">
        <v>1</v>
      </c>
      <c r="C2" s="3">
        <v>1</v>
      </c>
    </row>
    <row r="3" spans="1:3" ht="14.25" customHeight="1" x14ac:dyDescent="0.3"/>
    <row r="4" spans="1:3" ht="14.25" customHeight="1" x14ac:dyDescent="0.3"/>
    <row r="5" spans="1:3" ht="14.25" customHeight="1" x14ac:dyDescent="0.3"/>
    <row r="6" spans="1:3" ht="14.25" customHeight="1" x14ac:dyDescent="0.3"/>
    <row r="7" spans="1:3" ht="14.25" customHeight="1" x14ac:dyDescent="0.3"/>
    <row r="8" spans="1:3" ht="14.25" customHeight="1" x14ac:dyDescent="0.3"/>
    <row r="9" spans="1:3" ht="14.25" customHeight="1" x14ac:dyDescent="0.3"/>
    <row r="10" spans="1:3" ht="14.25" customHeight="1" x14ac:dyDescent="0.3"/>
    <row r="11" spans="1:3" ht="14.25" customHeight="1" x14ac:dyDescent="0.3"/>
    <row r="12" spans="1:3" ht="14.25" customHeight="1" x14ac:dyDescent="0.3"/>
    <row r="13" spans="1:3" ht="14.25" customHeight="1" x14ac:dyDescent="0.3"/>
    <row r="14" spans="1:3" ht="14.25" customHeight="1" x14ac:dyDescent="0.3"/>
    <row r="15" spans="1:3" ht="14.25" customHeight="1" x14ac:dyDescent="0.3"/>
    <row r="16" spans="1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1000"/>
  <sheetViews>
    <sheetView workbookViewId="0">
      <pane ySplit="1" topLeftCell="A2" activePane="bottomLeft" state="frozen"/>
      <selection pane="bottomLeft" activeCell="B3" sqref="B3"/>
    </sheetView>
  </sheetViews>
  <sheetFormatPr defaultColWidth="14.44140625" defaultRowHeight="15" customHeight="1" x14ac:dyDescent="0.3"/>
  <cols>
    <col min="1" max="1" width="12" customWidth="1"/>
    <col min="2" max="2" width="21.88671875" customWidth="1"/>
    <col min="3" max="3" width="14" customWidth="1"/>
    <col min="4" max="4" width="25.109375" customWidth="1"/>
    <col min="5" max="5" width="37.44140625" customWidth="1"/>
    <col min="6" max="6" width="14.109375" customWidth="1"/>
    <col min="7" max="26" width="8.88671875" customWidth="1"/>
  </cols>
  <sheetData>
    <row r="1" spans="1:26" ht="23.25" customHeight="1" x14ac:dyDescent="0.3">
      <c r="A1" s="4" t="s">
        <v>2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7</v>
      </c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8" customHeight="1" x14ac:dyDescent="0.3">
      <c r="A2" s="6" t="s">
        <v>8</v>
      </c>
      <c r="B2" s="6" t="s">
        <v>9</v>
      </c>
      <c r="C2" s="6" t="s">
        <v>10</v>
      </c>
      <c r="D2" s="6" t="s">
        <v>11</v>
      </c>
      <c r="E2" s="6"/>
      <c r="F2" s="6" t="s">
        <v>12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38.25" customHeight="1" x14ac:dyDescent="0.3">
      <c r="A3" s="6" t="s">
        <v>8</v>
      </c>
      <c r="B3" s="6" t="s">
        <v>13</v>
      </c>
      <c r="C3" s="6" t="s">
        <v>14</v>
      </c>
      <c r="D3" s="6" t="s">
        <v>15</v>
      </c>
      <c r="E3" s="6" t="s">
        <v>16</v>
      </c>
      <c r="F3" s="6" t="s">
        <v>12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23.25" customHeight="1" x14ac:dyDescent="0.3">
      <c r="A4" s="6" t="s">
        <v>8</v>
      </c>
      <c r="B4" s="6" t="s">
        <v>17</v>
      </c>
      <c r="C4" s="6" t="s">
        <v>18</v>
      </c>
      <c r="D4" s="6" t="s">
        <v>19</v>
      </c>
      <c r="E4" s="6" t="s">
        <v>20</v>
      </c>
      <c r="F4" s="6" t="s">
        <v>12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23.25" customHeight="1" x14ac:dyDescent="0.3">
      <c r="A5" s="6" t="s">
        <v>8</v>
      </c>
      <c r="B5" s="6" t="s">
        <v>21</v>
      </c>
      <c r="C5" s="6" t="s">
        <v>22</v>
      </c>
      <c r="D5" s="6" t="s">
        <v>23</v>
      </c>
      <c r="E5" s="6" t="s">
        <v>24</v>
      </c>
      <c r="F5" s="6" t="s">
        <v>12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8" customHeight="1" x14ac:dyDescent="0.3">
      <c r="A6" s="6" t="s">
        <v>8</v>
      </c>
      <c r="B6" s="6" t="s">
        <v>25</v>
      </c>
      <c r="C6" s="6" t="s">
        <v>26</v>
      </c>
      <c r="D6" s="6" t="s">
        <v>27</v>
      </c>
      <c r="E6" s="6" t="s">
        <v>28</v>
      </c>
      <c r="F6" s="6" t="s">
        <v>12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26.25" customHeight="1" x14ac:dyDescent="0.3">
      <c r="A7" s="6" t="s">
        <v>8</v>
      </c>
      <c r="B7" s="6" t="s">
        <v>29</v>
      </c>
      <c r="C7" s="6" t="s">
        <v>30</v>
      </c>
      <c r="D7" s="6" t="s">
        <v>31</v>
      </c>
      <c r="E7" s="6" t="s">
        <v>32</v>
      </c>
      <c r="F7" s="6" t="s">
        <v>12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8" customHeight="1" x14ac:dyDescent="0.3">
      <c r="A8" s="6" t="s">
        <v>8</v>
      </c>
      <c r="B8" s="6" t="s">
        <v>33</v>
      </c>
      <c r="C8" s="6" t="s">
        <v>34</v>
      </c>
      <c r="D8" s="6" t="s">
        <v>35</v>
      </c>
      <c r="E8" s="6"/>
      <c r="F8" s="6" t="s">
        <v>12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9.5" customHeight="1" x14ac:dyDescent="0.3">
      <c r="A9" s="6" t="s">
        <v>8</v>
      </c>
      <c r="B9" s="6" t="s">
        <v>36</v>
      </c>
      <c r="C9" s="6" t="s">
        <v>37</v>
      </c>
      <c r="D9" s="6" t="s">
        <v>38</v>
      </c>
      <c r="E9" s="6" t="s">
        <v>39</v>
      </c>
      <c r="F9" s="6" t="s">
        <v>40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8" customHeight="1" x14ac:dyDescent="0.3">
      <c r="A10" s="6" t="s">
        <v>8</v>
      </c>
      <c r="B10" s="6" t="s">
        <v>41</v>
      </c>
      <c r="C10" s="6" t="s">
        <v>42</v>
      </c>
      <c r="D10" s="6" t="s">
        <v>43</v>
      </c>
      <c r="E10" s="6"/>
      <c r="F10" s="6" t="s">
        <v>44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8" customHeight="1" x14ac:dyDescent="0.3">
      <c r="A11" s="6" t="s">
        <v>8</v>
      </c>
      <c r="B11" s="6" t="s">
        <v>45</v>
      </c>
      <c r="C11" s="6" t="s">
        <v>46</v>
      </c>
      <c r="D11" s="6" t="s">
        <v>47</v>
      </c>
      <c r="E11" s="6" t="s">
        <v>48</v>
      </c>
      <c r="F11" s="6" t="s">
        <v>12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8" customHeight="1" x14ac:dyDescent="0.3">
      <c r="A12" s="6" t="s">
        <v>8</v>
      </c>
      <c r="B12" s="6" t="s">
        <v>49</v>
      </c>
      <c r="C12" s="6" t="s">
        <v>50</v>
      </c>
      <c r="D12" s="6" t="s">
        <v>51</v>
      </c>
      <c r="E12" s="6" t="s">
        <v>48</v>
      </c>
      <c r="F12" s="6" t="s">
        <v>12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8" customHeight="1" x14ac:dyDescent="0.3">
      <c r="A13" s="6" t="s">
        <v>8</v>
      </c>
      <c r="B13" s="6" t="s">
        <v>52</v>
      </c>
      <c r="C13" s="6" t="s">
        <v>53</v>
      </c>
      <c r="D13" s="6" t="s">
        <v>54</v>
      </c>
      <c r="E13" s="6" t="s">
        <v>48</v>
      </c>
      <c r="F13" s="6" t="s">
        <v>12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8" customHeight="1" x14ac:dyDescent="0.3">
      <c r="A14" s="6" t="s">
        <v>8</v>
      </c>
      <c r="B14" s="6" t="s">
        <v>55</v>
      </c>
      <c r="C14" s="6" t="s">
        <v>56</v>
      </c>
      <c r="D14" s="6" t="s">
        <v>57</v>
      </c>
      <c r="E14" s="6"/>
      <c r="F14" s="6" t="s">
        <v>44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8" customHeight="1" x14ac:dyDescent="0.3">
      <c r="A15" s="6" t="s">
        <v>8</v>
      </c>
      <c r="B15" s="6" t="s">
        <v>58</v>
      </c>
      <c r="C15" s="6" t="s">
        <v>59</v>
      </c>
      <c r="D15" s="6" t="s">
        <v>60</v>
      </c>
      <c r="E15" s="6" t="s">
        <v>61</v>
      </c>
      <c r="F15" s="6" t="s">
        <v>44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8" customHeight="1" x14ac:dyDescent="0.3">
      <c r="A16" s="6" t="s">
        <v>8</v>
      </c>
      <c r="B16" s="6" t="s">
        <v>62</v>
      </c>
      <c r="C16" s="6" t="s">
        <v>63</v>
      </c>
      <c r="D16" s="6" t="s">
        <v>64</v>
      </c>
      <c r="E16" s="6"/>
      <c r="F16" s="6" t="s">
        <v>44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8" customHeight="1" x14ac:dyDescent="0.3">
      <c r="A17" s="6" t="s">
        <v>8</v>
      </c>
      <c r="B17" s="6" t="s">
        <v>65</v>
      </c>
      <c r="C17" s="6" t="s">
        <v>66</v>
      </c>
      <c r="D17" s="6" t="s">
        <v>67</v>
      </c>
      <c r="E17" s="6"/>
      <c r="F17" s="6" t="s">
        <v>44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8" customHeight="1" x14ac:dyDescent="0.3">
      <c r="A18" s="6" t="s">
        <v>8</v>
      </c>
      <c r="B18" s="6" t="s">
        <v>68</v>
      </c>
      <c r="C18" s="6" t="s">
        <v>69</v>
      </c>
      <c r="D18" s="6" t="s">
        <v>70</v>
      </c>
      <c r="E18" s="6"/>
      <c r="F18" s="6" t="s">
        <v>44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8" customHeight="1" x14ac:dyDescent="0.3">
      <c r="A19" s="8" t="s">
        <v>8</v>
      </c>
      <c r="B19" s="8" t="s">
        <v>1</v>
      </c>
      <c r="C19" s="8" t="s">
        <v>71</v>
      </c>
      <c r="D19" s="8" t="s">
        <v>72</v>
      </c>
      <c r="E19" s="8" t="s">
        <v>73</v>
      </c>
      <c r="F19" s="8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8" customHeight="1" x14ac:dyDescent="0.3">
      <c r="A20" s="8" t="s">
        <v>74</v>
      </c>
      <c r="B20" s="8" t="s">
        <v>75</v>
      </c>
      <c r="C20" s="8" t="s">
        <v>76</v>
      </c>
      <c r="D20" s="8"/>
      <c r="E20" s="8"/>
      <c r="F20" s="8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8" customHeight="1" x14ac:dyDescent="0.3">
      <c r="A21" s="8" t="s">
        <v>74</v>
      </c>
      <c r="B21" s="8" t="s">
        <v>77</v>
      </c>
      <c r="C21" s="8" t="s">
        <v>78</v>
      </c>
      <c r="D21" s="8"/>
      <c r="E21" s="8"/>
      <c r="F21" s="8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8" customHeight="1" x14ac:dyDescent="0.3">
      <c r="A22" s="8" t="s">
        <v>74</v>
      </c>
      <c r="B22" s="8" t="s">
        <v>79</v>
      </c>
      <c r="C22" s="8" t="s">
        <v>80</v>
      </c>
      <c r="D22" s="8"/>
      <c r="E22" s="8"/>
      <c r="F22" s="8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8" customHeight="1" x14ac:dyDescent="0.3">
      <c r="A23" s="8" t="s">
        <v>74</v>
      </c>
      <c r="B23" s="8" t="s">
        <v>81</v>
      </c>
      <c r="C23" s="8" t="s">
        <v>82</v>
      </c>
      <c r="D23" s="8"/>
      <c r="E23" s="8"/>
      <c r="F23" s="8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8" customHeight="1" x14ac:dyDescent="0.3">
      <c r="A24" s="8" t="s">
        <v>74</v>
      </c>
      <c r="B24" s="8" t="s">
        <v>83</v>
      </c>
      <c r="C24" s="8" t="s">
        <v>84</v>
      </c>
      <c r="D24" s="8"/>
      <c r="E24" s="8"/>
      <c r="F24" s="8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8" customHeight="1" x14ac:dyDescent="0.3">
      <c r="A25" s="8" t="s">
        <v>74</v>
      </c>
      <c r="B25" s="8" t="s">
        <v>85</v>
      </c>
      <c r="C25" s="8" t="s">
        <v>86</v>
      </c>
      <c r="D25" s="8"/>
      <c r="E25" s="8"/>
      <c r="F25" s="8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18" customHeight="1" x14ac:dyDescent="0.3">
      <c r="A26" s="8" t="s">
        <v>74</v>
      </c>
      <c r="B26" s="8" t="s">
        <v>87</v>
      </c>
      <c r="C26" s="8" t="s">
        <v>88</v>
      </c>
      <c r="D26" s="8"/>
      <c r="E26" s="8"/>
      <c r="F26" s="8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8" customHeight="1" x14ac:dyDescent="0.3">
      <c r="A27" s="8" t="s">
        <v>74</v>
      </c>
      <c r="B27" s="8" t="s">
        <v>89</v>
      </c>
      <c r="C27" s="8" t="s">
        <v>90</v>
      </c>
      <c r="D27" s="8"/>
      <c r="E27" s="8"/>
      <c r="F27" s="8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8" customHeight="1" x14ac:dyDescent="0.3">
      <c r="A28" s="8" t="s">
        <v>74</v>
      </c>
      <c r="B28" s="8" t="s">
        <v>91</v>
      </c>
      <c r="C28" s="8" t="s">
        <v>92</v>
      </c>
      <c r="D28" s="8"/>
      <c r="E28" s="8"/>
      <c r="F28" s="8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8" customHeight="1" x14ac:dyDescent="0.3">
      <c r="A29" s="8" t="s">
        <v>74</v>
      </c>
      <c r="B29" s="8" t="s">
        <v>93</v>
      </c>
      <c r="C29" s="8" t="s">
        <v>94</v>
      </c>
      <c r="D29" s="8"/>
      <c r="E29" s="8"/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ht="18" customHeight="1" x14ac:dyDescent="0.3">
      <c r="A30" s="8" t="s">
        <v>74</v>
      </c>
      <c r="B30" s="8" t="s">
        <v>95</v>
      </c>
      <c r="C30" s="8" t="s">
        <v>96</v>
      </c>
      <c r="D30" s="8"/>
      <c r="E30" s="8"/>
      <c r="F30" s="8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8" customHeight="1" x14ac:dyDescent="0.3">
      <c r="A31" s="8" t="s">
        <v>74</v>
      </c>
      <c r="B31" s="8" t="s">
        <v>97</v>
      </c>
      <c r="C31" s="8" t="s">
        <v>98</v>
      </c>
      <c r="D31" s="8"/>
      <c r="E31" s="8"/>
      <c r="F31" s="8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8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8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8" customHeight="1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8" customHeight="1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8" customHeight="1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8" customHeight="1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8" customHeight="1" x14ac:dyDescent="0.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8" customHeight="1" x14ac:dyDescent="0.3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8" customHeight="1" x14ac:dyDescent="0.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8" customHeight="1" x14ac:dyDescent="0.3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8" customHeight="1" x14ac:dyDescent="0.3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8" customHeight="1" x14ac:dyDescent="0.3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8" customHeight="1" x14ac:dyDescent="0.3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8" customHeight="1" x14ac:dyDescent="0.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8" customHeight="1" x14ac:dyDescent="0.3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8" customHeight="1" x14ac:dyDescent="0.3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8" customHeight="1" x14ac:dyDescent="0.3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8" customHeight="1" x14ac:dyDescent="0.3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8" customHeight="1" x14ac:dyDescent="0.3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8" customHeight="1" x14ac:dyDescent="0.3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8" customHeight="1" x14ac:dyDescent="0.3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8" customHeight="1" x14ac:dyDescent="0.3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8" customHeight="1" x14ac:dyDescent="0.3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8" customHeight="1" x14ac:dyDescent="0.3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8" customHeight="1" x14ac:dyDescent="0.3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8" customHeight="1" x14ac:dyDescent="0.3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8" customHeight="1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8" customHeight="1" x14ac:dyDescent="0.3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ht="18" customHeight="1" x14ac:dyDescent="0.3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ht="18" customHeight="1" x14ac:dyDescent="0.3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ht="18" customHeight="1" x14ac:dyDescent="0.3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ht="18" customHeight="1" x14ac:dyDescent="0.3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ht="18" customHeight="1" x14ac:dyDescent="0.3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ht="18" customHeight="1" x14ac:dyDescent="0.3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ht="18" customHeight="1" x14ac:dyDescent="0.3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ht="18" customHeight="1" x14ac:dyDescent="0.3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ht="18" customHeight="1" x14ac:dyDescent="0.3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ht="18" customHeight="1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ht="18" customHeight="1" x14ac:dyDescent="0.3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ht="18" customHeight="1" x14ac:dyDescent="0.3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ht="18" customHeight="1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ht="18" customHeight="1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ht="18" customHeight="1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ht="18" customHeight="1" x14ac:dyDescent="0.3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ht="18" customHeight="1" x14ac:dyDescent="0.3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ht="18" customHeight="1" x14ac:dyDescent="0.3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ht="18" customHeight="1" x14ac:dyDescent="0.3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ht="18" customHeight="1" x14ac:dyDescent="0.3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18" customHeight="1" x14ac:dyDescent="0.3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ht="18" customHeight="1" x14ac:dyDescent="0.3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ht="18" customHeight="1" x14ac:dyDescent="0.3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ht="18" customHeight="1" x14ac:dyDescent="0.3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ht="18" customHeight="1" x14ac:dyDescent="0.3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ht="18" customHeight="1" x14ac:dyDescent="0.3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ht="18" customHeight="1" x14ac:dyDescent="0.3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ht="18" customHeight="1" x14ac:dyDescent="0.3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ht="18" customHeight="1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ht="18" customHeight="1" x14ac:dyDescent="0.3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ht="18" customHeight="1" x14ac:dyDescent="0.3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ht="18" customHeight="1" x14ac:dyDescent="0.3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ht="18" customHeight="1" x14ac:dyDescent="0.3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ht="18" customHeight="1" x14ac:dyDescent="0.3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ht="18" customHeight="1" x14ac:dyDescent="0.3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ht="18" customHeight="1" x14ac:dyDescent="0.3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ht="18" customHeight="1" x14ac:dyDescent="0.3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ht="18" customHeight="1" x14ac:dyDescent="0.3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ht="18" customHeight="1" x14ac:dyDescent="0.3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ht="18" customHeight="1" x14ac:dyDescent="0.3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ht="18" customHeight="1" x14ac:dyDescent="0.3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ht="18" customHeight="1" x14ac:dyDescent="0.3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ht="18" customHeight="1" x14ac:dyDescent="0.3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ht="18" customHeight="1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ht="18" customHeight="1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ht="18" customHeight="1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ht="18" customHeight="1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ht="18" customHeight="1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ht="18" customHeight="1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ht="18" customHeight="1" x14ac:dyDescent="0.3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ht="18" customHeight="1" x14ac:dyDescent="0.3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ht="18" customHeight="1" x14ac:dyDescent="0.3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ht="18" customHeight="1" x14ac:dyDescent="0.3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ht="18" customHeight="1" x14ac:dyDescent="0.3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ht="18" customHeight="1" x14ac:dyDescent="0.3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ht="18" customHeight="1" x14ac:dyDescent="0.3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ht="18" customHeight="1" x14ac:dyDescent="0.3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ht="18" customHeight="1" x14ac:dyDescent="0.3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ht="18" customHeight="1" x14ac:dyDescent="0.3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ht="18" customHeight="1" x14ac:dyDescent="0.3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ht="18" customHeight="1" x14ac:dyDescent="0.3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ht="18" customHeight="1" x14ac:dyDescent="0.3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ht="18" customHeight="1" x14ac:dyDescent="0.3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ht="18" customHeight="1" x14ac:dyDescent="0.3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ht="18" customHeight="1" x14ac:dyDescent="0.3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ht="18" customHeight="1" x14ac:dyDescent="0.3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ht="18" customHeight="1" x14ac:dyDescent="0.3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ht="18" customHeight="1" x14ac:dyDescent="0.3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ht="18" customHeight="1" x14ac:dyDescent="0.3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ht="18" customHeight="1" x14ac:dyDescent="0.3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ht="18" customHeight="1" x14ac:dyDescent="0.3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ht="18" customHeight="1" x14ac:dyDescent="0.3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ht="18" customHeight="1" x14ac:dyDescent="0.3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ht="18" customHeight="1" x14ac:dyDescent="0.3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ht="18" customHeight="1" x14ac:dyDescent="0.3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ht="18" customHeight="1" x14ac:dyDescent="0.3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ht="18" customHeight="1" x14ac:dyDescent="0.3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ht="18" customHeight="1" x14ac:dyDescent="0.3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ht="18" customHeight="1" x14ac:dyDescent="0.3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ht="18" customHeight="1" x14ac:dyDescent="0.3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ht="18" customHeight="1" x14ac:dyDescent="0.3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ht="18" customHeight="1" x14ac:dyDescent="0.3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ht="18" customHeight="1" x14ac:dyDescent="0.3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ht="18" customHeight="1" x14ac:dyDescent="0.3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ht="18" customHeight="1" x14ac:dyDescent="0.3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ht="18" customHeight="1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ht="18" customHeight="1" x14ac:dyDescent="0.3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ht="18" customHeight="1" x14ac:dyDescent="0.3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ht="18" customHeight="1" x14ac:dyDescent="0.3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ht="18" customHeight="1" x14ac:dyDescent="0.3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ht="18" customHeight="1" x14ac:dyDescent="0.3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ht="18" customHeight="1" x14ac:dyDescent="0.3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ht="18" customHeight="1" x14ac:dyDescent="0.3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ht="18" customHeight="1" x14ac:dyDescent="0.3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ht="18" customHeight="1" x14ac:dyDescent="0.3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ht="18" customHeight="1" x14ac:dyDescent="0.3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ht="18" customHeight="1" x14ac:dyDescent="0.3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ht="18" customHeight="1" x14ac:dyDescent="0.3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ht="18" customHeight="1" x14ac:dyDescent="0.3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ht="18" customHeight="1" x14ac:dyDescent="0.3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ht="18" customHeight="1" x14ac:dyDescent="0.3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ht="18" customHeight="1" x14ac:dyDescent="0.3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ht="18" customHeight="1" x14ac:dyDescent="0.3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ht="18" customHeight="1" x14ac:dyDescent="0.3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ht="18" customHeight="1" x14ac:dyDescent="0.3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ht="18" customHeight="1" x14ac:dyDescent="0.3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8" customHeight="1" x14ac:dyDescent="0.3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8" customHeight="1" x14ac:dyDescent="0.3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8" customHeight="1" x14ac:dyDescent="0.3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8" customHeight="1" x14ac:dyDescent="0.3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8" customHeight="1" x14ac:dyDescent="0.3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8" customHeight="1" x14ac:dyDescent="0.3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8" customHeight="1" x14ac:dyDescent="0.3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8" customHeight="1" x14ac:dyDescent="0.3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8" customHeight="1" x14ac:dyDescent="0.3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8" customHeight="1" x14ac:dyDescent="0.3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8" customHeight="1" x14ac:dyDescent="0.3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8" customHeight="1" x14ac:dyDescent="0.3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8" customHeight="1" x14ac:dyDescent="0.3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8" customHeight="1" x14ac:dyDescent="0.3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8" customHeight="1" x14ac:dyDescent="0.3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8" customHeight="1" x14ac:dyDescent="0.3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8" customHeight="1" x14ac:dyDescent="0.3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8" customHeight="1" x14ac:dyDescent="0.3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8" customHeight="1" x14ac:dyDescent="0.3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8" customHeight="1" x14ac:dyDescent="0.3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8" customHeight="1" x14ac:dyDescent="0.3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8" customHeight="1" x14ac:dyDescent="0.3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8" customHeight="1" x14ac:dyDescent="0.3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8" customHeight="1" x14ac:dyDescent="0.3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8" customHeight="1" x14ac:dyDescent="0.3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8" customHeight="1" x14ac:dyDescent="0.3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8" customHeight="1" x14ac:dyDescent="0.3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8" customHeight="1" x14ac:dyDescent="0.3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8" customHeight="1" x14ac:dyDescent="0.3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8" customHeight="1" x14ac:dyDescent="0.3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8" customHeight="1" x14ac:dyDescent="0.3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8" customHeight="1" x14ac:dyDescent="0.3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8" customHeight="1" x14ac:dyDescent="0.3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8" customHeight="1" x14ac:dyDescent="0.3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8" customHeight="1" x14ac:dyDescent="0.3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8" customHeight="1" x14ac:dyDescent="0.3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8" customHeight="1" x14ac:dyDescent="0.3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8" customHeight="1" x14ac:dyDescent="0.3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8" customHeight="1" x14ac:dyDescent="0.3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8" customHeight="1" x14ac:dyDescent="0.3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8" customHeight="1" x14ac:dyDescent="0.3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8" customHeight="1" x14ac:dyDescent="0.3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8" customHeight="1" x14ac:dyDescent="0.3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8" customHeight="1" x14ac:dyDescent="0.3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8" customHeight="1" x14ac:dyDescent="0.3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8" customHeight="1" x14ac:dyDescent="0.3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8" customHeight="1" x14ac:dyDescent="0.3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8" customHeight="1" x14ac:dyDescent="0.3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8" customHeight="1" x14ac:dyDescent="0.3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ht="18" customHeight="1" x14ac:dyDescent="0.3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8" customHeight="1" x14ac:dyDescent="0.3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8" customHeight="1" x14ac:dyDescent="0.3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8" customHeight="1" x14ac:dyDescent="0.3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8" customHeight="1" x14ac:dyDescent="0.3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8" customHeight="1" x14ac:dyDescent="0.3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8" customHeight="1" x14ac:dyDescent="0.3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8" customHeight="1" x14ac:dyDescent="0.3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8" customHeight="1" x14ac:dyDescent="0.3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8" customHeight="1" x14ac:dyDescent="0.3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8" customHeight="1" x14ac:dyDescent="0.3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8" customHeight="1" x14ac:dyDescent="0.3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8" customHeight="1" x14ac:dyDescent="0.3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8" customHeight="1" x14ac:dyDescent="0.3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8" customHeight="1" x14ac:dyDescent="0.3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8" customHeight="1" x14ac:dyDescent="0.3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8" customHeight="1" x14ac:dyDescent="0.3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8" customHeight="1" x14ac:dyDescent="0.3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8" customHeight="1" x14ac:dyDescent="0.3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8" customHeight="1" x14ac:dyDescent="0.3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8" customHeight="1" x14ac:dyDescent="0.3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8" customHeight="1" x14ac:dyDescent="0.3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8" customHeight="1" x14ac:dyDescent="0.3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8" customHeight="1" x14ac:dyDescent="0.3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8" customHeight="1" x14ac:dyDescent="0.3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8" customHeight="1" x14ac:dyDescent="0.3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8" customHeight="1" x14ac:dyDescent="0.3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8" customHeight="1" x14ac:dyDescent="0.3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8" customHeight="1" x14ac:dyDescent="0.3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8" customHeight="1" x14ac:dyDescent="0.3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8" customHeight="1" x14ac:dyDescent="0.3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8" customHeight="1" x14ac:dyDescent="0.3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8" customHeight="1" x14ac:dyDescent="0.3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8" customHeight="1" x14ac:dyDescent="0.3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8" customHeight="1" x14ac:dyDescent="0.3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8" customHeight="1" x14ac:dyDescent="0.3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8" customHeight="1" x14ac:dyDescent="0.3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8" customHeight="1" x14ac:dyDescent="0.3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8" customHeight="1" x14ac:dyDescent="0.3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8" customHeight="1" x14ac:dyDescent="0.3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8" customHeight="1" x14ac:dyDescent="0.3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8" customHeight="1" x14ac:dyDescent="0.3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8" customHeight="1" x14ac:dyDescent="0.3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8" customHeight="1" x14ac:dyDescent="0.3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8" customHeight="1" x14ac:dyDescent="0.3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8" customHeight="1" x14ac:dyDescent="0.3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8" customHeight="1" x14ac:dyDescent="0.3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8" customHeight="1" x14ac:dyDescent="0.3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8" customHeight="1" x14ac:dyDescent="0.3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8" customHeight="1" x14ac:dyDescent="0.3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8" customHeight="1" x14ac:dyDescent="0.3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8" customHeight="1" x14ac:dyDescent="0.3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8" customHeight="1" x14ac:dyDescent="0.3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8" customHeight="1" x14ac:dyDescent="0.3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8" customHeight="1" x14ac:dyDescent="0.3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8" customHeight="1" x14ac:dyDescent="0.3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8" customHeight="1" x14ac:dyDescent="0.3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8" customHeight="1" x14ac:dyDescent="0.3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8" customHeight="1" x14ac:dyDescent="0.3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8" customHeight="1" x14ac:dyDescent="0.3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8" customHeight="1" x14ac:dyDescent="0.3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8" customHeight="1" x14ac:dyDescent="0.3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18" customHeight="1" x14ac:dyDescent="0.3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8" customHeight="1" x14ac:dyDescent="0.3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8" customHeight="1" x14ac:dyDescent="0.3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8" customHeight="1" x14ac:dyDescent="0.3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8" customHeight="1" x14ac:dyDescent="0.3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8" customHeight="1" x14ac:dyDescent="0.3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8" customHeight="1" x14ac:dyDescent="0.3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8" customHeight="1" x14ac:dyDescent="0.3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8" customHeight="1" x14ac:dyDescent="0.3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8" customHeight="1" x14ac:dyDescent="0.3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8" customHeight="1" x14ac:dyDescent="0.3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8" customHeight="1" x14ac:dyDescent="0.3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8" customHeight="1" x14ac:dyDescent="0.3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8" customHeight="1" x14ac:dyDescent="0.3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8" customHeight="1" x14ac:dyDescent="0.3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8" customHeight="1" x14ac:dyDescent="0.3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8" customHeight="1" x14ac:dyDescent="0.3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8" customHeight="1" x14ac:dyDescent="0.3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8" customHeight="1" x14ac:dyDescent="0.3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8" customHeight="1" x14ac:dyDescent="0.3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18" customHeight="1" x14ac:dyDescent="0.3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8" customHeight="1" x14ac:dyDescent="0.3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8" customHeight="1" x14ac:dyDescent="0.3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8" customHeight="1" x14ac:dyDescent="0.3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8" customHeight="1" x14ac:dyDescent="0.3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8" customHeight="1" x14ac:dyDescent="0.3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8" customHeight="1" x14ac:dyDescent="0.3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8" customHeight="1" x14ac:dyDescent="0.3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8" customHeight="1" x14ac:dyDescent="0.3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8" customHeight="1" x14ac:dyDescent="0.3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8" customHeight="1" x14ac:dyDescent="0.3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8" customHeight="1" x14ac:dyDescent="0.3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18" customHeight="1" x14ac:dyDescent="0.3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18" customHeight="1" x14ac:dyDescent="0.3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8" customHeight="1" x14ac:dyDescent="0.3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18" customHeight="1" x14ac:dyDescent="0.3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8" customHeight="1" x14ac:dyDescent="0.3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8" customHeight="1" x14ac:dyDescent="0.3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8" customHeight="1" x14ac:dyDescent="0.3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18" customHeight="1" x14ac:dyDescent="0.3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8" customHeight="1" x14ac:dyDescent="0.3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18" customHeight="1" x14ac:dyDescent="0.3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8" customHeight="1" x14ac:dyDescent="0.3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8" customHeight="1" x14ac:dyDescent="0.3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8" customHeight="1" x14ac:dyDescent="0.3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8" customHeight="1" x14ac:dyDescent="0.3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8" customHeight="1" x14ac:dyDescent="0.3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8" customHeight="1" x14ac:dyDescent="0.3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8" customHeight="1" x14ac:dyDescent="0.3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8" customHeight="1" x14ac:dyDescent="0.3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8" customHeight="1" x14ac:dyDescent="0.3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8" customHeight="1" x14ac:dyDescent="0.3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8" customHeight="1" x14ac:dyDescent="0.3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8" customHeight="1" x14ac:dyDescent="0.3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8" customHeight="1" x14ac:dyDescent="0.3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8" customHeight="1" x14ac:dyDescent="0.3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8" customHeight="1" x14ac:dyDescent="0.3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8" customHeight="1" x14ac:dyDescent="0.3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18" customHeight="1" x14ac:dyDescent="0.3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8" customHeight="1" x14ac:dyDescent="0.3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8" customHeight="1" x14ac:dyDescent="0.3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8" customHeight="1" x14ac:dyDescent="0.3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8" customHeight="1" x14ac:dyDescent="0.3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8" customHeight="1" x14ac:dyDescent="0.3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8" customHeight="1" x14ac:dyDescent="0.3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8" customHeight="1" x14ac:dyDescent="0.3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8" customHeight="1" x14ac:dyDescent="0.3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8" customHeight="1" x14ac:dyDescent="0.3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8" customHeight="1" x14ac:dyDescent="0.3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8" customHeight="1" x14ac:dyDescent="0.3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8" customHeight="1" x14ac:dyDescent="0.3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8" customHeight="1" x14ac:dyDescent="0.3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8" customHeight="1" x14ac:dyDescent="0.3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8" customHeight="1" x14ac:dyDescent="0.3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8" customHeight="1" x14ac:dyDescent="0.3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8" customHeight="1" x14ac:dyDescent="0.3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8" customHeight="1" x14ac:dyDescent="0.3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8" customHeight="1" x14ac:dyDescent="0.3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8" customHeight="1" x14ac:dyDescent="0.3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8" customHeight="1" x14ac:dyDescent="0.3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8" customHeight="1" x14ac:dyDescent="0.3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8" customHeight="1" x14ac:dyDescent="0.3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ht="18" customHeight="1" x14ac:dyDescent="0.3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ht="18" customHeight="1" x14ac:dyDescent="0.3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ht="18" customHeight="1" x14ac:dyDescent="0.3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ht="18" customHeight="1" x14ac:dyDescent="0.3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ht="18" customHeight="1" x14ac:dyDescent="0.3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ht="18" customHeight="1" x14ac:dyDescent="0.3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ht="18" customHeight="1" x14ac:dyDescent="0.3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ht="18" customHeight="1" x14ac:dyDescent="0.3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ht="18" customHeight="1" x14ac:dyDescent="0.3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ht="18" customHeight="1" x14ac:dyDescent="0.3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ht="18" customHeight="1" x14ac:dyDescent="0.3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ht="18" customHeight="1" x14ac:dyDescent="0.3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ht="18" customHeight="1" x14ac:dyDescent="0.3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ht="18" customHeight="1" x14ac:dyDescent="0.3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ht="18" customHeight="1" x14ac:dyDescent="0.3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ht="18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ht="18" customHeight="1" x14ac:dyDescent="0.3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ht="18" customHeight="1" x14ac:dyDescent="0.3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ht="18" customHeight="1" x14ac:dyDescent="0.3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ht="18" customHeight="1" x14ac:dyDescent="0.3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ht="18" customHeight="1" x14ac:dyDescent="0.3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ht="18" customHeight="1" x14ac:dyDescent="0.3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ht="18" customHeight="1" x14ac:dyDescent="0.3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ht="18" customHeight="1" x14ac:dyDescent="0.3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ht="18" customHeight="1" x14ac:dyDescent="0.3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ht="18" customHeight="1" x14ac:dyDescent="0.3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ht="18" customHeight="1" x14ac:dyDescent="0.3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ht="18" customHeight="1" x14ac:dyDescent="0.3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ht="18" customHeight="1" x14ac:dyDescent="0.3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ht="18" customHeight="1" x14ac:dyDescent="0.3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ht="18" customHeight="1" x14ac:dyDescent="0.3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ht="18" customHeight="1" x14ac:dyDescent="0.3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ht="18" customHeight="1" x14ac:dyDescent="0.3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ht="18" customHeight="1" x14ac:dyDescent="0.3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ht="18" customHeight="1" x14ac:dyDescent="0.3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ht="18" customHeight="1" x14ac:dyDescent="0.3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ht="18" customHeight="1" x14ac:dyDescent="0.3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ht="18" customHeight="1" x14ac:dyDescent="0.3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ht="18" customHeight="1" x14ac:dyDescent="0.3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ht="18" customHeight="1" x14ac:dyDescent="0.3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ht="18" customHeight="1" x14ac:dyDescent="0.3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ht="18" customHeight="1" x14ac:dyDescent="0.3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ht="18" customHeight="1" x14ac:dyDescent="0.3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ht="18" customHeight="1" x14ac:dyDescent="0.3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ht="18" customHeight="1" x14ac:dyDescent="0.3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ht="18" customHeight="1" x14ac:dyDescent="0.3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ht="18" customHeight="1" x14ac:dyDescent="0.3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ht="18" customHeight="1" x14ac:dyDescent="0.3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ht="18" customHeight="1" x14ac:dyDescent="0.3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ht="18" customHeight="1" x14ac:dyDescent="0.3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ht="18" customHeight="1" x14ac:dyDescent="0.3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ht="18" customHeight="1" x14ac:dyDescent="0.3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ht="18" customHeight="1" x14ac:dyDescent="0.3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ht="18" customHeight="1" x14ac:dyDescent="0.3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ht="18" customHeight="1" x14ac:dyDescent="0.3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ht="18" customHeight="1" x14ac:dyDescent="0.3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ht="18" customHeight="1" x14ac:dyDescent="0.3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ht="18" customHeight="1" x14ac:dyDescent="0.3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ht="18" customHeight="1" x14ac:dyDescent="0.3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ht="18" customHeight="1" x14ac:dyDescent="0.3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ht="18" customHeight="1" x14ac:dyDescent="0.3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ht="18" customHeight="1" x14ac:dyDescent="0.3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ht="18" customHeight="1" x14ac:dyDescent="0.3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ht="18" customHeight="1" x14ac:dyDescent="0.3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ht="18" customHeight="1" x14ac:dyDescent="0.3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ht="18" customHeight="1" x14ac:dyDescent="0.3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ht="18" customHeight="1" x14ac:dyDescent="0.3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ht="18" customHeight="1" x14ac:dyDescent="0.3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ht="18" customHeight="1" x14ac:dyDescent="0.3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ht="18" customHeight="1" x14ac:dyDescent="0.3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ht="18" customHeight="1" x14ac:dyDescent="0.3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ht="18" customHeight="1" x14ac:dyDescent="0.3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ht="18" customHeight="1" x14ac:dyDescent="0.3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ht="18" customHeight="1" x14ac:dyDescent="0.3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ht="18" customHeight="1" x14ac:dyDescent="0.3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ht="18" customHeight="1" x14ac:dyDescent="0.3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ht="18" customHeight="1" x14ac:dyDescent="0.3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ht="18" customHeight="1" x14ac:dyDescent="0.3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ht="18" customHeight="1" x14ac:dyDescent="0.3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ht="18" customHeight="1" x14ac:dyDescent="0.3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ht="18" customHeight="1" x14ac:dyDescent="0.3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ht="18" customHeight="1" x14ac:dyDescent="0.3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ht="18" customHeight="1" x14ac:dyDescent="0.3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ht="18" customHeight="1" x14ac:dyDescent="0.3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ht="18" customHeight="1" x14ac:dyDescent="0.3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ht="18" customHeight="1" x14ac:dyDescent="0.3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ht="18" customHeight="1" x14ac:dyDescent="0.3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ht="18" customHeight="1" x14ac:dyDescent="0.3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ht="18" customHeight="1" x14ac:dyDescent="0.3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ht="18" customHeight="1" x14ac:dyDescent="0.3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ht="18" customHeight="1" x14ac:dyDescent="0.3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ht="18" customHeight="1" x14ac:dyDescent="0.3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ht="18" customHeight="1" x14ac:dyDescent="0.3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ht="18" customHeight="1" x14ac:dyDescent="0.3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ht="18" customHeight="1" x14ac:dyDescent="0.3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ht="18" customHeight="1" x14ac:dyDescent="0.3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ht="18" customHeight="1" x14ac:dyDescent="0.3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ht="18" customHeight="1" x14ac:dyDescent="0.3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ht="18" customHeight="1" x14ac:dyDescent="0.3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ht="18" customHeight="1" x14ac:dyDescent="0.3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ht="18" customHeight="1" x14ac:dyDescent="0.3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ht="18" customHeight="1" x14ac:dyDescent="0.3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ht="18" customHeight="1" x14ac:dyDescent="0.3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ht="18" customHeight="1" x14ac:dyDescent="0.3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ht="18" customHeight="1" x14ac:dyDescent="0.3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ht="18" customHeight="1" x14ac:dyDescent="0.3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ht="18" customHeight="1" x14ac:dyDescent="0.3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ht="18" customHeight="1" x14ac:dyDescent="0.3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ht="18" customHeight="1" x14ac:dyDescent="0.3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ht="18" customHeight="1" x14ac:dyDescent="0.3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ht="18" customHeight="1" x14ac:dyDescent="0.3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ht="18" customHeight="1" x14ac:dyDescent="0.3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ht="18" customHeight="1" x14ac:dyDescent="0.3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ht="18" customHeight="1" x14ac:dyDescent="0.3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ht="18" customHeight="1" x14ac:dyDescent="0.3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ht="18" customHeight="1" x14ac:dyDescent="0.3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ht="18" customHeight="1" x14ac:dyDescent="0.3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ht="18" customHeight="1" x14ac:dyDescent="0.3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ht="18" customHeight="1" x14ac:dyDescent="0.3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ht="18" customHeight="1" x14ac:dyDescent="0.3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ht="18" customHeight="1" x14ac:dyDescent="0.3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ht="18" customHeight="1" x14ac:dyDescent="0.3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ht="18" customHeight="1" x14ac:dyDescent="0.3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ht="18" customHeight="1" x14ac:dyDescent="0.3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ht="18" customHeight="1" x14ac:dyDescent="0.3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ht="18" customHeight="1" x14ac:dyDescent="0.3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ht="18" customHeight="1" x14ac:dyDescent="0.3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ht="18" customHeight="1" x14ac:dyDescent="0.3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ht="18" customHeight="1" x14ac:dyDescent="0.3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ht="18" customHeight="1" x14ac:dyDescent="0.3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ht="18" customHeight="1" x14ac:dyDescent="0.3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ht="18" customHeight="1" x14ac:dyDescent="0.3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ht="18" customHeight="1" x14ac:dyDescent="0.3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ht="18" customHeight="1" x14ac:dyDescent="0.3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ht="18" customHeight="1" x14ac:dyDescent="0.3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ht="18" customHeight="1" x14ac:dyDescent="0.3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ht="18" customHeight="1" x14ac:dyDescent="0.3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ht="18" customHeight="1" x14ac:dyDescent="0.3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ht="18" customHeight="1" x14ac:dyDescent="0.3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ht="18" customHeight="1" x14ac:dyDescent="0.3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ht="18" customHeight="1" x14ac:dyDescent="0.3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ht="18" customHeight="1" x14ac:dyDescent="0.3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ht="18" customHeight="1" x14ac:dyDescent="0.3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ht="18" customHeight="1" x14ac:dyDescent="0.3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ht="18" customHeight="1" x14ac:dyDescent="0.3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ht="18" customHeight="1" x14ac:dyDescent="0.3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ht="18" customHeight="1" x14ac:dyDescent="0.3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ht="18" customHeight="1" x14ac:dyDescent="0.3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ht="18" customHeight="1" x14ac:dyDescent="0.3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ht="18" customHeight="1" x14ac:dyDescent="0.3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ht="18" customHeight="1" x14ac:dyDescent="0.3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ht="18" customHeight="1" x14ac:dyDescent="0.3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ht="18" customHeight="1" x14ac:dyDescent="0.3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ht="18" customHeight="1" x14ac:dyDescent="0.3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ht="18" customHeight="1" x14ac:dyDescent="0.3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ht="18" customHeight="1" x14ac:dyDescent="0.3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ht="18" customHeight="1" x14ac:dyDescent="0.3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ht="18" customHeight="1" x14ac:dyDescent="0.3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ht="18" customHeight="1" x14ac:dyDescent="0.3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ht="18" customHeight="1" x14ac:dyDescent="0.3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ht="18" customHeight="1" x14ac:dyDescent="0.3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ht="18" customHeight="1" x14ac:dyDescent="0.3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ht="18" customHeight="1" x14ac:dyDescent="0.3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ht="18" customHeight="1" x14ac:dyDescent="0.3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ht="18" customHeight="1" x14ac:dyDescent="0.3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ht="18" customHeight="1" x14ac:dyDescent="0.3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ht="18" customHeight="1" x14ac:dyDescent="0.3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ht="18" customHeight="1" x14ac:dyDescent="0.3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ht="18" customHeight="1" x14ac:dyDescent="0.3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ht="18" customHeight="1" x14ac:dyDescent="0.3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ht="18" customHeight="1" x14ac:dyDescent="0.3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ht="18" customHeight="1" x14ac:dyDescent="0.3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ht="18" customHeight="1" x14ac:dyDescent="0.3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ht="18" customHeight="1" x14ac:dyDescent="0.3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ht="18" customHeight="1" x14ac:dyDescent="0.3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ht="18" customHeight="1" x14ac:dyDescent="0.3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ht="18" customHeight="1" x14ac:dyDescent="0.3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ht="18" customHeight="1" x14ac:dyDescent="0.3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ht="18" customHeight="1" x14ac:dyDescent="0.3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ht="18" customHeight="1" x14ac:dyDescent="0.3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ht="18" customHeight="1" x14ac:dyDescent="0.3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ht="18" customHeight="1" x14ac:dyDescent="0.3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ht="18" customHeight="1" x14ac:dyDescent="0.3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ht="18" customHeight="1" x14ac:dyDescent="0.3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ht="18" customHeight="1" x14ac:dyDescent="0.3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ht="18" customHeight="1" x14ac:dyDescent="0.3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ht="18" customHeight="1" x14ac:dyDescent="0.3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ht="18" customHeight="1" x14ac:dyDescent="0.3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ht="18" customHeight="1" x14ac:dyDescent="0.3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ht="18" customHeight="1" x14ac:dyDescent="0.3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ht="18" customHeight="1" x14ac:dyDescent="0.3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ht="18" customHeight="1" x14ac:dyDescent="0.3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ht="18" customHeight="1" x14ac:dyDescent="0.3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ht="18" customHeight="1" x14ac:dyDescent="0.3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ht="18" customHeight="1" x14ac:dyDescent="0.3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ht="18" customHeight="1" x14ac:dyDescent="0.3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ht="18" customHeight="1" x14ac:dyDescent="0.3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ht="18" customHeight="1" x14ac:dyDescent="0.3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ht="18" customHeight="1" x14ac:dyDescent="0.3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ht="18" customHeight="1" x14ac:dyDescent="0.3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ht="18" customHeight="1" x14ac:dyDescent="0.3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ht="18" customHeight="1" x14ac:dyDescent="0.3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ht="18" customHeight="1" x14ac:dyDescent="0.3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ht="18" customHeight="1" x14ac:dyDescent="0.3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ht="18" customHeight="1" x14ac:dyDescent="0.3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ht="18" customHeight="1" x14ac:dyDescent="0.3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ht="18" customHeight="1" x14ac:dyDescent="0.3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ht="18" customHeight="1" x14ac:dyDescent="0.3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ht="18" customHeight="1" x14ac:dyDescent="0.3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ht="18" customHeight="1" x14ac:dyDescent="0.3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ht="18" customHeight="1" x14ac:dyDescent="0.3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ht="18" customHeight="1" x14ac:dyDescent="0.3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ht="18" customHeight="1" x14ac:dyDescent="0.3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ht="18" customHeight="1" x14ac:dyDescent="0.3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ht="18" customHeight="1" x14ac:dyDescent="0.3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ht="18" customHeight="1" x14ac:dyDescent="0.3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ht="18" customHeight="1" x14ac:dyDescent="0.3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ht="18" customHeight="1" x14ac:dyDescent="0.3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ht="18" customHeight="1" x14ac:dyDescent="0.3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ht="18" customHeight="1" x14ac:dyDescent="0.3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ht="18" customHeight="1" x14ac:dyDescent="0.3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ht="18" customHeight="1" x14ac:dyDescent="0.3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ht="18" customHeight="1" x14ac:dyDescent="0.3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ht="18" customHeight="1" x14ac:dyDescent="0.3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ht="18" customHeight="1" x14ac:dyDescent="0.3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ht="18" customHeight="1" x14ac:dyDescent="0.3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ht="18" customHeight="1" x14ac:dyDescent="0.3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ht="18" customHeight="1" x14ac:dyDescent="0.3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ht="18" customHeight="1" x14ac:dyDescent="0.3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ht="18" customHeight="1" x14ac:dyDescent="0.3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ht="18" customHeight="1" x14ac:dyDescent="0.3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ht="18" customHeight="1" x14ac:dyDescent="0.3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ht="18" customHeight="1" x14ac:dyDescent="0.3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ht="18" customHeight="1" x14ac:dyDescent="0.3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ht="18" customHeight="1" x14ac:dyDescent="0.3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ht="18" customHeight="1" x14ac:dyDescent="0.3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ht="18" customHeight="1" x14ac:dyDescent="0.3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ht="18" customHeight="1" x14ac:dyDescent="0.3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ht="18" customHeight="1" x14ac:dyDescent="0.3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ht="18" customHeight="1" x14ac:dyDescent="0.3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ht="18" customHeight="1" x14ac:dyDescent="0.3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ht="18" customHeight="1" x14ac:dyDescent="0.3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ht="18" customHeight="1" x14ac:dyDescent="0.3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ht="18" customHeight="1" x14ac:dyDescent="0.3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ht="18" customHeight="1" x14ac:dyDescent="0.3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ht="18" customHeight="1" x14ac:dyDescent="0.3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ht="18" customHeight="1" x14ac:dyDescent="0.3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ht="18" customHeight="1" x14ac:dyDescent="0.3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ht="18" customHeight="1" x14ac:dyDescent="0.3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ht="18" customHeight="1" x14ac:dyDescent="0.3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ht="18" customHeight="1" x14ac:dyDescent="0.3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ht="18" customHeight="1" x14ac:dyDescent="0.3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ht="18" customHeight="1" x14ac:dyDescent="0.3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ht="18" customHeight="1" x14ac:dyDescent="0.3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ht="18" customHeight="1" x14ac:dyDescent="0.3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ht="18" customHeight="1" x14ac:dyDescent="0.3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ht="18" customHeight="1" x14ac:dyDescent="0.3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ht="18" customHeight="1" x14ac:dyDescent="0.3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ht="18" customHeight="1" x14ac:dyDescent="0.3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ht="18" customHeight="1" x14ac:dyDescent="0.3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ht="18" customHeight="1" x14ac:dyDescent="0.3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ht="18" customHeight="1" x14ac:dyDescent="0.3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ht="18" customHeight="1" x14ac:dyDescent="0.3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ht="18" customHeight="1" x14ac:dyDescent="0.3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ht="18" customHeight="1" x14ac:dyDescent="0.3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ht="18" customHeight="1" x14ac:dyDescent="0.3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ht="18" customHeight="1" x14ac:dyDescent="0.3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ht="18" customHeight="1" x14ac:dyDescent="0.3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ht="18" customHeight="1" x14ac:dyDescent="0.3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ht="18" customHeight="1" x14ac:dyDescent="0.3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ht="18" customHeight="1" x14ac:dyDescent="0.3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ht="18" customHeight="1" x14ac:dyDescent="0.3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ht="18" customHeight="1" x14ac:dyDescent="0.3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ht="18" customHeight="1" x14ac:dyDescent="0.3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ht="18" customHeight="1" x14ac:dyDescent="0.3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ht="18" customHeight="1" x14ac:dyDescent="0.3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ht="18" customHeight="1" x14ac:dyDescent="0.3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ht="18" customHeight="1" x14ac:dyDescent="0.3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ht="18" customHeight="1" x14ac:dyDescent="0.3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ht="18" customHeight="1" x14ac:dyDescent="0.3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ht="18" customHeight="1" x14ac:dyDescent="0.3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ht="18" customHeight="1" x14ac:dyDescent="0.3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ht="18" customHeight="1" x14ac:dyDescent="0.3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ht="18" customHeight="1" x14ac:dyDescent="0.3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ht="18" customHeight="1" x14ac:dyDescent="0.3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ht="18" customHeight="1" x14ac:dyDescent="0.3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ht="18" customHeight="1" x14ac:dyDescent="0.3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ht="18" customHeight="1" x14ac:dyDescent="0.3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ht="18" customHeight="1" x14ac:dyDescent="0.3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ht="18" customHeight="1" x14ac:dyDescent="0.3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ht="18" customHeight="1" x14ac:dyDescent="0.3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ht="18" customHeight="1" x14ac:dyDescent="0.3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ht="18" customHeight="1" x14ac:dyDescent="0.3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ht="18" customHeight="1" x14ac:dyDescent="0.3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ht="18" customHeight="1" x14ac:dyDescent="0.3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ht="18" customHeight="1" x14ac:dyDescent="0.3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ht="18" customHeight="1" x14ac:dyDescent="0.3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ht="18" customHeight="1" x14ac:dyDescent="0.3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ht="18" customHeight="1" x14ac:dyDescent="0.3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ht="18" customHeight="1" x14ac:dyDescent="0.3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ht="18" customHeight="1" x14ac:dyDescent="0.3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ht="18" customHeight="1" x14ac:dyDescent="0.3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ht="18" customHeight="1" x14ac:dyDescent="0.3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ht="18" customHeight="1" x14ac:dyDescent="0.3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ht="18" customHeight="1" x14ac:dyDescent="0.3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ht="18" customHeight="1" x14ac:dyDescent="0.3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ht="18" customHeight="1" x14ac:dyDescent="0.3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ht="18" customHeight="1" x14ac:dyDescent="0.3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ht="18" customHeight="1" x14ac:dyDescent="0.3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ht="18" customHeight="1" x14ac:dyDescent="0.3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ht="18" customHeight="1" x14ac:dyDescent="0.3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ht="18" customHeight="1" x14ac:dyDescent="0.3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ht="18" customHeight="1" x14ac:dyDescent="0.3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ht="18" customHeight="1" x14ac:dyDescent="0.3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ht="18" customHeight="1" x14ac:dyDescent="0.3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ht="18" customHeight="1" x14ac:dyDescent="0.3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ht="18" customHeight="1" x14ac:dyDescent="0.3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ht="18" customHeight="1" x14ac:dyDescent="0.3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ht="18" customHeight="1" x14ac:dyDescent="0.3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ht="18" customHeight="1" x14ac:dyDescent="0.3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ht="18" customHeight="1" x14ac:dyDescent="0.3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ht="18" customHeight="1" x14ac:dyDescent="0.3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ht="18" customHeight="1" x14ac:dyDescent="0.3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ht="18" customHeight="1" x14ac:dyDescent="0.3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ht="18" customHeight="1" x14ac:dyDescent="0.3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ht="18" customHeight="1" x14ac:dyDescent="0.3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ht="18" customHeight="1" x14ac:dyDescent="0.3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ht="18" customHeight="1" x14ac:dyDescent="0.3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ht="18" customHeight="1" x14ac:dyDescent="0.3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ht="18" customHeight="1" x14ac:dyDescent="0.3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ht="18" customHeight="1" x14ac:dyDescent="0.3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ht="18" customHeight="1" x14ac:dyDescent="0.3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ht="18" customHeight="1" x14ac:dyDescent="0.3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ht="18" customHeight="1" x14ac:dyDescent="0.3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ht="18" customHeight="1" x14ac:dyDescent="0.3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ht="18" customHeight="1" x14ac:dyDescent="0.3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ht="18" customHeight="1" x14ac:dyDescent="0.3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ht="18" customHeight="1" x14ac:dyDescent="0.3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ht="18" customHeight="1" x14ac:dyDescent="0.3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ht="18" customHeight="1" x14ac:dyDescent="0.3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ht="18" customHeight="1" x14ac:dyDescent="0.3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ht="18" customHeight="1" x14ac:dyDescent="0.3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ht="18" customHeight="1" x14ac:dyDescent="0.3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ht="18" customHeight="1" x14ac:dyDescent="0.3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ht="18" customHeight="1" x14ac:dyDescent="0.3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ht="18" customHeight="1" x14ac:dyDescent="0.3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ht="18" customHeight="1" x14ac:dyDescent="0.3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ht="18" customHeight="1" x14ac:dyDescent="0.3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ht="18" customHeight="1" x14ac:dyDescent="0.3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ht="18" customHeight="1" x14ac:dyDescent="0.3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ht="18" customHeight="1" x14ac:dyDescent="0.3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ht="18" customHeight="1" x14ac:dyDescent="0.3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ht="18" customHeight="1" x14ac:dyDescent="0.3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ht="18" customHeight="1" x14ac:dyDescent="0.3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ht="18" customHeight="1" x14ac:dyDescent="0.3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ht="18" customHeight="1" x14ac:dyDescent="0.3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ht="18" customHeight="1" x14ac:dyDescent="0.3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ht="18" customHeight="1" x14ac:dyDescent="0.3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ht="18" customHeight="1" x14ac:dyDescent="0.3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ht="18" customHeight="1" x14ac:dyDescent="0.3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ht="18" customHeight="1" x14ac:dyDescent="0.3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ht="18" customHeight="1" x14ac:dyDescent="0.3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ht="18" customHeight="1" x14ac:dyDescent="0.3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ht="18" customHeight="1" x14ac:dyDescent="0.3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ht="18" customHeight="1" x14ac:dyDescent="0.3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ht="18" customHeight="1" x14ac:dyDescent="0.3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ht="18" customHeight="1" x14ac:dyDescent="0.3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ht="18" customHeight="1" x14ac:dyDescent="0.3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ht="18" customHeight="1" x14ac:dyDescent="0.3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ht="18" customHeight="1" x14ac:dyDescent="0.3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ht="18" customHeight="1" x14ac:dyDescent="0.3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ht="18" customHeight="1" x14ac:dyDescent="0.3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ht="18" customHeight="1" x14ac:dyDescent="0.3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ht="18" customHeight="1" x14ac:dyDescent="0.3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ht="18" customHeight="1" x14ac:dyDescent="0.3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ht="18" customHeight="1" x14ac:dyDescent="0.3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ht="18" customHeight="1" x14ac:dyDescent="0.3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ht="18" customHeight="1" x14ac:dyDescent="0.3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ht="18" customHeight="1" x14ac:dyDescent="0.3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ht="18" customHeight="1" x14ac:dyDescent="0.3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ht="18" customHeight="1" x14ac:dyDescent="0.3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ht="18" customHeight="1" x14ac:dyDescent="0.3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ht="18" customHeight="1" x14ac:dyDescent="0.3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ht="18" customHeight="1" x14ac:dyDescent="0.3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ht="18" customHeight="1" x14ac:dyDescent="0.3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ht="18" customHeight="1" x14ac:dyDescent="0.3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ht="18" customHeight="1" x14ac:dyDescent="0.3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ht="18" customHeight="1" x14ac:dyDescent="0.3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ht="18" customHeight="1" x14ac:dyDescent="0.3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ht="18" customHeight="1" x14ac:dyDescent="0.3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ht="18" customHeight="1" x14ac:dyDescent="0.3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ht="18" customHeight="1" x14ac:dyDescent="0.3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ht="18" customHeight="1" x14ac:dyDescent="0.3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ht="18" customHeight="1" x14ac:dyDescent="0.3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ht="18" customHeight="1" x14ac:dyDescent="0.3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ht="18" customHeight="1" x14ac:dyDescent="0.3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ht="18" customHeight="1" x14ac:dyDescent="0.3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ht="18" customHeight="1" x14ac:dyDescent="0.3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ht="18" customHeight="1" x14ac:dyDescent="0.3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ht="18" customHeight="1" x14ac:dyDescent="0.3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ht="18" customHeight="1" x14ac:dyDescent="0.3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ht="18" customHeight="1" x14ac:dyDescent="0.3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ht="18" customHeight="1" x14ac:dyDescent="0.3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ht="18" customHeight="1" x14ac:dyDescent="0.3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ht="18" customHeight="1" x14ac:dyDescent="0.3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ht="18" customHeight="1" x14ac:dyDescent="0.3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ht="18" customHeight="1" x14ac:dyDescent="0.3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ht="18" customHeight="1" x14ac:dyDescent="0.3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ht="18" customHeight="1" x14ac:dyDescent="0.3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ht="18" customHeight="1" x14ac:dyDescent="0.3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ht="18" customHeight="1" x14ac:dyDescent="0.3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ht="18" customHeight="1" x14ac:dyDescent="0.3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ht="18" customHeight="1" x14ac:dyDescent="0.3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ht="18" customHeight="1" x14ac:dyDescent="0.3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ht="18" customHeight="1" x14ac:dyDescent="0.3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ht="18" customHeight="1" x14ac:dyDescent="0.3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ht="18" customHeight="1" x14ac:dyDescent="0.3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ht="18" customHeight="1" x14ac:dyDescent="0.3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ht="18" customHeight="1" x14ac:dyDescent="0.3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ht="18" customHeight="1" x14ac:dyDescent="0.3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ht="18" customHeight="1" x14ac:dyDescent="0.3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ht="18" customHeight="1" x14ac:dyDescent="0.3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ht="18" customHeight="1" x14ac:dyDescent="0.3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ht="18" customHeight="1" x14ac:dyDescent="0.3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ht="18" customHeight="1" x14ac:dyDescent="0.3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ht="18" customHeight="1" x14ac:dyDescent="0.3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ht="18" customHeight="1" x14ac:dyDescent="0.3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ht="18" customHeight="1" x14ac:dyDescent="0.3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ht="18" customHeight="1" x14ac:dyDescent="0.3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ht="18" customHeight="1" x14ac:dyDescent="0.3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ht="18" customHeight="1" x14ac:dyDescent="0.3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ht="18" customHeight="1" x14ac:dyDescent="0.3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ht="18" customHeight="1" x14ac:dyDescent="0.3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ht="18" customHeight="1" x14ac:dyDescent="0.3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ht="18" customHeight="1" x14ac:dyDescent="0.3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ht="18" customHeight="1" x14ac:dyDescent="0.3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ht="18" customHeight="1" x14ac:dyDescent="0.3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ht="18" customHeight="1" x14ac:dyDescent="0.3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ht="18" customHeight="1" x14ac:dyDescent="0.3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ht="18" customHeight="1" x14ac:dyDescent="0.3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ht="18" customHeight="1" x14ac:dyDescent="0.3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ht="18" customHeight="1" x14ac:dyDescent="0.3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ht="18" customHeight="1" x14ac:dyDescent="0.3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ht="18" customHeight="1" x14ac:dyDescent="0.3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ht="18" customHeight="1" x14ac:dyDescent="0.3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ht="18" customHeight="1" x14ac:dyDescent="0.3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ht="18" customHeight="1" x14ac:dyDescent="0.3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ht="18" customHeight="1" x14ac:dyDescent="0.3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ht="18" customHeight="1" x14ac:dyDescent="0.3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ht="18" customHeight="1" x14ac:dyDescent="0.3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ht="18" customHeight="1" x14ac:dyDescent="0.3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ht="18" customHeight="1" x14ac:dyDescent="0.3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ht="18" customHeight="1" x14ac:dyDescent="0.3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ht="18" customHeight="1" x14ac:dyDescent="0.3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ht="18" customHeight="1" x14ac:dyDescent="0.3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ht="18" customHeight="1" x14ac:dyDescent="0.3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ht="18" customHeight="1" x14ac:dyDescent="0.3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ht="18" customHeight="1" x14ac:dyDescent="0.3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ht="18" customHeight="1" x14ac:dyDescent="0.3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ht="18" customHeight="1" x14ac:dyDescent="0.3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ht="18" customHeight="1" x14ac:dyDescent="0.3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ht="18" customHeight="1" x14ac:dyDescent="0.3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ht="18" customHeight="1" x14ac:dyDescent="0.3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ht="18" customHeight="1" x14ac:dyDescent="0.3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ht="18" customHeight="1" x14ac:dyDescent="0.3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ht="18" customHeight="1" x14ac:dyDescent="0.3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ht="18" customHeight="1" x14ac:dyDescent="0.3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ht="18" customHeight="1" x14ac:dyDescent="0.3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ht="18" customHeight="1" x14ac:dyDescent="0.3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ht="18" customHeight="1" x14ac:dyDescent="0.3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ht="18" customHeight="1" x14ac:dyDescent="0.3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ht="18" customHeight="1" x14ac:dyDescent="0.3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ht="18" customHeight="1" x14ac:dyDescent="0.3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ht="18" customHeight="1" x14ac:dyDescent="0.3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ht="18" customHeight="1" x14ac:dyDescent="0.3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ht="18" customHeight="1" x14ac:dyDescent="0.3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ht="18" customHeight="1" x14ac:dyDescent="0.3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ht="18" customHeight="1" x14ac:dyDescent="0.3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ht="18" customHeight="1" x14ac:dyDescent="0.3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ht="18" customHeight="1" x14ac:dyDescent="0.3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ht="18" customHeight="1" x14ac:dyDescent="0.3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ht="18" customHeight="1" x14ac:dyDescent="0.3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ht="18" customHeight="1" x14ac:dyDescent="0.3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ht="18" customHeight="1" x14ac:dyDescent="0.3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ht="18" customHeight="1" x14ac:dyDescent="0.3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ht="18" customHeight="1" x14ac:dyDescent="0.3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ht="18" customHeight="1" x14ac:dyDescent="0.3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ht="18" customHeight="1" x14ac:dyDescent="0.3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ht="18" customHeight="1" x14ac:dyDescent="0.3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ht="18" customHeight="1" x14ac:dyDescent="0.3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ht="18" customHeight="1" x14ac:dyDescent="0.3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ht="18" customHeight="1" x14ac:dyDescent="0.3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ht="18" customHeight="1" x14ac:dyDescent="0.3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ht="18" customHeight="1" x14ac:dyDescent="0.3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ht="18" customHeight="1" x14ac:dyDescent="0.3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ht="18" customHeight="1" x14ac:dyDescent="0.3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ht="18" customHeight="1" x14ac:dyDescent="0.3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ht="18" customHeight="1" x14ac:dyDescent="0.3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ht="18" customHeight="1" x14ac:dyDescent="0.3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ht="18" customHeight="1" x14ac:dyDescent="0.3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ht="18" customHeight="1" x14ac:dyDescent="0.3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ht="18" customHeight="1" x14ac:dyDescent="0.3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ht="18" customHeight="1" x14ac:dyDescent="0.3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ht="18" customHeight="1" x14ac:dyDescent="0.3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ht="18" customHeight="1" x14ac:dyDescent="0.3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ht="18" customHeight="1" x14ac:dyDescent="0.3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ht="18" customHeight="1" x14ac:dyDescent="0.3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ht="18" customHeight="1" x14ac:dyDescent="0.3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ht="18" customHeight="1" x14ac:dyDescent="0.3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ht="18" customHeight="1" x14ac:dyDescent="0.3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ht="18" customHeight="1" x14ac:dyDescent="0.3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ht="18" customHeight="1" x14ac:dyDescent="0.3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ht="18" customHeight="1" x14ac:dyDescent="0.3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ht="18" customHeight="1" x14ac:dyDescent="0.3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ht="18" customHeight="1" x14ac:dyDescent="0.3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ht="18" customHeight="1" x14ac:dyDescent="0.3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ht="18" customHeight="1" x14ac:dyDescent="0.3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ht="18" customHeight="1" x14ac:dyDescent="0.3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ht="18" customHeight="1" x14ac:dyDescent="0.3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ht="18" customHeight="1" x14ac:dyDescent="0.3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ht="18" customHeight="1" x14ac:dyDescent="0.3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ht="18" customHeight="1" x14ac:dyDescent="0.3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ht="18" customHeight="1" x14ac:dyDescent="0.3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ht="18" customHeight="1" x14ac:dyDescent="0.3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ht="18" customHeight="1" x14ac:dyDescent="0.3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ht="18" customHeight="1" x14ac:dyDescent="0.3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ht="18" customHeight="1" x14ac:dyDescent="0.3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ht="18" customHeight="1" x14ac:dyDescent="0.3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ht="18" customHeight="1" x14ac:dyDescent="0.3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ht="18" customHeight="1" x14ac:dyDescent="0.3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ht="18" customHeight="1" x14ac:dyDescent="0.3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ht="18" customHeight="1" x14ac:dyDescent="0.3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ht="18" customHeight="1" x14ac:dyDescent="0.3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ht="18" customHeight="1" x14ac:dyDescent="0.3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ht="18" customHeight="1" x14ac:dyDescent="0.3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ht="18" customHeight="1" x14ac:dyDescent="0.3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ht="18" customHeight="1" x14ac:dyDescent="0.3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ht="18" customHeight="1" x14ac:dyDescent="0.3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ht="18" customHeight="1" x14ac:dyDescent="0.3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ht="18" customHeight="1" x14ac:dyDescent="0.3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ht="18" customHeight="1" x14ac:dyDescent="0.3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ht="18" customHeight="1" x14ac:dyDescent="0.3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ht="18" customHeight="1" x14ac:dyDescent="0.3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ht="18" customHeight="1" x14ac:dyDescent="0.3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ht="18" customHeight="1" x14ac:dyDescent="0.3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ht="18" customHeight="1" x14ac:dyDescent="0.3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ht="18" customHeight="1" x14ac:dyDescent="0.3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ht="18" customHeight="1" x14ac:dyDescent="0.3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ht="18" customHeight="1" x14ac:dyDescent="0.3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ht="18" customHeight="1" x14ac:dyDescent="0.3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ht="18" customHeight="1" x14ac:dyDescent="0.3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ht="18" customHeight="1" x14ac:dyDescent="0.3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ht="18" customHeight="1" x14ac:dyDescent="0.3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ht="18" customHeight="1" x14ac:dyDescent="0.3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ht="18" customHeight="1" x14ac:dyDescent="0.3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ht="18" customHeight="1" x14ac:dyDescent="0.3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ht="18" customHeight="1" x14ac:dyDescent="0.3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ht="18" customHeight="1" x14ac:dyDescent="0.3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ht="18" customHeight="1" x14ac:dyDescent="0.3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ht="18" customHeight="1" x14ac:dyDescent="0.3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ht="18" customHeight="1" x14ac:dyDescent="0.3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ht="18" customHeight="1" x14ac:dyDescent="0.3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ht="18" customHeight="1" x14ac:dyDescent="0.3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ht="18" customHeight="1" x14ac:dyDescent="0.3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ht="18" customHeight="1" x14ac:dyDescent="0.3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ht="18" customHeight="1" x14ac:dyDescent="0.3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ht="18" customHeight="1" x14ac:dyDescent="0.3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ht="18" customHeight="1" x14ac:dyDescent="0.3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ht="18" customHeight="1" x14ac:dyDescent="0.3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ht="18" customHeight="1" x14ac:dyDescent="0.3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ht="18" customHeight="1" x14ac:dyDescent="0.3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ht="18" customHeight="1" x14ac:dyDescent="0.3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ht="18" customHeight="1" x14ac:dyDescent="0.3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ht="18" customHeight="1" x14ac:dyDescent="0.3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ht="18" customHeight="1" x14ac:dyDescent="0.3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ht="18" customHeight="1" x14ac:dyDescent="0.3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ht="18" customHeight="1" x14ac:dyDescent="0.3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ht="18" customHeight="1" x14ac:dyDescent="0.3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ht="18" customHeight="1" x14ac:dyDescent="0.3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ht="18" customHeight="1" x14ac:dyDescent="0.3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ht="18" customHeight="1" x14ac:dyDescent="0.3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ht="18" customHeight="1" x14ac:dyDescent="0.3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ht="18" customHeight="1" x14ac:dyDescent="0.3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ht="18" customHeight="1" x14ac:dyDescent="0.3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ht="18" customHeight="1" x14ac:dyDescent="0.3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ht="18" customHeight="1" x14ac:dyDescent="0.3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ht="18" customHeight="1" x14ac:dyDescent="0.3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ht="18" customHeight="1" x14ac:dyDescent="0.3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ht="18" customHeight="1" x14ac:dyDescent="0.3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ht="18" customHeight="1" x14ac:dyDescent="0.3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ht="18" customHeight="1" x14ac:dyDescent="0.3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ht="18" customHeight="1" x14ac:dyDescent="0.3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ht="18" customHeight="1" x14ac:dyDescent="0.3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ht="18" customHeight="1" x14ac:dyDescent="0.3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ht="18" customHeight="1" x14ac:dyDescent="0.3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ht="18" customHeight="1" x14ac:dyDescent="0.3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ht="18" customHeight="1" x14ac:dyDescent="0.3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ht="18" customHeight="1" x14ac:dyDescent="0.3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ht="18" customHeight="1" x14ac:dyDescent="0.3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ht="18" customHeight="1" x14ac:dyDescent="0.3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ht="18" customHeight="1" x14ac:dyDescent="0.3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ht="18" customHeight="1" x14ac:dyDescent="0.3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ht="18" customHeight="1" x14ac:dyDescent="0.3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ht="18" customHeight="1" x14ac:dyDescent="0.3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ht="18" customHeight="1" x14ac:dyDescent="0.3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ht="18" customHeight="1" x14ac:dyDescent="0.3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ht="18" customHeight="1" x14ac:dyDescent="0.3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ht="18" customHeight="1" x14ac:dyDescent="0.3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ht="18" customHeight="1" x14ac:dyDescent="0.3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ht="18" customHeight="1" x14ac:dyDescent="0.3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ht="18" customHeight="1" x14ac:dyDescent="0.3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ht="18" customHeight="1" x14ac:dyDescent="0.3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ht="18" customHeight="1" x14ac:dyDescent="0.3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ht="18" customHeight="1" x14ac:dyDescent="0.3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ht="18" customHeight="1" x14ac:dyDescent="0.3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ht="18" customHeight="1" x14ac:dyDescent="0.3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ht="18" customHeight="1" x14ac:dyDescent="0.3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ht="18" customHeight="1" x14ac:dyDescent="0.3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ht="18" customHeight="1" x14ac:dyDescent="0.3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ht="18" customHeight="1" x14ac:dyDescent="0.3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ht="18" customHeight="1" x14ac:dyDescent="0.3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ht="18" customHeight="1" x14ac:dyDescent="0.3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ht="18" customHeight="1" x14ac:dyDescent="0.3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ht="18" customHeight="1" x14ac:dyDescent="0.3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ht="18" customHeight="1" x14ac:dyDescent="0.3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ht="18" customHeight="1" x14ac:dyDescent="0.3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ht="18" customHeight="1" x14ac:dyDescent="0.3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ht="18" customHeight="1" x14ac:dyDescent="0.3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ht="18" customHeight="1" x14ac:dyDescent="0.3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ht="18" customHeight="1" x14ac:dyDescent="0.3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ht="18" customHeight="1" x14ac:dyDescent="0.3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ht="18" customHeight="1" x14ac:dyDescent="0.3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ht="18" customHeight="1" x14ac:dyDescent="0.3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ht="18" customHeight="1" x14ac:dyDescent="0.3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ht="18" customHeight="1" x14ac:dyDescent="0.3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ht="18" customHeight="1" x14ac:dyDescent="0.3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ht="18" customHeight="1" x14ac:dyDescent="0.3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ht="18" customHeight="1" x14ac:dyDescent="0.3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ht="18" customHeight="1" x14ac:dyDescent="0.3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ht="18" customHeight="1" x14ac:dyDescent="0.3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ht="18" customHeight="1" x14ac:dyDescent="0.3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ht="18" customHeight="1" x14ac:dyDescent="0.3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pageSetUpPr fitToPage="1"/>
  </sheetPr>
  <dimension ref="A1:Z1000"/>
  <sheetViews>
    <sheetView workbookViewId="0">
      <selection activeCell="C5" sqref="C5"/>
    </sheetView>
  </sheetViews>
  <sheetFormatPr defaultColWidth="14.44140625" defaultRowHeight="15" customHeight="1" x14ac:dyDescent="0.3"/>
  <cols>
    <col min="1" max="1" width="5.109375" customWidth="1"/>
    <col min="2" max="2" width="9.44140625" customWidth="1"/>
    <col min="3" max="3" width="10.88671875" customWidth="1"/>
    <col min="4" max="4" width="6" customWidth="1"/>
    <col min="5" max="5" width="6.5546875" customWidth="1"/>
    <col min="6" max="6" width="10.109375" customWidth="1"/>
    <col min="7" max="7" width="8.5546875" customWidth="1"/>
    <col min="8" max="8" width="9.44140625" customWidth="1"/>
    <col min="9" max="9" width="16" customWidth="1"/>
    <col min="10" max="10" width="6.109375" customWidth="1"/>
    <col min="11" max="11" width="4.44140625" customWidth="1"/>
    <col min="12" max="17" width="9.109375" customWidth="1"/>
    <col min="18" max="18" width="8.5546875" customWidth="1"/>
    <col min="19" max="19" width="9.109375" customWidth="1"/>
    <col min="20" max="20" width="11.88671875" customWidth="1"/>
    <col min="21" max="26" width="9.109375" customWidth="1"/>
  </cols>
  <sheetData>
    <row r="1" spans="1:26" ht="25.5" customHeight="1" x14ac:dyDescent="0.3">
      <c r="A1" s="9"/>
      <c r="B1" s="10" t="s">
        <v>99</v>
      </c>
      <c r="C1" s="190" t="s">
        <v>100</v>
      </c>
      <c r="D1" s="183"/>
      <c r="E1" s="11" t="s">
        <v>101</v>
      </c>
      <c r="F1" s="188" t="s">
        <v>102</v>
      </c>
      <c r="G1" s="182"/>
      <c r="H1" s="183"/>
      <c r="I1" s="12" t="str">
        <f ca="1">IF(ISERROR(VLOOKUP(F1,Keszlet_data,J2,FALSE)),"",VLOOKUP(F1,Keszlet_data,J2,FALSE))</f>
        <v>151.00</v>
      </c>
      <c r="J1" s="13" t="s">
        <v>21</v>
      </c>
      <c r="K1" s="14">
        <v>2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32.25" customHeight="1" x14ac:dyDescent="0.3">
      <c r="A2" s="9"/>
      <c r="B2" s="10" t="s">
        <v>103</v>
      </c>
      <c r="C2" s="191">
        <f ca="1">TODAY()</f>
        <v>45712</v>
      </c>
      <c r="D2" s="182"/>
      <c r="E2" s="183"/>
      <c r="F2" s="11" t="s">
        <v>104</v>
      </c>
      <c r="G2" s="15">
        <v>20</v>
      </c>
      <c r="H2" s="16" t="s">
        <v>105</v>
      </c>
      <c r="I2" s="17" t="s">
        <v>106</v>
      </c>
      <c r="J2" s="18">
        <f>IF(K1=0,4,8)</f>
        <v>8</v>
      </c>
      <c r="K2" s="9"/>
      <c r="L2" s="18" t="str">
        <f ca="1">IF(ISERROR(VLOOKUP(F1,Keszlet_data,10,FALSE)),"",VLOOKUP(F1,Keszlet_data,10,FALSE))</f>
        <v>Duplex</v>
      </c>
      <c r="M2" s="18">
        <f ca="1">IF(L2="duplex",50,100)</f>
        <v>50</v>
      </c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2.75" customHeight="1" x14ac:dyDescent="0.3">
      <c r="A3" s="19" t="s">
        <v>107</v>
      </c>
      <c r="B3" s="192" t="str">
        <f>IF(N4&lt;&gt;"Nincs",N4&amp;" meleg perem ","")&amp;" "&amp;IF(P4&lt;&gt;"Nincs",P4,"")&amp;" "&amp;IF(R4&lt;&gt;"Nincs",R4,"")</f>
        <v>Fekete meleg perem  Távtartóval Eltérő forma</v>
      </c>
      <c r="C3" s="182"/>
      <c r="D3" s="182"/>
      <c r="E3" s="182"/>
      <c r="F3" s="183"/>
      <c r="G3" s="19" t="s">
        <v>107</v>
      </c>
      <c r="H3" s="19" t="s">
        <v>107</v>
      </c>
      <c r="I3" s="19" t="s">
        <v>107</v>
      </c>
      <c r="J3" s="19" t="s">
        <v>107</v>
      </c>
      <c r="K3" s="19" t="s">
        <v>107</v>
      </c>
      <c r="L3" s="18"/>
      <c r="M3" s="18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54.75" customHeight="1" x14ac:dyDescent="0.3">
      <c r="A4" s="20" t="s">
        <v>108</v>
      </c>
      <c r="B4" s="13" t="s">
        <v>109</v>
      </c>
      <c r="C4" s="13" t="s">
        <v>110</v>
      </c>
      <c r="D4" s="21" t="s">
        <v>111</v>
      </c>
      <c r="E4" s="22" t="s">
        <v>112</v>
      </c>
      <c r="F4" s="22" t="s">
        <v>113</v>
      </c>
      <c r="G4" s="22" t="s">
        <v>114</v>
      </c>
      <c r="H4" s="13" t="s">
        <v>115</v>
      </c>
      <c r="I4" s="13" t="s">
        <v>116</v>
      </c>
      <c r="J4" s="5"/>
      <c r="K4" s="5"/>
      <c r="L4" s="193" t="s">
        <v>117</v>
      </c>
      <c r="M4" s="183"/>
      <c r="N4" s="23" t="s">
        <v>118</v>
      </c>
      <c r="O4" s="11" t="s">
        <v>119</v>
      </c>
      <c r="P4" s="24" t="s">
        <v>120</v>
      </c>
      <c r="Q4" s="10" t="s">
        <v>121</v>
      </c>
      <c r="R4" s="25" t="s">
        <v>122</v>
      </c>
      <c r="S4" s="10" t="s">
        <v>123</v>
      </c>
      <c r="T4" s="26">
        <f ca="1">TODAY()+3</f>
        <v>45715</v>
      </c>
      <c r="U4" s="26"/>
      <c r="V4" s="5"/>
      <c r="W4" s="5"/>
      <c r="X4" s="5"/>
      <c r="Y4" s="5"/>
      <c r="Z4" s="5"/>
    </row>
    <row r="5" spans="1:26" ht="17.25" customHeight="1" x14ac:dyDescent="0.3">
      <c r="A5" s="27">
        <v>1</v>
      </c>
      <c r="B5" s="28">
        <v>76.3</v>
      </c>
      <c r="C5" s="28">
        <v>876</v>
      </c>
      <c r="D5" s="29">
        <v>2</v>
      </c>
      <c r="E5" s="30" t="e">
        <f t="shared" ref="E5:E24" ca="1" si="0">IF(OR(B5="",C5=""),"",ROUND(FTerulet(B5,C5)*D5,2))</f>
        <v>#NAME?</v>
      </c>
      <c r="F5" s="30" t="e">
        <f t="shared" ref="F5:F24" ca="1" si="1">IF(OR(B5="",C5=""),"",ROUND(FKisTerulet(C5,B5)*D5,2))</f>
        <v>#NAME?</v>
      </c>
      <c r="G5" s="31" t="e">
        <f t="shared" ref="G5:G24" ca="1" si="2">(IF(E5="","",(E5+F5)*IF($P$4="Távtartóval",1.3,1)*IF($R$4="Eltérő forma",1.3,1)))</f>
        <v>#NAME?</v>
      </c>
      <c r="H5" s="32">
        <f t="shared" ref="H5:H24" si="3">IF(OR(B5="",C5=""),"",2*D5*(B5+C5))</f>
        <v>3809.2</v>
      </c>
      <c r="I5" s="32" t="e">
        <f t="shared" ref="I5:I24" ca="1" si="4">IF($F$1&lt;&gt;"",IF(G5&lt;&gt;"",ROUND(G5*$I$1,2)+IF($N$4&lt;&gt;"Nincs",G5*IF($L$2="duplex",50,100),0),""),"")</f>
        <v>#NAME?</v>
      </c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7.25" customHeight="1" x14ac:dyDescent="0.3">
      <c r="A6" s="27">
        <v>2</v>
      </c>
      <c r="B6" s="28">
        <v>50</v>
      </c>
      <c r="C6" s="28">
        <v>150</v>
      </c>
      <c r="D6" s="33">
        <v>2</v>
      </c>
      <c r="E6" s="30" t="e">
        <f t="shared" ca="1" si="0"/>
        <v>#NAME?</v>
      </c>
      <c r="F6" s="30" t="e">
        <f t="shared" ca="1" si="1"/>
        <v>#NAME?</v>
      </c>
      <c r="G6" s="31" t="e">
        <f t="shared" ca="1" si="2"/>
        <v>#NAME?</v>
      </c>
      <c r="H6" s="32">
        <f t="shared" si="3"/>
        <v>800</v>
      </c>
      <c r="I6" s="32" t="e">
        <f t="shared" ca="1" si="4"/>
        <v>#NAME?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17.25" customHeight="1" x14ac:dyDescent="0.3">
      <c r="A7" s="27">
        <v>3</v>
      </c>
      <c r="B7" s="28"/>
      <c r="C7" s="28"/>
      <c r="D7" s="33"/>
      <c r="E7" s="30" t="str">
        <f t="shared" si="0"/>
        <v/>
      </c>
      <c r="F7" s="30" t="str">
        <f t="shared" si="1"/>
        <v/>
      </c>
      <c r="G7" s="31" t="str">
        <f t="shared" si="2"/>
        <v/>
      </c>
      <c r="H7" s="32" t="str">
        <f t="shared" si="3"/>
        <v/>
      </c>
      <c r="I7" s="32" t="str">
        <f t="shared" si="4"/>
        <v/>
      </c>
      <c r="J7" s="7"/>
      <c r="K7" s="7"/>
      <c r="L7" s="7"/>
      <c r="M7" s="7"/>
      <c r="N7" s="188"/>
      <c r="O7" s="182"/>
      <c r="P7" s="183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7.25" customHeight="1" x14ac:dyDescent="0.3">
      <c r="A8" s="27">
        <v>4</v>
      </c>
      <c r="B8" s="28"/>
      <c r="C8" s="28"/>
      <c r="D8" s="33"/>
      <c r="E8" s="30" t="str">
        <f t="shared" si="0"/>
        <v/>
      </c>
      <c r="F8" s="30" t="str">
        <f t="shared" si="1"/>
        <v/>
      </c>
      <c r="G8" s="31" t="str">
        <f t="shared" si="2"/>
        <v/>
      </c>
      <c r="H8" s="32" t="str">
        <f t="shared" si="3"/>
        <v/>
      </c>
      <c r="I8" s="32" t="str">
        <f t="shared" si="4"/>
        <v/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7.25" customHeight="1" x14ac:dyDescent="0.3">
      <c r="A9" s="27">
        <v>5</v>
      </c>
      <c r="B9" s="28"/>
      <c r="C9" s="28"/>
      <c r="D9" s="33"/>
      <c r="E9" s="30" t="str">
        <f t="shared" si="0"/>
        <v/>
      </c>
      <c r="F9" s="30" t="str">
        <f t="shared" si="1"/>
        <v/>
      </c>
      <c r="G9" s="31" t="str">
        <f t="shared" si="2"/>
        <v/>
      </c>
      <c r="H9" s="32" t="str">
        <f t="shared" si="3"/>
        <v/>
      </c>
      <c r="I9" s="32" t="str">
        <f t="shared" si="4"/>
        <v/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7.25" customHeight="1" x14ac:dyDescent="0.3">
      <c r="A10" s="27">
        <v>6</v>
      </c>
      <c r="B10" s="28"/>
      <c r="C10" s="28"/>
      <c r="D10" s="33"/>
      <c r="E10" s="30" t="str">
        <f t="shared" si="0"/>
        <v/>
      </c>
      <c r="F10" s="30" t="str">
        <f t="shared" si="1"/>
        <v/>
      </c>
      <c r="G10" s="31" t="str">
        <f t="shared" si="2"/>
        <v/>
      </c>
      <c r="H10" s="32" t="str">
        <f t="shared" si="3"/>
        <v/>
      </c>
      <c r="I10" s="32" t="str">
        <f t="shared" si="4"/>
        <v/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8" customHeight="1" x14ac:dyDescent="0.3">
      <c r="A11" s="27">
        <v>7</v>
      </c>
      <c r="B11" s="28"/>
      <c r="C11" s="28"/>
      <c r="D11" s="33"/>
      <c r="E11" s="30" t="str">
        <f t="shared" si="0"/>
        <v/>
      </c>
      <c r="F11" s="30" t="str">
        <f t="shared" si="1"/>
        <v/>
      </c>
      <c r="G11" s="31" t="str">
        <f t="shared" si="2"/>
        <v/>
      </c>
      <c r="H11" s="32" t="str">
        <f t="shared" si="3"/>
        <v/>
      </c>
      <c r="I11" s="32" t="str">
        <f t="shared" si="4"/>
        <v/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8" customHeight="1" x14ac:dyDescent="0.3">
      <c r="A12" s="27">
        <v>8</v>
      </c>
      <c r="B12" s="28"/>
      <c r="C12" s="28"/>
      <c r="D12" s="33"/>
      <c r="E12" s="30" t="str">
        <f t="shared" si="0"/>
        <v/>
      </c>
      <c r="F12" s="30" t="str">
        <f t="shared" si="1"/>
        <v/>
      </c>
      <c r="G12" s="31" t="str">
        <f t="shared" si="2"/>
        <v/>
      </c>
      <c r="H12" s="32" t="str">
        <f t="shared" si="3"/>
        <v/>
      </c>
      <c r="I12" s="32" t="str">
        <f t="shared" si="4"/>
        <v/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8" customHeight="1" x14ac:dyDescent="0.3">
      <c r="A13" s="27">
        <v>9</v>
      </c>
      <c r="B13" s="28"/>
      <c r="C13" s="28"/>
      <c r="D13" s="33"/>
      <c r="E13" s="30" t="str">
        <f t="shared" si="0"/>
        <v/>
      </c>
      <c r="F13" s="30" t="str">
        <f t="shared" si="1"/>
        <v/>
      </c>
      <c r="G13" s="31" t="str">
        <f t="shared" si="2"/>
        <v/>
      </c>
      <c r="H13" s="32" t="str">
        <f t="shared" si="3"/>
        <v/>
      </c>
      <c r="I13" s="32" t="str">
        <f t="shared" si="4"/>
        <v/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8" customHeight="1" x14ac:dyDescent="0.3">
      <c r="A14" s="27">
        <v>10</v>
      </c>
      <c r="B14" s="28"/>
      <c r="C14" s="28"/>
      <c r="D14" s="33"/>
      <c r="E14" s="30" t="str">
        <f t="shared" si="0"/>
        <v/>
      </c>
      <c r="F14" s="30" t="str">
        <f t="shared" si="1"/>
        <v/>
      </c>
      <c r="G14" s="31" t="str">
        <f t="shared" si="2"/>
        <v/>
      </c>
      <c r="H14" s="32" t="str">
        <f t="shared" si="3"/>
        <v/>
      </c>
      <c r="I14" s="32" t="str">
        <f t="shared" si="4"/>
        <v/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8" customHeight="1" x14ac:dyDescent="0.3">
      <c r="A15" s="27">
        <v>11</v>
      </c>
      <c r="B15" s="28"/>
      <c r="C15" s="28"/>
      <c r="D15" s="33"/>
      <c r="E15" s="30" t="str">
        <f t="shared" si="0"/>
        <v/>
      </c>
      <c r="F15" s="30" t="str">
        <f t="shared" si="1"/>
        <v/>
      </c>
      <c r="G15" s="31" t="str">
        <f t="shared" si="2"/>
        <v/>
      </c>
      <c r="H15" s="32" t="str">
        <f t="shared" si="3"/>
        <v/>
      </c>
      <c r="I15" s="32" t="str">
        <f t="shared" si="4"/>
        <v/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8" customHeight="1" x14ac:dyDescent="0.3">
      <c r="A16" s="27">
        <v>12</v>
      </c>
      <c r="B16" s="28"/>
      <c r="C16" s="28"/>
      <c r="D16" s="33"/>
      <c r="E16" s="30" t="str">
        <f t="shared" si="0"/>
        <v/>
      </c>
      <c r="F16" s="30" t="str">
        <f t="shared" si="1"/>
        <v/>
      </c>
      <c r="G16" s="31" t="str">
        <f t="shared" si="2"/>
        <v/>
      </c>
      <c r="H16" s="32" t="str">
        <f t="shared" si="3"/>
        <v/>
      </c>
      <c r="I16" s="32" t="str">
        <f t="shared" si="4"/>
        <v/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8" customHeight="1" x14ac:dyDescent="0.3">
      <c r="A17" s="27">
        <v>13</v>
      </c>
      <c r="B17" s="28"/>
      <c r="C17" s="28"/>
      <c r="D17" s="33"/>
      <c r="E17" s="30" t="str">
        <f t="shared" si="0"/>
        <v/>
      </c>
      <c r="F17" s="30" t="str">
        <f t="shared" si="1"/>
        <v/>
      </c>
      <c r="G17" s="31" t="str">
        <f t="shared" si="2"/>
        <v/>
      </c>
      <c r="H17" s="32" t="str">
        <f t="shared" si="3"/>
        <v/>
      </c>
      <c r="I17" s="32" t="str">
        <f t="shared" si="4"/>
        <v/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8" customHeight="1" x14ac:dyDescent="0.3">
      <c r="A18" s="27">
        <v>14</v>
      </c>
      <c r="B18" s="28"/>
      <c r="C18" s="28"/>
      <c r="D18" s="33"/>
      <c r="E18" s="30" t="str">
        <f t="shared" si="0"/>
        <v/>
      </c>
      <c r="F18" s="30" t="str">
        <f t="shared" si="1"/>
        <v/>
      </c>
      <c r="G18" s="31" t="str">
        <f t="shared" si="2"/>
        <v/>
      </c>
      <c r="H18" s="32" t="str">
        <f t="shared" si="3"/>
        <v/>
      </c>
      <c r="I18" s="32" t="str">
        <f t="shared" si="4"/>
        <v/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8" customHeight="1" x14ac:dyDescent="0.3">
      <c r="A19" s="27">
        <v>15</v>
      </c>
      <c r="B19" s="28"/>
      <c r="C19" s="28"/>
      <c r="D19" s="33"/>
      <c r="E19" s="30" t="str">
        <f t="shared" si="0"/>
        <v/>
      </c>
      <c r="F19" s="30" t="str">
        <f t="shared" si="1"/>
        <v/>
      </c>
      <c r="G19" s="31" t="str">
        <f t="shared" si="2"/>
        <v/>
      </c>
      <c r="H19" s="32" t="str">
        <f t="shared" si="3"/>
        <v/>
      </c>
      <c r="I19" s="32" t="str">
        <f t="shared" si="4"/>
        <v/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8" customHeight="1" x14ac:dyDescent="0.3">
      <c r="A20" s="27">
        <v>16</v>
      </c>
      <c r="B20" s="28"/>
      <c r="C20" s="28"/>
      <c r="D20" s="33"/>
      <c r="E20" s="30" t="str">
        <f t="shared" si="0"/>
        <v/>
      </c>
      <c r="F20" s="30" t="str">
        <f t="shared" si="1"/>
        <v/>
      </c>
      <c r="G20" s="31" t="str">
        <f t="shared" si="2"/>
        <v/>
      </c>
      <c r="H20" s="32" t="str">
        <f t="shared" si="3"/>
        <v/>
      </c>
      <c r="I20" s="32" t="str">
        <f t="shared" si="4"/>
        <v/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8" customHeight="1" x14ac:dyDescent="0.3">
      <c r="A21" s="27">
        <v>17</v>
      </c>
      <c r="B21" s="28"/>
      <c r="C21" s="28"/>
      <c r="D21" s="33"/>
      <c r="E21" s="30" t="str">
        <f t="shared" si="0"/>
        <v/>
      </c>
      <c r="F21" s="30" t="str">
        <f t="shared" si="1"/>
        <v/>
      </c>
      <c r="G21" s="31" t="str">
        <f t="shared" si="2"/>
        <v/>
      </c>
      <c r="H21" s="32" t="str">
        <f t="shared" si="3"/>
        <v/>
      </c>
      <c r="I21" s="32" t="str">
        <f t="shared" si="4"/>
        <v/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8" customHeight="1" x14ac:dyDescent="0.3">
      <c r="A22" s="27">
        <v>18</v>
      </c>
      <c r="B22" s="28"/>
      <c r="C22" s="28"/>
      <c r="D22" s="33"/>
      <c r="E22" s="30" t="str">
        <f t="shared" si="0"/>
        <v/>
      </c>
      <c r="F22" s="30" t="str">
        <f t="shared" si="1"/>
        <v/>
      </c>
      <c r="G22" s="31" t="str">
        <f t="shared" si="2"/>
        <v/>
      </c>
      <c r="H22" s="32" t="str">
        <f t="shared" si="3"/>
        <v/>
      </c>
      <c r="I22" s="32" t="str">
        <f t="shared" si="4"/>
        <v/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8" customHeight="1" x14ac:dyDescent="0.3">
      <c r="A23" s="27">
        <v>19</v>
      </c>
      <c r="B23" s="28"/>
      <c r="C23" s="28"/>
      <c r="D23" s="33"/>
      <c r="E23" s="30" t="str">
        <f t="shared" si="0"/>
        <v/>
      </c>
      <c r="F23" s="30" t="str">
        <f t="shared" si="1"/>
        <v/>
      </c>
      <c r="G23" s="31" t="str">
        <f t="shared" si="2"/>
        <v/>
      </c>
      <c r="H23" s="32" t="str">
        <f t="shared" si="3"/>
        <v/>
      </c>
      <c r="I23" s="32" t="str">
        <f t="shared" si="4"/>
        <v/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8" customHeight="1" x14ac:dyDescent="0.3">
      <c r="A24" s="27">
        <v>20</v>
      </c>
      <c r="B24" s="28"/>
      <c r="C24" s="28"/>
      <c r="D24" s="33"/>
      <c r="E24" s="30" t="str">
        <f t="shared" si="0"/>
        <v/>
      </c>
      <c r="F24" s="30" t="str">
        <f t="shared" si="1"/>
        <v/>
      </c>
      <c r="G24" s="31" t="str">
        <f t="shared" si="2"/>
        <v/>
      </c>
      <c r="H24" s="32" t="str">
        <f t="shared" si="3"/>
        <v/>
      </c>
      <c r="I24" s="32" t="str">
        <f t="shared" si="4"/>
        <v/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8" customHeight="1" x14ac:dyDescent="0.3">
      <c r="A25" s="34"/>
      <c r="B25" s="34"/>
      <c r="C25" s="35" t="s">
        <v>124</v>
      </c>
      <c r="D25" s="35">
        <f t="shared" ref="D25:F25" si="5">SUM(D5:D24)</f>
        <v>4</v>
      </c>
      <c r="E25" s="31" t="e">
        <f t="shared" ca="1" si="5"/>
        <v>#NAME?</v>
      </c>
      <c r="F25" s="31" t="e">
        <f t="shared" ca="1" si="5"/>
        <v>#NAME?</v>
      </c>
      <c r="G25" s="31" t="e">
        <f ca="1">ROUND(SUM(G5:G24),2)</f>
        <v>#NAME?</v>
      </c>
      <c r="H25" s="36">
        <f>SUM(H5:H24)</f>
        <v>4609.2</v>
      </c>
      <c r="I25" s="36" t="e">
        <f ca="1">CEILING(SUM(I5:I24),1)</f>
        <v>#NAME?</v>
      </c>
      <c r="J25" s="3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26.25" customHeight="1" x14ac:dyDescent="0.3">
      <c r="A26" s="189" t="s">
        <v>125</v>
      </c>
      <c r="B26" s="182"/>
      <c r="C26" s="182"/>
      <c r="D26" s="182"/>
      <c r="E26" s="182"/>
      <c r="F26" s="182"/>
      <c r="G26" s="183"/>
      <c r="H26" s="7"/>
      <c r="I26" s="7" t="str">
        <f>IF(G26&lt;&gt;"",G26*$H$1,"")</f>
        <v/>
      </c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7.25" customHeight="1" x14ac:dyDescent="0.3">
      <c r="A27" s="181" t="s">
        <v>126</v>
      </c>
      <c r="B27" s="182"/>
      <c r="C27" s="182"/>
      <c r="D27" s="182"/>
      <c r="E27" s="182"/>
      <c r="F27" s="182"/>
      <c r="G27" s="183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31.5" customHeight="1" x14ac:dyDescent="0.3">
      <c r="A28" s="9"/>
      <c r="B28" s="184" t="s">
        <v>127</v>
      </c>
      <c r="C28" s="183"/>
      <c r="D28" s="38"/>
      <c r="E28" s="39"/>
      <c r="F28" s="185" t="s">
        <v>128</v>
      </c>
      <c r="G28" s="183"/>
      <c r="H28" s="186">
        <v>2166</v>
      </c>
      <c r="I28" s="183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24.75" customHeight="1" x14ac:dyDescent="0.3">
      <c r="A29" s="9"/>
      <c r="B29" s="187" t="s">
        <v>129</v>
      </c>
      <c r="C29" s="183"/>
      <c r="D29" s="40"/>
      <c r="E29" s="41"/>
      <c r="F29" s="187" t="s">
        <v>129</v>
      </c>
      <c r="G29" s="183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8" customHeight="1" x14ac:dyDescent="0.3">
      <c r="A30" s="9"/>
      <c r="B30" s="9"/>
      <c r="C30" s="9"/>
      <c r="D30" s="42"/>
      <c r="E30" s="43"/>
      <c r="F30" s="43"/>
      <c r="G30" s="44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8" customHeight="1" x14ac:dyDescent="0.3">
      <c r="A31" s="9"/>
      <c r="B31" s="9"/>
      <c r="C31" s="9"/>
      <c r="D31" s="42"/>
      <c r="E31" s="43"/>
      <c r="F31" s="43"/>
      <c r="G31" s="44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8" customHeight="1" x14ac:dyDescent="0.3">
      <c r="A32" s="9"/>
      <c r="B32" s="9"/>
      <c r="C32" s="9"/>
      <c r="D32" s="42"/>
      <c r="E32" s="43"/>
      <c r="F32" s="43"/>
      <c r="G32" s="44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8" customHeight="1" x14ac:dyDescent="0.3">
      <c r="A33" s="9"/>
      <c r="B33" s="9"/>
      <c r="C33" s="9"/>
      <c r="D33" s="42"/>
      <c r="E33" s="43"/>
      <c r="F33" s="43"/>
      <c r="G33" s="44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8" customHeight="1" x14ac:dyDescent="0.3">
      <c r="A34" s="9"/>
      <c r="B34" s="9"/>
      <c r="C34" s="9"/>
      <c r="D34" s="42"/>
      <c r="E34" s="43"/>
      <c r="F34" s="43"/>
      <c r="G34" s="44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8" customHeight="1" x14ac:dyDescent="0.3">
      <c r="A35" s="9"/>
      <c r="B35" s="9"/>
      <c r="C35" s="9"/>
      <c r="D35" s="42"/>
      <c r="E35" s="43"/>
      <c r="F35" s="43"/>
      <c r="G35" s="44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8" customHeight="1" x14ac:dyDescent="0.3">
      <c r="A36" s="9"/>
      <c r="B36" s="9"/>
      <c r="C36" s="9"/>
      <c r="D36" s="42"/>
      <c r="E36" s="43"/>
      <c r="F36" s="43"/>
      <c r="G36" s="44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8" customHeight="1" x14ac:dyDescent="0.3">
      <c r="A37" s="9"/>
      <c r="B37" s="9"/>
      <c r="C37" s="9"/>
      <c r="D37" s="42"/>
      <c r="E37" s="43"/>
      <c r="F37" s="43"/>
      <c r="G37" s="44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8" customHeight="1" x14ac:dyDescent="0.3">
      <c r="A38" s="9"/>
      <c r="B38" s="9"/>
      <c r="C38" s="9"/>
      <c r="D38" s="42"/>
      <c r="E38" s="43"/>
      <c r="F38" s="43"/>
      <c r="G38" s="44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8" customHeight="1" x14ac:dyDescent="0.3">
      <c r="A39" s="9"/>
      <c r="B39" s="9"/>
      <c r="C39" s="9"/>
      <c r="D39" s="42"/>
      <c r="E39" s="43"/>
      <c r="F39" s="43"/>
      <c r="G39" s="44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8" customHeight="1" x14ac:dyDescent="0.3">
      <c r="A40" s="9"/>
      <c r="B40" s="9"/>
      <c r="C40" s="9"/>
      <c r="D40" s="42"/>
      <c r="E40" s="43"/>
      <c r="F40" s="43"/>
      <c r="G40" s="44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8" customHeight="1" x14ac:dyDescent="0.3">
      <c r="A41" s="9"/>
      <c r="B41" s="9"/>
      <c r="C41" s="9"/>
      <c r="D41" s="42"/>
      <c r="E41" s="43"/>
      <c r="F41" s="43"/>
      <c r="G41" s="44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8" customHeight="1" x14ac:dyDescent="0.3">
      <c r="A42" s="9"/>
      <c r="B42" s="9"/>
      <c r="C42" s="9"/>
      <c r="D42" s="42"/>
      <c r="E42" s="43"/>
      <c r="F42" s="43"/>
      <c r="G42" s="44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8" customHeight="1" x14ac:dyDescent="0.3">
      <c r="A43" s="9"/>
      <c r="B43" s="9"/>
      <c r="C43" s="9"/>
      <c r="D43" s="42"/>
      <c r="E43" s="43"/>
      <c r="F43" s="43"/>
      <c r="G43" s="44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8" customHeight="1" x14ac:dyDescent="0.3">
      <c r="A44" s="9"/>
      <c r="B44" s="9"/>
      <c r="C44" s="9"/>
      <c r="D44" s="42"/>
      <c r="E44" s="43"/>
      <c r="F44" s="43"/>
      <c r="G44" s="44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8" customHeight="1" x14ac:dyDescent="0.3">
      <c r="A45" s="9"/>
      <c r="B45" s="9"/>
      <c r="C45" s="9"/>
      <c r="D45" s="42"/>
      <c r="E45" s="43"/>
      <c r="F45" s="43"/>
      <c r="G45" s="44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8" customHeight="1" x14ac:dyDescent="0.3">
      <c r="A46" s="9"/>
      <c r="B46" s="9"/>
      <c r="C46" s="9"/>
      <c r="D46" s="42"/>
      <c r="E46" s="43"/>
      <c r="F46" s="43"/>
      <c r="G46" s="44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8" customHeight="1" x14ac:dyDescent="0.3">
      <c r="A47" s="9"/>
      <c r="B47" s="9"/>
      <c r="C47" s="9"/>
      <c r="D47" s="42"/>
      <c r="E47" s="43"/>
      <c r="F47" s="43"/>
      <c r="G47" s="44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8" customHeight="1" x14ac:dyDescent="0.3">
      <c r="A48" s="9"/>
      <c r="B48" s="9"/>
      <c r="C48" s="9"/>
      <c r="D48" s="42"/>
      <c r="E48" s="43"/>
      <c r="F48" s="43"/>
      <c r="G48" s="44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8" customHeight="1" x14ac:dyDescent="0.3">
      <c r="A49" s="9"/>
      <c r="B49" s="9"/>
      <c r="C49" s="9"/>
      <c r="D49" s="42"/>
      <c r="E49" s="43"/>
      <c r="F49" s="43"/>
      <c r="G49" s="44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8" customHeight="1" x14ac:dyDescent="0.3">
      <c r="A50" s="9"/>
      <c r="B50" s="9"/>
      <c r="C50" s="9"/>
      <c r="D50" s="42"/>
      <c r="E50" s="43"/>
      <c r="F50" s="43"/>
      <c r="G50" s="44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8" customHeight="1" x14ac:dyDescent="0.3">
      <c r="A51" s="9"/>
      <c r="B51" s="9"/>
      <c r="C51" s="9"/>
      <c r="D51" s="42"/>
      <c r="E51" s="43"/>
      <c r="F51" s="43"/>
      <c r="G51" s="44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8" customHeight="1" x14ac:dyDescent="0.3">
      <c r="A52" s="9"/>
      <c r="B52" s="9"/>
      <c r="C52" s="9"/>
      <c r="D52" s="42"/>
      <c r="E52" s="43"/>
      <c r="F52" s="43"/>
      <c r="G52" s="44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8" customHeight="1" x14ac:dyDescent="0.3">
      <c r="A53" s="9"/>
      <c r="B53" s="9"/>
      <c r="C53" s="9"/>
      <c r="D53" s="42"/>
      <c r="E53" s="43"/>
      <c r="F53" s="43"/>
      <c r="G53" s="44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8" customHeight="1" x14ac:dyDescent="0.3">
      <c r="A54" s="9"/>
      <c r="B54" s="9"/>
      <c r="C54" s="9"/>
      <c r="D54" s="42"/>
      <c r="E54" s="43"/>
      <c r="F54" s="43"/>
      <c r="G54" s="44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8" customHeight="1" x14ac:dyDescent="0.3">
      <c r="A55" s="9"/>
      <c r="B55" s="9"/>
      <c r="C55" s="9"/>
      <c r="D55" s="42"/>
      <c r="E55" s="43"/>
      <c r="F55" s="43"/>
      <c r="G55" s="44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8" customHeight="1" x14ac:dyDescent="0.3">
      <c r="A56" s="9"/>
      <c r="B56" s="9"/>
      <c r="C56" s="9"/>
      <c r="D56" s="42"/>
      <c r="E56" s="43"/>
      <c r="F56" s="43"/>
      <c r="G56" s="44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8" customHeight="1" x14ac:dyDescent="0.3">
      <c r="A57" s="9"/>
      <c r="B57" s="9"/>
      <c r="C57" s="9"/>
      <c r="D57" s="42"/>
      <c r="E57" s="43"/>
      <c r="F57" s="43"/>
      <c r="G57" s="44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8" customHeight="1" x14ac:dyDescent="0.3">
      <c r="A58" s="9"/>
      <c r="B58" s="9"/>
      <c r="C58" s="9"/>
      <c r="D58" s="42"/>
      <c r="E58" s="43"/>
      <c r="F58" s="43"/>
      <c r="G58" s="44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8" customHeight="1" x14ac:dyDescent="0.3">
      <c r="A59" s="9"/>
      <c r="B59" s="9"/>
      <c r="C59" s="9"/>
      <c r="D59" s="42"/>
      <c r="E59" s="43"/>
      <c r="F59" s="43"/>
      <c r="G59" s="44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8" customHeight="1" x14ac:dyDescent="0.3">
      <c r="A60" s="9"/>
      <c r="B60" s="9"/>
      <c r="C60" s="9"/>
      <c r="D60" s="42"/>
      <c r="E60" s="43"/>
      <c r="F60" s="43"/>
      <c r="G60" s="44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8" customHeight="1" x14ac:dyDescent="0.3">
      <c r="A61" s="9"/>
      <c r="B61" s="9"/>
      <c r="C61" s="9"/>
      <c r="D61" s="42"/>
      <c r="E61" s="43"/>
      <c r="F61" s="43"/>
      <c r="G61" s="44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8" customHeight="1" x14ac:dyDescent="0.3">
      <c r="A62" s="9"/>
      <c r="B62" s="9"/>
      <c r="C62" s="9"/>
      <c r="D62" s="42"/>
      <c r="E62" s="43"/>
      <c r="F62" s="43"/>
      <c r="G62" s="44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8" customHeight="1" x14ac:dyDescent="0.3">
      <c r="A63" s="9"/>
      <c r="B63" s="9"/>
      <c r="C63" s="9"/>
      <c r="D63" s="42"/>
      <c r="E63" s="43"/>
      <c r="F63" s="43"/>
      <c r="G63" s="44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8" customHeight="1" x14ac:dyDescent="0.3">
      <c r="A64" s="9"/>
      <c r="B64" s="9"/>
      <c r="C64" s="9"/>
      <c r="D64" s="42"/>
      <c r="E64" s="43"/>
      <c r="F64" s="43"/>
      <c r="G64" s="44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8" customHeight="1" x14ac:dyDescent="0.3">
      <c r="A65" s="9"/>
      <c r="B65" s="9"/>
      <c r="C65" s="9"/>
      <c r="D65" s="42"/>
      <c r="E65" s="43"/>
      <c r="F65" s="43"/>
      <c r="G65" s="44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8" customHeight="1" x14ac:dyDescent="0.3">
      <c r="A66" s="9"/>
      <c r="B66" s="9"/>
      <c r="C66" s="9"/>
      <c r="D66" s="42"/>
      <c r="E66" s="43"/>
      <c r="F66" s="43"/>
      <c r="G66" s="44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8" customHeight="1" x14ac:dyDescent="0.3">
      <c r="A67" s="9"/>
      <c r="B67" s="9"/>
      <c r="C67" s="9"/>
      <c r="D67" s="42"/>
      <c r="E67" s="43"/>
      <c r="F67" s="43"/>
      <c r="G67" s="44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8" customHeight="1" x14ac:dyDescent="0.3">
      <c r="A68" s="9"/>
      <c r="B68" s="9"/>
      <c r="C68" s="9"/>
      <c r="D68" s="42"/>
      <c r="E68" s="43"/>
      <c r="F68" s="43"/>
      <c r="G68" s="44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8" customHeight="1" x14ac:dyDescent="0.3">
      <c r="A69" s="9"/>
      <c r="B69" s="9"/>
      <c r="C69" s="9"/>
      <c r="D69" s="42"/>
      <c r="E69" s="43"/>
      <c r="F69" s="43"/>
      <c r="G69" s="44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8" customHeight="1" x14ac:dyDescent="0.3">
      <c r="A70" s="9"/>
      <c r="B70" s="9"/>
      <c r="C70" s="9"/>
      <c r="D70" s="42"/>
      <c r="E70" s="43"/>
      <c r="F70" s="43"/>
      <c r="G70" s="44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8" customHeight="1" x14ac:dyDescent="0.3">
      <c r="A71" s="9"/>
      <c r="B71" s="9"/>
      <c r="C71" s="9"/>
      <c r="D71" s="42"/>
      <c r="E71" s="43"/>
      <c r="F71" s="43"/>
      <c r="G71" s="44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8" customHeight="1" x14ac:dyDescent="0.3">
      <c r="A72" s="9"/>
      <c r="B72" s="9"/>
      <c r="C72" s="9"/>
      <c r="D72" s="42"/>
      <c r="E72" s="43"/>
      <c r="F72" s="43"/>
      <c r="G72" s="44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8" customHeight="1" x14ac:dyDescent="0.3">
      <c r="A73" s="9"/>
      <c r="B73" s="9"/>
      <c r="C73" s="9"/>
      <c r="D73" s="42"/>
      <c r="E73" s="43"/>
      <c r="F73" s="43"/>
      <c r="G73" s="44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8" customHeight="1" x14ac:dyDescent="0.3">
      <c r="A74" s="9"/>
      <c r="B74" s="9"/>
      <c r="C74" s="9"/>
      <c r="D74" s="42"/>
      <c r="E74" s="43"/>
      <c r="F74" s="43"/>
      <c r="G74" s="44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8" customHeight="1" x14ac:dyDescent="0.3">
      <c r="A75" s="9"/>
      <c r="B75" s="9"/>
      <c r="C75" s="9"/>
      <c r="D75" s="42"/>
      <c r="E75" s="43"/>
      <c r="F75" s="43"/>
      <c r="G75" s="44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8" customHeight="1" x14ac:dyDescent="0.3">
      <c r="A76" s="9"/>
      <c r="B76" s="9"/>
      <c r="C76" s="9"/>
      <c r="D76" s="42"/>
      <c r="E76" s="43"/>
      <c r="F76" s="43"/>
      <c r="G76" s="44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8" customHeight="1" x14ac:dyDescent="0.3">
      <c r="A77" s="9"/>
      <c r="B77" s="9"/>
      <c r="C77" s="9"/>
      <c r="D77" s="42"/>
      <c r="E77" s="43"/>
      <c r="F77" s="43"/>
      <c r="G77" s="44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8" customHeight="1" x14ac:dyDescent="0.3">
      <c r="A78" s="9"/>
      <c r="B78" s="9"/>
      <c r="C78" s="9"/>
      <c r="D78" s="42"/>
      <c r="E78" s="43"/>
      <c r="F78" s="43"/>
      <c r="G78" s="44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8" customHeight="1" x14ac:dyDescent="0.3">
      <c r="A79" s="9"/>
      <c r="B79" s="9"/>
      <c r="C79" s="9"/>
      <c r="D79" s="42"/>
      <c r="E79" s="43"/>
      <c r="F79" s="43"/>
      <c r="G79" s="44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8" customHeight="1" x14ac:dyDescent="0.3">
      <c r="A80" s="9"/>
      <c r="B80" s="9"/>
      <c r="C80" s="9"/>
      <c r="D80" s="42"/>
      <c r="E80" s="43"/>
      <c r="F80" s="43"/>
      <c r="G80" s="44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8" customHeight="1" x14ac:dyDescent="0.3">
      <c r="A81" s="9"/>
      <c r="B81" s="9"/>
      <c r="C81" s="9"/>
      <c r="D81" s="42"/>
      <c r="E81" s="43"/>
      <c r="F81" s="43"/>
      <c r="G81" s="44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8" customHeight="1" x14ac:dyDescent="0.3">
      <c r="A82" s="9"/>
      <c r="B82" s="9"/>
      <c r="C82" s="9"/>
      <c r="D82" s="42"/>
      <c r="E82" s="43"/>
      <c r="F82" s="43"/>
      <c r="G82" s="44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8" customHeight="1" x14ac:dyDescent="0.3">
      <c r="A83" s="9"/>
      <c r="B83" s="9"/>
      <c r="C83" s="9"/>
      <c r="D83" s="42"/>
      <c r="E83" s="43"/>
      <c r="F83" s="43"/>
      <c r="G83" s="44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8" customHeight="1" x14ac:dyDescent="0.3">
      <c r="A84" s="9"/>
      <c r="B84" s="9"/>
      <c r="C84" s="9"/>
      <c r="D84" s="42"/>
      <c r="E84" s="43"/>
      <c r="F84" s="43"/>
      <c r="G84" s="44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8" customHeight="1" x14ac:dyDescent="0.3">
      <c r="A85" s="9"/>
      <c r="B85" s="9"/>
      <c r="C85" s="9"/>
      <c r="D85" s="42"/>
      <c r="E85" s="43"/>
      <c r="F85" s="43"/>
      <c r="G85" s="44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8" customHeight="1" x14ac:dyDescent="0.3">
      <c r="A86" s="9"/>
      <c r="B86" s="9"/>
      <c r="C86" s="9"/>
      <c r="D86" s="42"/>
      <c r="E86" s="43"/>
      <c r="F86" s="43"/>
      <c r="G86" s="44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8" customHeight="1" x14ac:dyDescent="0.3">
      <c r="A87" s="9"/>
      <c r="B87" s="9"/>
      <c r="C87" s="9"/>
      <c r="D87" s="42"/>
      <c r="E87" s="43"/>
      <c r="F87" s="43"/>
      <c r="G87" s="44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8" customHeight="1" x14ac:dyDescent="0.3">
      <c r="A88" s="9"/>
      <c r="B88" s="9"/>
      <c r="C88" s="9"/>
      <c r="D88" s="42"/>
      <c r="E88" s="43"/>
      <c r="F88" s="43"/>
      <c r="G88" s="44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8" customHeight="1" x14ac:dyDescent="0.3">
      <c r="A89" s="9"/>
      <c r="B89" s="9"/>
      <c r="C89" s="9"/>
      <c r="D89" s="42"/>
      <c r="E89" s="43"/>
      <c r="F89" s="43"/>
      <c r="G89" s="44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8" customHeight="1" x14ac:dyDescent="0.3">
      <c r="A90" s="9"/>
      <c r="B90" s="9"/>
      <c r="C90" s="9"/>
      <c r="D90" s="42"/>
      <c r="E90" s="43"/>
      <c r="F90" s="43"/>
      <c r="G90" s="44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8" customHeight="1" x14ac:dyDescent="0.3">
      <c r="A91" s="9"/>
      <c r="B91" s="9"/>
      <c r="C91" s="9"/>
      <c r="D91" s="42"/>
      <c r="E91" s="43"/>
      <c r="F91" s="43"/>
      <c r="G91" s="44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8" customHeight="1" x14ac:dyDescent="0.3">
      <c r="A92" s="9"/>
      <c r="B92" s="9"/>
      <c r="C92" s="9"/>
      <c r="D92" s="42"/>
      <c r="E92" s="43"/>
      <c r="F92" s="43"/>
      <c r="G92" s="44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8" customHeight="1" x14ac:dyDescent="0.3">
      <c r="A93" s="9"/>
      <c r="B93" s="9"/>
      <c r="C93" s="9"/>
      <c r="D93" s="42"/>
      <c r="E93" s="43"/>
      <c r="F93" s="43"/>
      <c r="G93" s="44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8" customHeight="1" x14ac:dyDescent="0.3">
      <c r="A94" s="9"/>
      <c r="B94" s="9"/>
      <c r="C94" s="9"/>
      <c r="D94" s="42"/>
      <c r="E94" s="43"/>
      <c r="F94" s="43"/>
      <c r="G94" s="44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8" customHeight="1" x14ac:dyDescent="0.3">
      <c r="A95" s="9"/>
      <c r="B95" s="9"/>
      <c r="C95" s="9"/>
      <c r="D95" s="42"/>
      <c r="E95" s="43"/>
      <c r="F95" s="43"/>
      <c r="G95" s="44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8" customHeight="1" x14ac:dyDescent="0.3">
      <c r="A96" s="9"/>
      <c r="B96" s="9"/>
      <c r="C96" s="9"/>
      <c r="D96" s="42"/>
      <c r="E96" s="43"/>
      <c r="F96" s="43"/>
      <c r="G96" s="44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8" customHeight="1" x14ac:dyDescent="0.3">
      <c r="A97" s="9"/>
      <c r="B97" s="9"/>
      <c r="C97" s="9"/>
      <c r="D97" s="42"/>
      <c r="E97" s="43"/>
      <c r="F97" s="43"/>
      <c r="G97" s="44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8" customHeight="1" x14ac:dyDescent="0.3">
      <c r="A98" s="9"/>
      <c r="B98" s="9"/>
      <c r="C98" s="9"/>
      <c r="D98" s="42"/>
      <c r="E98" s="43"/>
      <c r="F98" s="43"/>
      <c r="G98" s="44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8" customHeight="1" x14ac:dyDescent="0.3">
      <c r="A99" s="9"/>
      <c r="B99" s="9"/>
      <c r="C99" s="9"/>
      <c r="D99" s="42"/>
      <c r="E99" s="43"/>
      <c r="F99" s="43"/>
      <c r="G99" s="44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8" customHeight="1" x14ac:dyDescent="0.3">
      <c r="A100" s="9"/>
      <c r="B100" s="9"/>
      <c r="C100" s="9"/>
      <c r="D100" s="42"/>
      <c r="E100" s="43"/>
      <c r="F100" s="43"/>
      <c r="G100" s="44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8" customHeight="1" x14ac:dyDescent="0.3">
      <c r="A101" s="9"/>
      <c r="B101" s="9"/>
      <c r="C101" s="9"/>
      <c r="D101" s="42"/>
      <c r="E101" s="43"/>
      <c r="F101" s="43"/>
      <c r="G101" s="44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8" customHeight="1" x14ac:dyDescent="0.3">
      <c r="A102" s="9"/>
      <c r="B102" s="9"/>
      <c r="C102" s="9"/>
      <c r="D102" s="42"/>
      <c r="E102" s="43"/>
      <c r="F102" s="43"/>
      <c r="G102" s="44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8" customHeight="1" x14ac:dyDescent="0.3">
      <c r="A103" s="9"/>
      <c r="B103" s="9"/>
      <c r="C103" s="9"/>
      <c r="D103" s="42"/>
      <c r="E103" s="43"/>
      <c r="F103" s="43"/>
      <c r="G103" s="44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8" customHeight="1" x14ac:dyDescent="0.3">
      <c r="A104" s="9"/>
      <c r="B104" s="9"/>
      <c r="C104" s="9"/>
      <c r="D104" s="42"/>
      <c r="E104" s="43"/>
      <c r="F104" s="43"/>
      <c r="G104" s="44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8" customHeight="1" x14ac:dyDescent="0.3">
      <c r="A105" s="9"/>
      <c r="B105" s="9"/>
      <c r="C105" s="9"/>
      <c r="D105" s="42"/>
      <c r="E105" s="43"/>
      <c r="F105" s="43"/>
      <c r="G105" s="44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8" customHeight="1" x14ac:dyDescent="0.3">
      <c r="A106" s="9"/>
      <c r="B106" s="9"/>
      <c r="C106" s="9"/>
      <c r="D106" s="42"/>
      <c r="E106" s="43"/>
      <c r="F106" s="43"/>
      <c r="G106" s="44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8" customHeight="1" x14ac:dyDescent="0.3">
      <c r="A107" s="9"/>
      <c r="B107" s="9"/>
      <c r="C107" s="9"/>
      <c r="D107" s="42"/>
      <c r="E107" s="43"/>
      <c r="F107" s="43"/>
      <c r="G107" s="44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8" customHeight="1" x14ac:dyDescent="0.3">
      <c r="A108" s="9"/>
      <c r="B108" s="9"/>
      <c r="C108" s="9"/>
      <c r="D108" s="42"/>
      <c r="E108" s="43"/>
      <c r="F108" s="43"/>
      <c r="G108" s="44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8" customHeight="1" x14ac:dyDescent="0.3">
      <c r="A109" s="9"/>
      <c r="B109" s="9"/>
      <c r="C109" s="9"/>
      <c r="D109" s="42"/>
      <c r="E109" s="43"/>
      <c r="F109" s="43"/>
      <c r="G109" s="44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8" customHeight="1" x14ac:dyDescent="0.3">
      <c r="A110" s="9"/>
      <c r="B110" s="9"/>
      <c r="C110" s="9"/>
      <c r="D110" s="42"/>
      <c r="E110" s="43"/>
      <c r="F110" s="43"/>
      <c r="G110" s="44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8" customHeight="1" x14ac:dyDescent="0.3">
      <c r="A111" s="9"/>
      <c r="B111" s="9"/>
      <c r="C111" s="9"/>
      <c r="D111" s="42"/>
      <c r="E111" s="43"/>
      <c r="F111" s="43"/>
      <c r="G111" s="44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8" customHeight="1" x14ac:dyDescent="0.3">
      <c r="A112" s="9"/>
      <c r="B112" s="9"/>
      <c r="C112" s="9"/>
      <c r="D112" s="42"/>
      <c r="E112" s="43"/>
      <c r="F112" s="43"/>
      <c r="G112" s="44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8" customHeight="1" x14ac:dyDescent="0.3">
      <c r="A113" s="9"/>
      <c r="B113" s="9"/>
      <c r="C113" s="9"/>
      <c r="D113" s="42"/>
      <c r="E113" s="43"/>
      <c r="F113" s="43"/>
      <c r="G113" s="44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8" customHeight="1" x14ac:dyDescent="0.3">
      <c r="A114" s="9"/>
      <c r="B114" s="9"/>
      <c r="C114" s="9"/>
      <c r="D114" s="42"/>
      <c r="E114" s="43"/>
      <c r="F114" s="43"/>
      <c r="G114" s="44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8" customHeight="1" x14ac:dyDescent="0.3">
      <c r="A115" s="9"/>
      <c r="B115" s="9"/>
      <c r="C115" s="9"/>
      <c r="D115" s="42"/>
      <c r="E115" s="43"/>
      <c r="F115" s="43"/>
      <c r="G115" s="44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8" customHeight="1" x14ac:dyDescent="0.3">
      <c r="A116" s="9"/>
      <c r="B116" s="9"/>
      <c r="C116" s="9"/>
      <c r="D116" s="42"/>
      <c r="E116" s="43"/>
      <c r="F116" s="43"/>
      <c r="G116" s="44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8" customHeight="1" x14ac:dyDescent="0.3">
      <c r="A117" s="9"/>
      <c r="B117" s="9"/>
      <c r="C117" s="9"/>
      <c r="D117" s="42"/>
      <c r="E117" s="43"/>
      <c r="F117" s="43"/>
      <c r="G117" s="44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8" customHeight="1" x14ac:dyDescent="0.3">
      <c r="A118" s="9"/>
      <c r="B118" s="9"/>
      <c r="C118" s="9"/>
      <c r="D118" s="42"/>
      <c r="E118" s="43"/>
      <c r="F118" s="43"/>
      <c r="G118" s="44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8" customHeight="1" x14ac:dyDescent="0.3">
      <c r="A119" s="9"/>
      <c r="B119" s="9"/>
      <c r="C119" s="9"/>
      <c r="D119" s="42"/>
      <c r="E119" s="43"/>
      <c r="F119" s="43"/>
      <c r="G119" s="44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8" customHeight="1" x14ac:dyDescent="0.3">
      <c r="A120" s="9"/>
      <c r="B120" s="9"/>
      <c r="C120" s="9"/>
      <c r="D120" s="42"/>
      <c r="E120" s="43"/>
      <c r="F120" s="43"/>
      <c r="G120" s="44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8" customHeight="1" x14ac:dyDescent="0.3">
      <c r="A121" s="9"/>
      <c r="B121" s="9"/>
      <c r="C121" s="9"/>
      <c r="D121" s="42"/>
      <c r="E121" s="43"/>
      <c r="F121" s="43"/>
      <c r="G121" s="44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8" customHeight="1" x14ac:dyDescent="0.3">
      <c r="A122" s="9"/>
      <c r="B122" s="9"/>
      <c r="C122" s="9"/>
      <c r="D122" s="42"/>
      <c r="E122" s="43"/>
      <c r="F122" s="43"/>
      <c r="G122" s="44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8" customHeight="1" x14ac:dyDescent="0.3">
      <c r="A123" s="9"/>
      <c r="B123" s="9"/>
      <c r="C123" s="9"/>
      <c r="D123" s="42"/>
      <c r="E123" s="43"/>
      <c r="F123" s="43"/>
      <c r="G123" s="44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8" customHeight="1" x14ac:dyDescent="0.3">
      <c r="A124" s="9"/>
      <c r="B124" s="9"/>
      <c r="C124" s="9"/>
      <c r="D124" s="42"/>
      <c r="E124" s="43"/>
      <c r="F124" s="43"/>
      <c r="G124" s="44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8" customHeight="1" x14ac:dyDescent="0.3">
      <c r="A125" s="9"/>
      <c r="B125" s="9"/>
      <c r="C125" s="9"/>
      <c r="D125" s="42"/>
      <c r="E125" s="43"/>
      <c r="F125" s="43"/>
      <c r="G125" s="44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8" customHeight="1" x14ac:dyDescent="0.3">
      <c r="A126" s="9"/>
      <c r="B126" s="9"/>
      <c r="C126" s="9"/>
      <c r="D126" s="42"/>
      <c r="E126" s="43"/>
      <c r="F126" s="43"/>
      <c r="G126" s="44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8" customHeight="1" x14ac:dyDescent="0.3">
      <c r="A127" s="9"/>
      <c r="B127" s="9"/>
      <c r="C127" s="9"/>
      <c r="D127" s="42"/>
      <c r="E127" s="43"/>
      <c r="F127" s="43"/>
      <c r="G127" s="44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8" customHeight="1" x14ac:dyDescent="0.3">
      <c r="A128" s="9"/>
      <c r="B128" s="9"/>
      <c r="C128" s="9"/>
      <c r="D128" s="42"/>
      <c r="E128" s="43"/>
      <c r="F128" s="43"/>
      <c r="G128" s="44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8" customHeight="1" x14ac:dyDescent="0.3">
      <c r="A129" s="9"/>
      <c r="B129" s="9"/>
      <c r="C129" s="9"/>
      <c r="D129" s="42"/>
      <c r="E129" s="43"/>
      <c r="F129" s="43"/>
      <c r="G129" s="44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8" customHeight="1" x14ac:dyDescent="0.3">
      <c r="A130" s="9"/>
      <c r="B130" s="9"/>
      <c r="C130" s="9"/>
      <c r="D130" s="42"/>
      <c r="E130" s="43"/>
      <c r="F130" s="43"/>
      <c r="G130" s="44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8" customHeight="1" x14ac:dyDescent="0.3">
      <c r="A131" s="9"/>
      <c r="B131" s="9"/>
      <c r="C131" s="9"/>
      <c r="D131" s="42"/>
      <c r="E131" s="43"/>
      <c r="F131" s="43"/>
      <c r="G131" s="44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8" customHeight="1" x14ac:dyDescent="0.3">
      <c r="A132" s="9"/>
      <c r="B132" s="9"/>
      <c r="C132" s="9"/>
      <c r="D132" s="42"/>
      <c r="E132" s="43"/>
      <c r="F132" s="43"/>
      <c r="G132" s="44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8" customHeight="1" x14ac:dyDescent="0.3">
      <c r="A133" s="9"/>
      <c r="B133" s="9"/>
      <c r="C133" s="9"/>
      <c r="D133" s="42"/>
      <c r="E133" s="43"/>
      <c r="F133" s="43"/>
      <c r="G133" s="44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8" customHeight="1" x14ac:dyDescent="0.3">
      <c r="A134" s="9"/>
      <c r="B134" s="9"/>
      <c r="C134" s="9"/>
      <c r="D134" s="42"/>
      <c r="E134" s="43"/>
      <c r="F134" s="43"/>
      <c r="G134" s="44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8" customHeight="1" x14ac:dyDescent="0.3">
      <c r="A135" s="9"/>
      <c r="B135" s="9"/>
      <c r="C135" s="9"/>
      <c r="D135" s="42"/>
      <c r="E135" s="43"/>
      <c r="F135" s="43"/>
      <c r="G135" s="44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8" customHeight="1" x14ac:dyDescent="0.3">
      <c r="A136" s="9"/>
      <c r="B136" s="9"/>
      <c r="C136" s="9"/>
      <c r="D136" s="42"/>
      <c r="E136" s="43"/>
      <c r="F136" s="43"/>
      <c r="G136" s="44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8" customHeight="1" x14ac:dyDescent="0.3">
      <c r="A137" s="9"/>
      <c r="B137" s="9"/>
      <c r="C137" s="9"/>
      <c r="D137" s="42"/>
      <c r="E137" s="43"/>
      <c r="F137" s="43"/>
      <c r="G137" s="44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8" customHeight="1" x14ac:dyDescent="0.3">
      <c r="A138" s="9"/>
      <c r="B138" s="9"/>
      <c r="C138" s="9"/>
      <c r="D138" s="42"/>
      <c r="E138" s="43"/>
      <c r="F138" s="43"/>
      <c r="G138" s="44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8" customHeight="1" x14ac:dyDescent="0.3">
      <c r="A139" s="9"/>
      <c r="B139" s="9"/>
      <c r="C139" s="9"/>
      <c r="D139" s="42"/>
      <c r="E139" s="43"/>
      <c r="F139" s="43"/>
      <c r="G139" s="44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8" customHeight="1" x14ac:dyDescent="0.3">
      <c r="A140" s="9"/>
      <c r="B140" s="9"/>
      <c r="C140" s="9"/>
      <c r="D140" s="42"/>
      <c r="E140" s="43"/>
      <c r="F140" s="43"/>
      <c r="G140" s="44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8" customHeight="1" x14ac:dyDescent="0.3">
      <c r="A141" s="9"/>
      <c r="B141" s="9"/>
      <c r="C141" s="9"/>
      <c r="D141" s="42"/>
      <c r="E141" s="43"/>
      <c r="F141" s="43"/>
      <c r="G141" s="44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8" customHeight="1" x14ac:dyDescent="0.3">
      <c r="A142" s="9"/>
      <c r="B142" s="9"/>
      <c r="C142" s="9"/>
      <c r="D142" s="42"/>
      <c r="E142" s="43"/>
      <c r="F142" s="43"/>
      <c r="G142" s="44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8" customHeight="1" x14ac:dyDescent="0.3">
      <c r="A143" s="9"/>
      <c r="B143" s="9"/>
      <c r="C143" s="9"/>
      <c r="D143" s="42"/>
      <c r="E143" s="43"/>
      <c r="F143" s="43"/>
      <c r="G143" s="44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8" customHeight="1" x14ac:dyDescent="0.3">
      <c r="A144" s="9"/>
      <c r="B144" s="9"/>
      <c r="C144" s="9"/>
      <c r="D144" s="42"/>
      <c r="E144" s="43"/>
      <c r="F144" s="43"/>
      <c r="G144" s="44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8" customHeight="1" x14ac:dyDescent="0.3">
      <c r="A145" s="9"/>
      <c r="B145" s="9"/>
      <c r="C145" s="9"/>
      <c r="D145" s="42"/>
      <c r="E145" s="43"/>
      <c r="F145" s="43"/>
      <c r="G145" s="44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8" customHeight="1" x14ac:dyDescent="0.3">
      <c r="A146" s="9"/>
      <c r="B146" s="9"/>
      <c r="C146" s="9"/>
      <c r="D146" s="42"/>
      <c r="E146" s="43"/>
      <c r="F146" s="43"/>
      <c r="G146" s="44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8" customHeight="1" x14ac:dyDescent="0.3">
      <c r="A147" s="9"/>
      <c r="B147" s="9"/>
      <c r="C147" s="9"/>
      <c r="D147" s="42"/>
      <c r="E147" s="43"/>
      <c r="F147" s="43"/>
      <c r="G147" s="44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8" customHeight="1" x14ac:dyDescent="0.3">
      <c r="A148" s="9"/>
      <c r="B148" s="9"/>
      <c r="C148" s="9"/>
      <c r="D148" s="42"/>
      <c r="E148" s="43"/>
      <c r="F148" s="43"/>
      <c r="G148" s="44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8" customHeight="1" x14ac:dyDescent="0.3">
      <c r="A149" s="9"/>
      <c r="B149" s="9"/>
      <c r="C149" s="9"/>
      <c r="D149" s="42"/>
      <c r="E149" s="43"/>
      <c r="F149" s="43"/>
      <c r="G149" s="44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8" customHeight="1" x14ac:dyDescent="0.3">
      <c r="A150" s="9"/>
      <c r="B150" s="9"/>
      <c r="C150" s="9"/>
      <c r="D150" s="42"/>
      <c r="E150" s="43"/>
      <c r="F150" s="43"/>
      <c r="G150" s="44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8" customHeight="1" x14ac:dyDescent="0.3">
      <c r="A151" s="9"/>
      <c r="B151" s="9"/>
      <c r="C151" s="9"/>
      <c r="D151" s="42"/>
      <c r="E151" s="43"/>
      <c r="F151" s="43"/>
      <c r="G151" s="44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8" customHeight="1" x14ac:dyDescent="0.3">
      <c r="A152" s="9"/>
      <c r="B152" s="9"/>
      <c r="C152" s="9"/>
      <c r="D152" s="42"/>
      <c r="E152" s="43"/>
      <c r="F152" s="43"/>
      <c r="G152" s="44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8" customHeight="1" x14ac:dyDescent="0.3">
      <c r="A153" s="9"/>
      <c r="B153" s="9"/>
      <c r="C153" s="9"/>
      <c r="D153" s="42"/>
      <c r="E153" s="43"/>
      <c r="F153" s="43"/>
      <c r="G153" s="44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8" customHeight="1" x14ac:dyDescent="0.3">
      <c r="A154" s="9"/>
      <c r="B154" s="9"/>
      <c r="C154" s="9"/>
      <c r="D154" s="42"/>
      <c r="E154" s="43"/>
      <c r="F154" s="43"/>
      <c r="G154" s="44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8" customHeight="1" x14ac:dyDescent="0.3">
      <c r="A155" s="9"/>
      <c r="B155" s="9"/>
      <c r="C155" s="9"/>
      <c r="D155" s="42"/>
      <c r="E155" s="43"/>
      <c r="F155" s="43"/>
      <c r="G155" s="44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8" customHeight="1" x14ac:dyDescent="0.3">
      <c r="A156" s="9"/>
      <c r="B156" s="9"/>
      <c r="C156" s="9"/>
      <c r="D156" s="42"/>
      <c r="E156" s="43"/>
      <c r="F156" s="43"/>
      <c r="G156" s="44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8" customHeight="1" x14ac:dyDescent="0.3">
      <c r="A157" s="9"/>
      <c r="B157" s="9"/>
      <c r="C157" s="9"/>
      <c r="D157" s="42"/>
      <c r="E157" s="43"/>
      <c r="F157" s="43"/>
      <c r="G157" s="44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8" customHeight="1" x14ac:dyDescent="0.3">
      <c r="A158" s="9"/>
      <c r="B158" s="9"/>
      <c r="C158" s="9"/>
      <c r="D158" s="42"/>
      <c r="E158" s="43"/>
      <c r="F158" s="43"/>
      <c r="G158" s="44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8" customHeight="1" x14ac:dyDescent="0.3">
      <c r="A159" s="9"/>
      <c r="B159" s="9"/>
      <c r="C159" s="9"/>
      <c r="D159" s="42"/>
      <c r="E159" s="43"/>
      <c r="F159" s="43"/>
      <c r="G159" s="44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8" customHeight="1" x14ac:dyDescent="0.3">
      <c r="A160" s="9"/>
      <c r="B160" s="9"/>
      <c r="C160" s="9"/>
      <c r="D160" s="42"/>
      <c r="E160" s="43"/>
      <c r="F160" s="43"/>
      <c r="G160" s="44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8" customHeight="1" x14ac:dyDescent="0.3">
      <c r="A161" s="9"/>
      <c r="B161" s="9"/>
      <c r="C161" s="9"/>
      <c r="D161" s="42"/>
      <c r="E161" s="43"/>
      <c r="F161" s="43"/>
      <c r="G161" s="44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8" customHeight="1" x14ac:dyDescent="0.3">
      <c r="A162" s="9"/>
      <c r="B162" s="9"/>
      <c r="C162" s="9"/>
      <c r="D162" s="42"/>
      <c r="E162" s="43"/>
      <c r="F162" s="43"/>
      <c r="G162" s="44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8" customHeight="1" x14ac:dyDescent="0.3">
      <c r="A163" s="9"/>
      <c r="B163" s="9"/>
      <c r="C163" s="9"/>
      <c r="D163" s="42"/>
      <c r="E163" s="43"/>
      <c r="F163" s="43"/>
      <c r="G163" s="44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8" customHeight="1" x14ac:dyDescent="0.3">
      <c r="A164" s="9"/>
      <c r="B164" s="9"/>
      <c r="C164" s="9"/>
      <c r="D164" s="42"/>
      <c r="E164" s="43"/>
      <c r="F164" s="43"/>
      <c r="G164" s="44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8" customHeight="1" x14ac:dyDescent="0.3">
      <c r="A165" s="9"/>
      <c r="B165" s="9"/>
      <c r="C165" s="9"/>
      <c r="D165" s="42"/>
      <c r="E165" s="43"/>
      <c r="F165" s="43"/>
      <c r="G165" s="44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8" customHeight="1" x14ac:dyDescent="0.3">
      <c r="A166" s="9"/>
      <c r="B166" s="9"/>
      <c r="C166" s="9"/>
      <c r="D166" s="42"/>
      <c r="E166" s="43"/>
      <c r="F166" s="43"/>
      <c r="G166" s="44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8" customHeight="1" x14ac:dyDescent="0.3">
      <c r="A167" s="9"/>
      <c r="B167" s="9"/>
      <c r="C167" s="9"/>
      <c r="D167" s="42"/>
      <c r="E167" s="43"/>
      <c r="F167" s="43"/>
      <c r="G167" s="44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8" customHeight="1" x14ac:dyDescent="0.3">
      <c r="A168" s="9"/>
      <c r="B168" s="9"/>
      <c r="C168" s="9"/>
      <c r="D168" s="42"/>
      <c r="E168" s="43"/>
      <c r="F168" s="43"/>
      <c r="G168" s="44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8" customHeight="1" x14ac:dyDescent="0.3">
      <c r="A169" s="9"/>
      <c r="B169" s="9"/>
      <c r="C169" s="9"/>
      <c r="D169" s="42"/>
      <c r="E169" s="43"/>
      <c r="F169" s="43"/>
      <c r="G169" s="44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8" customHeight="1" x14ac:dyDescent="0.3">
      <c r="A170" s="9"/>
      <c r="B170" s="9"/>
      <c r="C170" s="9"/>
      <c r="D170" s="42"/>
      <c r="E170" s="43"/>
      <c r="F170" s="43"/>
      <c r="G170" s="44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8" customHeight="1" x14ac:dyDescent="0.3">
      <c r="A171" s="9"/>
      <c r="B171" s="9"/>
      <c r="C171" s="9"/>
      <c r="D171" s="42"/>
      <c r="E171" s="43"/>
      <c r="F171" s="43"/>
      <c r="G171" s="44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8" customHeight="1" x14ac:dyDescent="0.3">
      <c r="A172" s="9"/>
      <c r="B172" s="9"/>
      <c r="C172" s="9"/>
      <c r="D172" s="42"/>
      <c r="E172" s="43"/>
      <c r="F172" s="43"/>
      <c r="G172" s="44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8" customHeight="1" x14ac:dyDescent="0.3">
      <c r="A173" s="9"/>
      <c r="B173" s="9"/>
      <c r="C173" s="9"/>
      <c r="D173" s="42"/>
      <c r="E173" s="43"/>
      <c r="F173" s="43"/>
      <c r="G173" s="44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8" customHeight="1" x14ac:dyDescent="0.3">
      <c r="A174" s="9"/>
      <c r="B174" s="9"/>
      <c r="C174" s="9"/>
      <c r="D174" s="42"/>
      <c r="E174" s="43"/>
      <c r="F174" s="43"/>
      <c r="G174" s="44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8" customHeight="1" x14ac:dyDescent="0.3">
      <c r="A175" s="9"/>
      <c r="B175" s="9"/>
      <c r="C175" s="9"/>
      <c r="D175" s="42"/>
      <c r="E175" s="43"/>
      <c r="F175" s="43"/>
      <c r="G175" s="44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8" customHeight="1" x14ac:dyDescent="0.3">
      <c r="A176" s="9"/>
      <c r="B176" s="9"/>
      <c r="C176" s="9"/>
      <c r="D176" s="42"/>
      <c r="E176" s="43"/>
      <c r="F176" s="43"/>
      <c r="G176" s="44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8" customHeight="1" x14ac:dyDescent="0.3">
      <c r="A177" s="9"/>
      <c r="B177" s="9"/>
      <c r="C177" s="9"/>
      <c r="D177" s="42"/>
      <c r="E177" s="43"/>
      <c r="F177" s="43"/>
      <c r="G177" s="44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8" customHeight="1" x14ac:dyDescent="0.3">
      <c r="A178" s="9"/>
      <c r="B178" s="9"/>
      <c r="C178" s="9"/>
      <c r="D178" s="42"/>
      <c r="E178" s="43"/>
      <c r="F178" s="43"/>
      <c r="G178" s="44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8" customHeight="1" x14ac:dyDescent="0.3">
      <c r="A179" s="9"/>
      <c r="B179" s="9"/>
      <c r="C179" s="9"/>
      <c r="D179" s="42"/>
      <c r="E179" s="43"/>
      <c r="F179" s="43"/>
      <c r="G179" s="44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8" customHeight="1" x14ac:dyDescent="0.3">
      <c r="A180" s="9"/>
      <c r="B180" s="9"/>
      <c r="C180" s="9"/>
      <c r="D180" s="42"/>
      <c r="E180" s="43"/>
      <c r="F180" s="43"/>
      <c r="G180" s="44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8" customHeight="1" x14ac:dyDescent="0.3">
      <c r="A181" s="9"/>
      <c r="B181" s="9"/>
      <c r="C181" s="9"/>
      <c r="D181" s="42"/>
      <c r="E181" s="43"/>
      <c r="F181" s="43"/>
      <c r="G181" s="44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8" customHeight="1" x14ac:dyDescent="0.3">
      <c r="A182" s="9"/>
      <c r="B182" s="9"/>
      <c r="C182" s="9"/>
      <c r="D182" s="42"/>
      <c r="E182" s="43"/>
      <c r="F182" s="43"/>
      <c r="G182" s="44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8" customHeight="1" x14ac:dyDescent="0.3">
      <c r="A183" s="9"/>
      <c r="B183" s="9"/>
      <c r="C183" s="9"/>
      <c r="D183" s="42"/>
      <c r="E183" s="43"/>
      <c r="F183" s="43"/>
      <c r="G183" s="44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8" customHeight="1" x14ac:dyDescent="0.3">
      <c r="A184" s="9"/>
      <c r="B184" s="9"/>
      <c r="C184" s="9"/>
      <c r="D184" s="42"/>
      <c r="E184" s="43"/>
      <c r="F184" s="43"/>
      <c r="G184" s="44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8" customHeight="1" x14ac:dyDescent="0.3">
      <c r="A185" s="9"/>
      <c r="B185" s="9"/>
      <c r="C185" s="9"/>
      <c r="D185" s="42"/>
      <c r="E185" s="43"/>
      <c r="F185" s="43"/>
      <c r="G185" s="44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8" customHeight="1" x14ac:dyDescent="0.3">
      <c r="A186" s="9"/>
      <c r="B186" s="9"/>
      <c r="C186" s="9"/>
      <c r="D186" s="42"/>
      <c r="E186" s="43"/>
      <c r="F186" s="43"/>
      <c r="G186" s="44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8" customHeight="1" x14ac:dyDescent="0.3">
      <c r="A187" s="9"/>
      <c r="B187" s="9"/>
      <c r="C187" s="9"/>
      <c r="D187" s="42"/>
      <c r="E187" s="43"/>
      <c r="F187" s="43"/>
      <c r="G187" s="44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8" customHeight="1" x14ac:dyDescent="0.3">
      <c r="A188" s="9"/>
      <c r="B188" s="9"/>
      <c r="C188" s="9"/>
      <c r="D188" s="42"/>
      <c r="E188" s="43"/>
      <c r="F188" s="43"/>
      <c r="G188" s="44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8" customHeight="1" x14ac:dyDescent="0.3">
      <c r="A189" s="9"/>
      <c r="B189" s="9"/>
      <c r="C189" s="9"/>
      <c r="D189" s="42"/>
      <c r="E189" s="43"/>
      <c r="F189" s="43"/>
      <c r="G189" s="44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8" customHeight="1" x14ac:dyDescent="0.3">
      <c r="A190" s="9"/>
      <c r="B190" s="9"/>
      <c r="C190" s="9"/>
      <c r="D190" s="42"/>
      <c r="E190" s="43"/>
      <c r="F190" s="43"/>
      <c r="G190" s="44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8" customHeight="1" x14ac:dyDescent="0.3">
      <c r="A191" s="9"/>
      <c r="B191" s="9"/>
      <c r="C191" s="9"/>
      <c r="D191" s="42"/>
      <c r="E191" s="43"/>
      <c r="F191" s="43"/>
      <c r="G191" s="44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8" customHeight="1" x14ac:dyDescent="0.3">
      <c r="A192" s="9"/>
      <c r="B192" s="9"/>
      <c r="C192" s="9"/>
      <c r="D192" s="42"/>
      <c r="E192" s="43"/>
      <c r="F192" s="43"/>
      <c r="G192" s="44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8" customHeight="1" x14ac:dyDescent="0.3">
      <c r="A193" s="9"/>
      <c r="B193" s="9"/>
      <c r="C193" s="9"/>
      <c r="D193" s="42"/>
      <c r="E193" s="43"/>
      <c r="F193" s="43"/>
      <c r="G193" s="44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8" customHeight="1" x14ac:dyDescent="0.3">
      <c r="A194" s="9"/>
      <c r="B194" s="9"/>
      <c r="C194" s="9"/>
      <c r="D194" s="42"/>
      <c r="E194" s="43"/>
      <c r="F194" s="43"/>
      <c r="G194" s="44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8" customHeight="1" x14ac:dyDescent="0.3">
      <c r="A195" s="9"/>
      <c r="B195" s="9"/>
      <c r="C195" s="9"/>
      <c r="D195" s="42"/>
      <c r="E195" s="43"/>
      <c r="F195" s="43"/>
      <c r="G195" s="44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8" customHeight="1" x14ac:dyDescent="0.3">
      <c r="A196" s="9"/>
      <c r="B196" s="9"/>
      <c r="C196" s="9"/>
      <c r="D196" s="42"/>
      <c r="E196" s="43"/>
      <c r="F196" s="43"/>
      <c r="G196" s="44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8" customHeight="1" x14ac:dyDescent="0.3">
      <c r="A197" s="9"/>
      <c r="B197" s="9"/>
      <c r="C197" s="9"/>
      <c r="D197" s="42"/>
      <c r="E197" s="43"/>
      <c r="F197" s="43"/>
      <c r="G197" s="44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8" customHeight="1" x14ac:dyDescent="0.3">
      <c r="A198" s="9"/>
      <c r="B198" s="9"/>
      <c r="C198" s="9"/>
      <c r="D198" s="42"/>
      <c r="E198" s="43"/>
      <c r="F198" s="43"/>
      <c r="G198" s="44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9"/>
      <c r="B199" s="9"/>
      <c r="C199" s="9"/>
      <c r="D199" s="42"/>
      <c r="E199" s="43"/>
      <c r="F199" s="43"/>
      <c r="G199" s="44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9"/>
      <c r="B200" s="9"/>
      <c r="C200" s="9"/>
      <c r="D200" s="42"/>
      <c r="E200" s="43"/>
      <c r="F200" s="43"/>
      <c r="G200" s="44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9"/>
      <c r="B201" s="9"/>
      <c r="C201" s="9"/>
      <c r="D201" s="42"/>
      <c r="E201" s="43"/>
      <c r="F201" s="43"/>
      <c r="G201" s="44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9"/>
      <c r="B202" s="9"/>
      <c r="C202" s="9"/>
      <c r="D202" s="42"/>
      <c r="E202" s="43"/>
      <c r="F202" s="43"/>
      <c r="G202" s="44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9"/>
      <c r="B203" s="9"/>
      <c r="C203" s="9"/>
      <c r="D203" s="42"/>
      <c r="E203" s="43"/>
      <c r="F203" s="43"/>
      <c r="G203" s="44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9"/>
      <c r="B204" s="9"/>
      <c r="C204" s="9"/>
      <c r="D204" s="42"/>
      <c r="E204" s="43"/>
      <c r="F204" s="43"/>
      <c r="G204" s="44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9"/>
      <c r="B205" s="9"/>
      <c r="C205" s="9"/>
      <c r="D205" s="42"/>
      <c r="E205" s="43"/>
      <c r="F205" s="43"/>
      <c r="G205" s="44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9"/>
      <c r="B206" s="9"/>
      <c r="C206" s="9"/>
      <c r="D206" s="42"/>
      <c r="E206" s="43"/>
      <c r="F206" s="43"/>
      <c r="G206" s="44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9"/>
      <c r="B207" s="9"/>
      <c r="C207" s="9"/>
      <c r="D207" s="42"/>
      <c r="E207" s="43"/>
      <c r="F207" s="43"/>
      <c r="G207" s="44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9"/>
      <c r="B208" s="9"/>
      <c r="C208" s="9"/>
      <c r="D208" s="42"/>
      <c r="E208" s="43"/>
      <c r="F208" s="43"/>
      <c r="G208" s="44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9"/>
      <c r="B209" s="9"/>
      <c r="C209" s="9"/>
      <c r="D209" s="42"/>
      <c r="E209" s="43"/>
      <c r="F209" s="43"/>
      <c r="G209" s="44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9"/>
      <c r="B210" s="9"/>
      <c r="C210" s="9"/>
      <c r="D210" s="42"/>
      <c r="E210" s="43"/>
      <c r="F210" s="43"/>
      <c r="G210" s="44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9"/>
      <c r="B211" s="9"/>
      <c r="C211" s="9"/>
      <c r="D211" s="42"/>
      <c r="E211" s="43"/>
      <c r="F211" s="43"/>
      <c r="G211" s="44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9"/>
      <c r="B212" s="9"/>
      <c r="C212" s="9"/>
      <c r="D212" s="42"/>
      <c r="E212" s="43"/>
      <c r="F212" s="43"/>
      <c r="G212" s="44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9"/>
      <c r="B213" s="9"/>
      <c r="C213" s="9"/>
      <c r="D213" s="42"/>
      <c r="E213" s="43"/>
      <c r="F213" s="43"/>
      <c r="G213" s="44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9"/>
      <c r="B214" s="9"/>
      <c r="C214" s="9"/>
      <c r="D214" s="42"/>
      <c r="E214" s="43"/>
      <c r="F214" s="43"/>
      <c r="G214" s="44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9"/>
      <c r="B215" s="9"/>
      <c r="C215" s="9"/>
      <c r="D215" s="42"/>
      <c r="E215" s="43"/>
      <c r="F215" s="43"/>
      <c r="G215" s="44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9"/>
      <c r="B216" s="9"/>
      <c r="C216" s="9"/>
      <c r="D216" s="42"/>
      <c r="E216" s="43"/>
      <c r="F216" s="43"/>
      <c r="G216" s="44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9"/>
      <c r="B217" s="9"/>
      <c r="C217" s="9"/>
      <c r="D217" s="42"/>
      <c r="E217" s="43"/>
      <c r="F217" s="43"/>
      <c r="G217" s="44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9"/>
      <c r="B218" s="9"/>
      <c r="C218" s="9"/>
      <c r="D218" s="42"/>
      <c r="E218" s="43"/>
      <c r="F218" s="43"/>
      <c r="G218" s="44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9"/>
      <c r="B219" s="9"/>
      <c r="C219" s="9"/>
      <c r="D219" s="42"/>
      <c r="E219" s="43"/>
      <c r="F219" s="43"/>
      <c r="G219" s="44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9"/>
      <c r="B220" s="9"/>
      <c r="C220" s="9"/>
      <c r="D220" s="42"/>
      <c r="E220" s="43"/>
      <c r="F220" s="43"/>
      <c r="G220" s="44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9"/>
      <c r="B221" s="9"/>
      <c r="C221" s="9"/>
      <c r="D221" s="42"/>
      <c r="E221" s="43"/>
      <c r="F221" s="43"/>
      <c r="G221" s="44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9"/>
      <c r="B222" s="9"/>
      <c r="C222" s="9"/>
      <c r="D222" s="42"/>
      <c r="E222" s="43"/>
      <c r="F222" s="43"/>
      <c r="G222" s="44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9"/>
      <c r="B223" s="9"/>
      <c r="C223" s="9"/>
      <c r="D223" s="42"/>
      <c r="E223" s="43"/>
      <c r="F223" s="43"/>
      <c r="G223" s="44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9"/>
      <c r="B224" s="9"/>
      <c r="C224" s="9"/>
      <c r="D224" s="42"/>
      <c r="E224" s="43"/>
      <c r="F224" s="43"/>
      <c r="G224" s="44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9"/>
      <c r="B225" s="9"/>
      <c r="C225" s="9"/>
      <c r="D225" s="42"/>
      <c r="E225" s="43"/>
      <c r="F225" s="43"/>
      <c r="G225" s="44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9"/>
      <c r="B226" s="9"/>
      <c r="C226" s="9"/>
      <c r="D226" s="42"/>
      <c r="E226" s="43"/>
      <c r="F226" s="43"/>
      <c r="G226" s="44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9"/>
      <c r="B227" s="9"/>
      <c r="C227" s="9"/>
      <c r="D227" s="42"/>
      <c r="E227" s="43"/>
      <c r="F227" s="43"/>
      <c r="G227" s="44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9"/>
      <c r="B228" s="9"/>
      <c r="C228" s="9"/>
      <c r="D228" s="42"/>
      <c r="E228" s="43"/>
      <c r="F228" s="43"/>
      <c r="G228" s="44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9"/>
      <c r="B229" s="9"/>
      <c r="C229" s="9"/>
      <c r="D229" s="42"/>
      <c r="E229" s="43"/>
      <c r="F229" s="43"/>
      <c r="G229" s="44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9"/>
      <c r="B230" s="9"/>
      <c r="C230" s="9"/>
      <c r="D230" s="42"/>
      <c r="E230" s="43"/>
      <c r="F230" s="43"/>
      <c r="G230" s="44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9"/>
      <c r="B231" s="9"/>
      <c r="C231" s="9"/>
      <c r="D231" s="42"/>
      <c r="E231" s="43"/>
      <c r="F231" s="43"/>
      <c r="G231" s="44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9"/>
      <c r="B232" s="9"/>
      <c r="C232" s="9"/>
      <c r="D232" s="42"/>
      <c r="E232" s="43"/>
      <c r="F232" s="43"/>
      <c r="G232" s="44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9"/>
      <c r="B233" s="9"/>
      <c r="C233" s="9"/>
      <c r="D233" s="42"/>
      <c r="E233" s="43"/>
      <c r="F233" s="43"/>
      <c r="G233" s="44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9"/>
      <c r="B234" s="9"/>
      <c r="C234" s="9"/>
      <c r="D234" s="42"/>
      <c r="E234" s="43"/>
      <c r="F234" s="43"/>
      <c r="G234" s="44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9"/>
      <c r="B235" s="9"/>
      <c r="C235" s="9"/>
      <c r="D235" s="42"/>
      <c r="E235" s="43"/>
      <c r="F235" s="43"/>
      <c r="G235" s="44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9"/>
      <c r="B236" s="9"/>
      <c r="C236" s="9"/>
      <c r="D236" s="42"/>
      <c r="E236" s="43"/>
      <c r="F236" s="43"/>
      <c r="G236" s="44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9"/>
      <c r="B237" s="9"/>
      <c r="C237" s="9"/>
      <c r="D237" s="42"/>
      <c r="E237" s="43"/>
      <c r="F237" s="43"/>
      <c r="G237" s="44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9"/>
      <c r="B238" s="9"/>
      <c r="C238" s="9"/>
      <c r="D238" s="42"/>
      <c r="E238" s="43"/>
      <c r="F238" s="43"/>
      <c r="G238" s="44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9"/>
      <c r="B239" s="9"/>
      <c r="C239" s="9"/>
      <c r="D239" s="42"/>
      <c r="E239" s="43"/>
      <c r="F239" s="43"/>
      <c r="G239" s="44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9"/>
      <c r="B240" s="9"/>
      <c r="C240" s="9"/>
      <c r="D240" s="42"/>
      <c r="E240" s="43"/>
      <c r="F240" s="43"/>
      <c r="G240" s="44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9"/>
      <c r="B241" s="9"/>
      <c r="C241" s="9"/>
      <c r="D241" s="42"/>
      <c r="E241" s="43"/>
      <c r="F241" s="43"/>
      <c r="G241" s="44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9"/>
      <c r="B242" s="9"/>
      <c r="C242" s="9"/>
      <c r="D242" s="42"/>
      <c r="E242" s="43"/>
      <c r="F242" s="43"/>
      <c r="G242" s="44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9"/>
      <c r="B243" s="9"/>
      <c r="C243" s="9"/>
      <c r="D243" s="42"/>
      <c r="E243" s="43"/>
      <c r="F243" s="43"/>
      <c r="G243" s="44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9"/>
      <c r="B244" s="9"/>
      <c r="C244" s="9"/>
      <c r="D244" s="42"/>
      <c r="E244" s="43"/>
      <c r="F244" s="43"/>
      <c r="G244" s="44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9"/>
      <c r="B245" s="9"/>
      <c r="C245" s="9"/>
      <c r="D245" s="42"/>
      <c r="E245" s="43"/>
      <c r="F245" s="43"/>
      <c r="G245" s="44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9"/>
      <c r="B246" s="9"/>
      <c r="C246" s="9"/>
      <c r="D246" s="42"/>
      <c r="E246" s="43"/>
      <c r="F246" s="43"/>
      <c r="G246" s="44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9"/>
      <c r="B247" s="9"/>
      <c r="C247" s="9"/>
      <c r="D247" s="42"/>
      <c r="E247" s="43"/>
      <c r="F247" s="43"/>
      <c r="G247" s="44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9"/>
      <c r="B248" s="9"/>
      <c r="C248" s="9"/>
      <c r="D248" s="42"/>
      <c r="E248" s="43"/>
      <c r="F248" s="43"/>
      <c r="G248" s="44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9"/>
      <c r="B249" s="9"/>
      <c r="C249" s="9"/>
      <c r="D249" s="42"/>
      <c r="E249" s="43"/>
      <c r="F249" s="43"/>
      <c r="G249" s="44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9"/>
      <c r="B250" s="9"/>
      <c r="C250" s="9"/>
      <c r="D250" s="42"/>
      <c r="E250" s="43"/>
      <c r="F250" s="43"/>
      <c r="G250" s="44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9"/>
      <c r="B251" s="9"/>
      <c r="C251" s="9"/>
      <c r="D251" s="42"/>
      <c r="E251" s="43"/>
      <c r="F251" s="43"/>
      <c r="G251" s="44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9"/>
      <c r="B252" s="9"/>
      <c r="C252" s="9"/>
      <c r="D252" s="42"/>
      <c r="E252" s="43"/>
      <c r="F252" s="43"/>
      <c r="G252" s="44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9"/>
      <c r="B253" s="9"/>
      <c r="C253" s="9"/>
      <c r="D253" s="42"/>
      <c r="E253" s="43"/>
      <c r="F253" s="43"/>
      <c r="G253" s="44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9"/>
      <c r="B254" s="9"/>
      <c r="C254" s="9"/>
      <c r="D254" s="42"/>
      <c r="E254" s="43"/>
      <c r="F254" s="43"/>
      <c r="G254" s="44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9"/>
      <c r="B255" s="9"/>
      <c r="C255" s="9"/>
      <c r="D255" s="42"/>
      <c r="E255" s="43"/>
      <c r="F255" s="43"/>
      <c r="G255" s="44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9"/>
      <c r="B256" s="9"/>
      <c r="C256" s="9"/>
      <c r="D256" s="42"/>
      <c r="E256" s="43"/>
      <c r="F256" s="43"/>
      <c r="G256" s="44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9"/>
      <c r="B257" s="9"/>
      <c r="C257" s="9"/>
      <c r="D257" s="42"/>
      <c r="E257" s="43"/>
      <c r="F257" s="43"/>
      <c r="G257" s="44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9"/>
      <c r="B258" s="9"/>
      <c r="C258" s="9"/>
      <c r="D258" s="42"/>
      <c r="E258" s="43"/>
      <c r="F258" s="43"/>
      <c r="G258" s="44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9"/>
      <c r="B259" s="9"/>
      <c r="C259" s="9"/>
      <c r="D259" s="42"/>
      <c r="E259" s="43"/>
      <c r="F259" s="43"/>
      <c r="G259" s="44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9"/>
      <c r="B260" s="9"/>
      <c r="C260" s="9"/>
      <c r="D260" s="42"/>
      <c r="E260" s="43"/>
      <c r="F260" s="43"/>
      <c r="G260" s="44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9"/>
      <c r="B261" s="9"/>
      <c r="C261" s="9"/>
      <c r="D261" s="42"/>
      <c r="E261" s="43"/>
      <c r="F261" s="43"/>
      <c r="G261" s="44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9"/>
      <c r="B262" s="9"/>
      <c r="C262" s="9"/>
      <c r="D262" s="42"/>
      <c r="E262" s="43"/>
      <c r="F262" s="43"/>
      <c r="G262" s="44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9"/>
      <c r="B263" s="9"/>
      <c r="C263" s="9"/>
      <c r="D263" s="42"/>
      <c r="E263" s="43"/>
      <c r="F263" s="43"/>
      <c r="G263" s="44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9"/>
      <c r="B264" s="9"/>
      <c r="C264" s="9"/>
      <c r="D264" s="42"/>
      <c r="E264" s="43"/>
      <c r="F264" s="43"/>
      <c r="G264" s="44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9"/>
      <c r="B265" s="9"/>
      <c r="C265" s="9"/>
      <c r="D265" s="42"/>
      <c r="E265" s="43"/>
      <c r="F265" s="43"/>
      <c r="G265" s="44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9"/>
      <c r="B266" s="9"/>
      <c r="C266" s="9"/>
      <c r="D266" s="42"/>
      <c r="E266" s="43"/>
      <c r="F266" s="43"/>
      <c r="G266" s="44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9"/>
      <c r="B267" s="9"/>
      <c r="C267" s="9"/>
      <c r="D267" s="42"/>
      <c r="E267" s="43"/>
      <c r="F267" s="43"/>
      <c r="G267" s="44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9"/>
      <c r="B268" s="9"/>
      <c r="C268" s="9"/>
      <c r="D268" s="42"/>
      <c r="E268" s="43"/>
      <c r="F268" s="43"/>
      <c r="G268" s="44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9"/>
      <c r="B269" s="9"/>
      <c r="C269" s="9"/>
      <c r="D269" s="42"/>
      <c r="E269" s="43"/>
      <c r="F269" s="43"/>
      <c r="G269" s="44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9"/>
      <c r="B270" s="9"/>
      <c r="C270" s="9"/>
      <c r="D270" s="42"/>
      <c r="E270" s="43"/>
      <c r="F270" s="43"/>
      <c r="G270" s="44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9"/>
      <c r="B271" s="9"/>
      <c r="C271" s="9"/>
      <c r="D271" s="42"/>
      <c r="E271" s="43"/>
      <c r="F271" s="43"/>
      <c r="G271" s="44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9"/>
      <c r="B272" s="9"/>
      <c r="C272" s="9"/>
      <c r="D272" s="42"/>
      <c r="E272" s="43"/>
      <c r="F272" s="43"/>
      <c r="G272" s="44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9"/>
      <c r="B273" s="9"/>
      <c r="C273" s="9"/>
      <c r="D273" s="42"/>
      <c r="E273" s="43"/>
      <c r="F273" s="43"/>
      <c r="G273" s="44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9"/>
      <c r="B274" s="9"/>
      <c r="C274" s="9"/>
      <c r="D274" s="42"/>
      <c r="E274" s="43"/>
      <c r="F274" s="43"/>
      <c r="G274" s="44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9"/>
      <c r="B275" s="9"/>
      <c r="C275" s="9"/>
      <c r="D275" s="42"/>
      <c r="E275" s="43"/>
      <c r="F275" s="43"/>
      <c r="G275" s="44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9"/>
      <c r="B276" s="9"/>
      <c r="C276" s="9"/>
      <c r="D276" s="42"/>
      <c r="E276" s="43"/>
      <c r="F276" s="43"/>
      <c r="G276" s="44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9"/>
      <c r="B277" s="9"/>
      <c r="C277" s="9"/>
      <c r="D277" s="42"/>
      <c r="E277" s="43"/>
      <c r="F277" s="43"/>
      <c r="G277" s="44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9"/>
      <c r="B278" s="9"/>
      <c r="C278" s="9"/>
      <c r="D278" s="42"/>
      <c r="E278" s="43"/>
      <c r="F278" s="43"/>
      <c r="G278" s="44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9"/>
      <c r="B279" s="9"/>
      <c r="C279" s="9"/>
      <c r="D279" s="42"/>
      <c r="E279" s="43"/>
      <c r="F279" s="43"/>
      <c r="G279" s="44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9"/>
      <c r="B280" s="9"/>
      <c r="C280" s="9"/>
      <c r="D280" s="42"/>
      <c r="E280" s="43"/>
      <c r="F280" s="43"/>
      <c r="G280" s="44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9"/>
      <c r="B281" s="9"/>
      <c r="C281" s="9"/>
      <c r="D281" s="42"/>
      <c r="E281" s="43"/>
      <c r="F281" s="43"/>
      <c r="G281" s="44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9"/>
      <c r="B282" s="9"/>
      <c r="C282" s="9"/>
      <c r="D282" s="42"/>
      <c r="E282" s="43"/>
      <c r="F282" s="43"/>
      <c r="G282" s="44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9"/>
      <c r="B283" s="9"/>
      <c r="C283" s="9"/>
      <c r="D283" s="42"/>
      <c r="E283" s="43"/>
      <c r="F283" s="43"/>
      <c r="G283" s="44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9"/>
      <c r="B284" s="9"/>
      <c r="C284" s="9"/>
      <c r="D284" s="42"/>
      <c r="E284" s="43"/>
      <c r="F284" s="43"/>
      <c r="G284" s="44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9"/>
      <c r="B285" s="9"/>
      <c r="C285" s="9"/>
      <c r="D285" s="42"/>
      <c r="E285" s="43"/>
      <c r="F285" s="43"/>
      <c r="G285" s="44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9"/>
      <c r="B286" s="9"/>
      <c r="C286" s="9"/>
      <c r="D286" s="42"/>
      <c r="E286" s="43"/>
      <c r="F286" s="43"/>
      <c r="G286" s="44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9"/>
      <c r="B287" s="9"/>
      <c r="C287" s="9"/>
      <c r="D287" s="42"/>
      <c r="E287" s="43"/>
      <c r="F287" s="43"/>
      <c r="G287" s="44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9"/>
      <c r="B288" s="9"/>
      <c r="C288" s="9"/>
      <c r="D288" s="42"/>
      <c r="E288" s="43"/>
      <c r="F288" s="43"/>
      <c r="G288" s="44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9"/>
      <c r="B289" s="9"/>
      <c r="C289" s="9"/>
      <c r="D289" s="42"/>
      <c r="E289" s="43"/>
      <c r="F289" s="43"/>
      <c r="G289" s="44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9"/>
      <c r="B290" s="9"/>
      <c r="C290" s="9"/>
      <c r="D290" s="42"/>
      <c r="E290" s="43"/>
      <c r="F290" s="43"/>
      <c r="G290" s="44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9"/>
      <c r="B291" s="9"/>
      <c r="C291" s="9"/>
      <c r="D291" s="42"/>
      <c r="E291" s="43"/>
      <c r="F291" s="43"/>
      <c r="G291" s="44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9"/>
      <c r="B292" s="9"/>
      <c r="C292" s="9"/>
      <c r="D292" s="42"/>
      <c r="E292" s="43"/>
      <c r="F292" s="43"/>
      <c r="G292" s="44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9"/>
      <c r="B293" s="9"/>
      <c r="C293" s="9"/>
      <c r="D293" s="42"/>
      <c r="E293" s="43"/>
      <c r="F293" s="43"/>
      <c r="G293" s="44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9"/>
      <c r="B294" s="9"/>
      <c r="C294" s="9"/>
      <c r="D294" s="42"/>
      <c r="E294" s="43"/>
      <c r="F294" s="43"/>
      <c r="G294" s="44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9"/>
      <c r="B295" s="9"/>
      <c r="C295" s="9"/>
      <c r="D295" s="42"/>
      <c r="E295" s="43"/>
      <c r="F295" s="43"/>
      <c r="G295" s="44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9"/>
      <c r="B296" s="9"/>
      <c r="C296" s="9"/>
      <c r="D296" s="42"/>
      <c r="E296" s="43"/>
      <c r="F296" s="43"/>
      <c r="G296" s="44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9"/>
      <c r="B297" s="9"/>
      <c r="C297" s="9"/>
      <c r="D297" s="42"/>
      <c r="E297" s="43"/>
      <c r="F297" s="43"/>
      <c r="G297" s="44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9"/>
      <c r="B298" s="9"/>
      <c r="C298" s="9"/>
      <c r="D298" s="42"/>
      <c r="E298" s="43"/>
      <c r="F298" s="43"/>
      <c r="G298" s="44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9"/>
      <c r="B299" s="9"/>
      <c r="C299" s="9"/>
      <c r="D299" s="42"/>
      <c r="E299" s="43"/>
      <c r="F299" s="43"/>
      <c r="G299" s="44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9"/>
      <c r="B300" s="9"/>
      <c r="C300" s="9"/>
      <c r="D300" s="42"/>
      <c r="E300" s="43"/>
      <c r="F300" s="43"/>
      <c r="G300" s="44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9"/>
      <c r="B301" s="9"/>
      <c r="C301" s="9"/>
      <c r="D301" s="42"/>
      <c r="E301" s="43"/>
      <c r="F301" s="43"/>
      <c r="G301" s="44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9"/>
      <c r="B302" s="9"/>
      <c r="C302" s="9"/>
      <c r="D302" s="42"/>
      <c r="E302" s="43"/>
      <c r="F302" s="43"/>
      <c r="G302" s="44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9"/>
      <c r="B303" s="9"/>
      <c r="C303" s="9"/>
      <c r="D303" s="42"/>
      <c r="E303" s="43"/>
      <c r="F303" s="43"/>
      <c r="G303" s="44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9"/>
      <c r="B304" s="9"/>
      <c r="C304" s="9"/>
      <c r="D304" s="42"/>
      <c r="E304" s="43"/>
      <c r="F304" s="43"/>
      <c r="G304" s="44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9"/>
      <c r="B305" s="9"/>
      <c r="C305" s="9"/>
      <c r="D305" s="42"/>
      <c r="E305" s="43"/>
      <c r="F305" s="43"/>
      <c r="G305" s="44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9"/>
      <c r="B306" s="9"/>
      <c r="C306" s="9"/>
      <c r="D306" s="42"/>
      <c r="E306" s="43"/>
      <c r="F306" s="43"/>
      <c r="G306" s="44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9"/>
      <c r="B307" s="9"/>
      <c r="C307" s="9"/>
      <c r="D307" s="42"/>
      <c r="E307" s="43"/>
      <c r="F307" s="43"/>
      <c r="G307" s="44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9"/>
      <c r="B308" s="9"/>
      <c r="C308" s="9"/>
      <c r="D308" s="42"/>
      <c r="E308" s="43"/>
      <c r="F308" s="43"/>
      <c r="G308" s="44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9"/>
      <c r="B309" s="9"/>
      <c r="C309" s="9"/>
      <c r="D309" s="42"/>
      <c r="E309" s="43"/>
      <c r="F309" s="43"/>
      <c r="G309" s="44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9"/>
      <c r="B310" s="9"/>
      <c r="C310" s="9"/>
      <c r="D310" s="42"/>
      <c r="E310" s="43"/>
      <c r="F310" s="43"/>
      <c r="G310" s="44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9"/>
      <c r="B311" s="9"/>
      <c r="C311" s="9"/>
      <c r="D311" s="42"/>
      <c r="E311" s="43"/>
      <c r="F311" s="43"/>
      <c r="G311" s="44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9"/>
      <c r="B312" s="9"/>
      <c r="C312" s="9"/>
      <c r="D312" s="42"/>
      <c r="E312" s="43"/>
      <c r="F312" s="43"/>
      <c r="G312" s="44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9"/>
      <c r="B313" s="9"/>
      <c r="C313" s="9"/>
      <c r="D313" s="42"/>
      <c r="E313" s="43"/>
      <c r="F313" s="43"/>
      <c r="G313" s="44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9"/>
      <c r="B314" s="9"/>
      <c r="C314" s="9"/>
      <c r="D314" s="42"/>
      <c r="E314" s="43"/>
      <c r="F314" s="43"/>
      <c r="G314" s="44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9"/>
      <c r="B315" s="9"/>
      <c r="C315" s="9"/>
      <c r="D315" s="42"/>
      <c r="E315" s="43"/>
      <c r="F315" s="43"/>
      <c r="G315" s="44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9"/>
      <c r="B316" s="9"/>
      <c r="C316" s="9"/>
      <c r="D316" s="42"/>
      <c r="E316" s="43"/>
      <c r="F316" s="43"/>
      <c r="G316" s="44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9"/>
      <c r="B317" s="9"/>
      <c r="C317" s="9"/>
      <c r="D317" s="42"/>
      <c r="E317" s="43"/>
      <c r="F317" s="43"/>
      <c r="G317" s="44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9"/>
      <c r="B318" s="9"/>
      <c r="C318" s="9"/>
      <c r="D318" s="42"/>
      <c r="E318" s="43"/>
      <c r="F318" s="43"/>
      <c r="G318" s="44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9"/>
      <c r="B319" s="9"/>
      <c r="C319" s="9"/>
      <c r="D319" s="42"/>
      <c r="E319" s="43"/>
      <c r="F319" s="43"/>
      <c r="G319" s="44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9"/>
      <c r="B320" s="9"/>
      <c r="C320" s="9"/>
      <c r="D320" s="42"/>
      <c r="E320" s="43"/>
      <c r="F320" s="43"/>
      <c r="G320" s="44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9"/>
      <c r="B321" s="9"/>
      <c r="C321" s="9"/>
      <c r="D321" s="42"/>
      <c r="E321" s="43"/>
      <c r="F321" s="43"/>
      <c r="G321" s="44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9"/>
      <c r="B322" s="9"/>
      <c r="C322" s="9"/>
      <c r="D322" s="42"/>
      <c r="E322" s="43"/>
      <c r="F322" s="43"/>
      <c r="G322" s="44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9"/>
      <c r="B323" s="9"/>
      <c r="C323" s="9"/>
      <c r="D323" s="42"/>
      <c r="E323" s="43"/>
      <c r="F323" s="43"/>
      <c r="G323" s="44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9"/>
      <c r="B324" s="9"/>
      <c r="C324" s="9"/>
      <c r="D324" s="42"/>
      <c r="E324" s="43"/>
      <c r="F324" s="43"/>
      <c r="G324" s="44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9"/>
      <c r="B325" s="9"/>
      <c r="C325" s="9"/>
      <c r="D325" s="42"/>
      <c r="E325" s="43"/>
      <c r="F325" s="43"/>
      <c r="G325" s="44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9"/>
      <c r="B326" s="9"/>
      <c r="C326" s="9"/>
      <c r="D326" s="42"/>
      <c r="E326" s="43"/>
      <c r="F326" s="43"/>
      <c r="G326" s="44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9"/>
      <c r="B327" s="9"/>
      <c r="C327" s="9"/>
      <c r="D327" s="42"/>
      <c r="E327" s="43"/>
      <c r="F327" s="43"/>
      <c r="G327" s="44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9"/>
      <c r="B328" s="9"/>
      <c r="C328" s="9"/>
      <c r="D328" s="42"/>
      <c r="E328" s="43"/>
      <c r="F328" s="43"/>
      <c r="G328" s="44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9"/>
      <c r="B329" s="9"/>
      <c r="C329" s="9"/>
      <c r="D329" s="42"/>
      <c r="E329" s="43"/>
      <c r="F329" s="43"/>
      <c r="G329" s="44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9"/>
      <c r="B330" s="9"/>
      <c r="C330" s="9"/>
      <c r="D330" s="42"/>
      <c r="E330" s="43"/>
      <c r="F330" s="43"/>
      <c r="G330" s="44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9"/>
      <c r="B331" s="9"/>
      <c r="C331" s="9"/>
      <c r="D331" s="42"/>
      <c r="E331" s="43"/>
      <c r="F331" s="43"/>
      <c r="G331" s="44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9"/>
      <c r="B332" s="9"/>
      <c r="C332" s="9"/>
      <c r="D332" s="42"/>
      <c r="E332" s="43"/>
      <c r="F332" s="43"/>
      <c r="G332" s="44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9"/>
      <c r="B333" s="9"/>
      <c r="C333" s="9"/>
      <c r="D333" s="42"/>
      <c r="E333" s="43"/>
      <c r="F333" s="43"/>
      <c r="G333" s="44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9"/>
      <c r="B334" s="9"/>
      <c r="C334" s="9"/>
      <c r="D334" s="42"/>
      <c r="E334" s="43"/>
      <c r="F334" s="43"/>
      <c r="G334" s="44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9"/>
      <c r="B335" s="9"/>
      <c r="C335" s="9"/>
      <c r="D335" s="42"/>
      <c r="E335" s="43"/>
      <c r="F335" s="43"/>
      <c r="G335" s="44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9"/>
      <c r="B336" s="9"/>
      <c r="C336" s="9"/>
      <c r="D336" s="42"/>
      <c r="E336" s="43"/>
      <c r="F336" s="43"/>
      <c r="G336" s="44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9"/>
      <c r="B337" s="9"/>
      <c r="C337" s="9"/>
      <c r="D337" s="42"/>
      <c r="E337" s="43"/>
      <c r="F337" s="43"/>
      <c r="G337" s="44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9"/>
      <c r="B338" s="9"/>
      <c r="C338" s="9"/>
      <c r="D338" s="42"/>
      <c r="E338" s="43"/>
      <c r="F338" s="43"/>
      <c r="G338" s="44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9"/>
      <c r="B339" s="9"/>
      <c r="C339" s="9"/>
      <c r="D339" s="42"/>
      <c r="E339" s="43"/>
      <c r="F339" s="43"/>
      <c r="G339" s="44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9"/>
      <c r="B340" s="9"/>
      <c r="C340" s="9"/>
      <c r="D340" s="42"/>
      <c r="E340" s="43"/>
      <c r="F340" s="43"/>
      <c r="G340" s="44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9"/>
      <c r="B341" s="9"/>
      <c r="C341" s="9"/>
      <c r="D341" s="42"/>
      <c r="E341" s="43"/>
      <c r="F341" s="43"/>
      <c r="G341" s="44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9"/>
      <c r="B342" s="9"/>
      <c r="C342" s="9"/>
      <c r="D342" s="42"/>
      <c r="E342" s="43"/>
      <c r="F342" s="43"/>
      <c r="G342" s="44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9"/>
      <c r="B343" s="9"/>
      <c r="C343" s="9"/>
      <c r="D343" s="42"/>
      <c r="E343" s="43"/>
      <c r="F343" s="43"/>
      <c r="G343" s="44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9"/>
      <c r="B344" s="9"/>
      <c r="C344" s="9"/>
      <c r="D344" s="42"/>
      <c r="E344" s="43"/>
      <c r="F344" s="43"/>
      <c r="G344" s="44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9"/>
      <c r="B345" s="9"/>
      <c r="C345" s="9"/>
      <c r="D345" s="42"/>
      <c r="E345" s="43"/>
      <c r="F345" s="43"/>
      <c r="G345" s="44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9"/>
      <c r="B346" s="9"/>
      <c r="C346" s="9"/>
      <c r="D346" s="42"/>
      <c r="E346" s="43"/>
      <c r="F346" s="43"/>
      <c r="G346" s="44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9"/>
      <c r="B347" s="9"/>
      <c r="C347" s="9"/>
      <c r="D347" s="42"/>
      <c r="E347" s="43"/>
      <c r="F347" s="43"/>
      <c r="G347" s="44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9"/>
      <c r="B348" s="9"/>
      <c r="C348" s="9"/>
      <c r="D348" s="42"/>
      <c r="E348" s="43"/>
      <c r="F348" s="43"/>
      <c r="G348" s="44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9"/>
      <c r="B349" s="9"/>
      <c r="C349" s="9"/>
      <c r="D349" s="42"/>
      <c r="E349" s="43"/>
      <c r="F349" s="43"/>
      <c r="G349" s="44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9"/>
      <c r="B350" s="9"/>
      <c r="C350" s="9"/>
      <c r="D350" s="42"/>
      <c r="E350" s="43"/>
      <c r="F350" s="43"/>
      <c r="G350" s="44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9"/>
      <c r="B351" s="9"/>
      <c r="C351" s="9"/>
      <c r="D351" s="42"/>
      <c r="E351" s="43"/>
      <c r="F351" s="43"/>
      <c r="G351" s="44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9"/>
      <c r="B352" s="9"/>
      <c r="C352" s="9"/>
      <c r="D352" s="42"/>
      <c r="E352" s="43"/>
      <c r="F352" s="43"/>
      <c r="G352" s="44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9"/>
      <c r="B353" s="9"/>
      <c r="C353" s="9"/>
      <c r="D353" s="42"/>
      <c r="E353" s="43"/>
      <c r="F353" s="43"/>
      <c r="G353" s="44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9"/>
      <c r="B354" s="9"/>
      <c r="C354" s="9"/>
      <c r="D354" s="42"/>
      <c r="E354" s="43"/>
      <c r="F354" s="43"/>
      <c r="G354" s="44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9"/>
      <c r="B355" s="9"/>
      <c r="C355" s="9"/>
      <c r="D355" s="42"/>
      <c r="E355" s="43"/>
      <c r="F355" s="43"/>
      <c r="G355" s="44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9"/>
      <c r="B356" s="9"/>
      <c r="C356" s="9"/>
      <c r="D356" s="42"/>
      <c r="E356" s="43"/>
      <c r="F356" s="43"/>
      <c r="G356" s="44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9"/>
      <c r="B357" s="9"/>
      <c r="C357" s="9"/>
      <c r="D357" s="42"/>
      <c r="E357" s="43"/>
      <c r="F357" s="43"/>
      <c r="G357" s="44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9"/>
      <c r="B358" s="9"/>
      <c r="C358" s="9"/>
      <c r="D358" s="42"/>
      <c r="E358" s="43"/>
      <c r="F358" s="43"/>
      <c r="G358" s="44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9"/>
      <c r="B359" s="9"/>
      <c r="C359" s="9"/>
      <c r="D359" s="42"/>
      <c r="E359" s="43"/>
      <c r="F359" s="43"/>
      <c r="G359" s="44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9"/>
      <c r="B360" s="9"/>
      <c r="C360" s="9"/>
      <c r="D360" s="42"/>
      <c r="E360" s="43"/>
      <c r="F360" s="43"/>
      <c r="G360" s="44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9"/>
      <c r="B361" s="9"/>
      <c r="C361" s="9"/>
      <c r="D361" s="42"/>
      <c r="E361" s="43"/>
      <c r="F361" s="43"/>
      <c r="G361" s="44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9"/>
      <c r="B362" s="9"/>
      <c r="C362" s="9"/>
      <c r="D362" s="42"/>
      <c r="E362" s="43"/>
      <c r="F362" s="43"/>
      <c r="G362" s="44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9"/>
      <c r="B363" s="9"/>
      <c r="C363" s="9"/>
      <c r="D363" s="42"/>
      <c r="E363" s="43"/>
      <c r="F363" s="43"/>
      <c r="G363" s="44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9"/>
      <c r="B364" s="9"/>
      <c r="C364" s="9"/>
      <c r="D364" s="42"/>
      <c r="E364" s="43"/>
      <c r="F364" s="43"/>
      <c r="G364" s="44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9"/>
      <c r="B365" s="9"/>
      <c r="C365" s="9"/>
      <c r="D365" s="42"/>
      <c r="E365" s="43"/>
      <c r="F365" s="43"/>
      <c r="G365" s="44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9"/>
      <c r="B366" s="9"/>
      <c r="C366" s="9"/>
      <c r="D366" s="42"/>
      <c r="E366" s="43"/>
      <c r="F366" s="43"/>
      <c r="G366" s="44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9"/>
      <c r="B367" s="9"/>
      <c r="C367" s="9"/>
      <c r="D367" s="42"/>
      <c r="E367" s="43"/>
      <c r="F367" s="43"/>
      <c r="G367" s="44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9"/>
      <c r="B368" s="9"/>
      <c r="C368" s="9"/>
      <c r="D368" s="42"/>
      <c r="E368" s="43"/>
      <c r="F368" s="43"/>
      <c r="G368" s="44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9"/>
      <c r="B369" s="9"/>
      <c r="C369" s="9"/>
      <c r="D369" s="42"/>
      <c r="E369" s="43"/>
      <c r="F369" s="43"/>
      <c r="G369" s="44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9"/>
      <c r="B370" s="9"/>
      <c r="C370" s="9"/>
      <c r="D370" s="42"/>
      <c r="E370" s="43"/>
      <c r="F370" s="43"/>
      <c r="G370" s="44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9"/>
      <c r="B371" s="9"/>
      <c r="C371" s="9"/>
      <c r="D371" s="42"/>
      <c r="E371" s="43"/>
      <c r="F371" s="43"/>
      <c r="G371" s="44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9"/>
      <c r="B372" s="9"/>
      <c r="C372" s="9"/>
      <c r="D372" s="42"/>
      <c r="E372" s="43"/>
      <c r="F372" s="43"/>
      <c r="G372" s="44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9"/>
      <c r="B373" s="9"/>
      <c r="C373" s="9"/>
      <c r="D373" s="42"/>
      <c r="E373" s="43"/>
      <c r="F373" s="43"/>
      <c r="G373" s="44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9"/>
      <c r="B374" s="9"/>
      <c r="C374" s="9"/>
      <c r="D374" s="42"/>
      <c r="E374" s="43"/>
      <c r="F374" s="43"/>
      <c r="G374" s="44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9"/>
      <c r="B375" s="9"/>
      <c r="C375" s="9"/>
      <c r="D375" s="42"/>
      <c r="E375" s="43"/>
      <c r="F375" s="43"/>
      <c r="G375" s="44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9"/>
      <c r="B376" s="9"/>
      <c r="C376" s="9"/>
      <c r="D376" s="42"/>
      <c r="E376" s="43"/>
      <c r="F376" s="43"/>
      <c r="G376" s="44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9"/>
      <c r="B377" s="9"/>
      <c r="C377" s="9"/>
      <c r="D377" s="42"/>
      <c r="E377" s="43"/>
      <c r="F377" s="43"/>
      <c r="G377" s="44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9"/>
      <c r="B378" s="9"/>
      <c r="C378" s="9"/>
      <c r="D378" s="42"/>
      <c r="E378" s="43"/>
      <c r="F378" s="43"/>
      <c r="G378" s="44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9"/>
      <c r="B379" s="9"/>
      <c r="C379" s="9"/>
      <c r="D379" s="42"/>
      <c r="E379" s="43"/>
      <c r="F379" s="43"/>
      <c r="G379" s="44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9"/>
      <c r="B380" s="9"/>
      <c r="C380" s="9"/>
      <c r="D380" s="42"/>
      <c r="E380" s="43"/>
      <c r="F380" s="43"/>
      <c r="G380" s="44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9"/>
      <c r="B381" s="9"/>
      <c r="C381" s="9"/>
      <c r="D381" s="42"/>
      <c r="E381" s="43"/>
      <c r="F381" s="43"/>
      <c r="G381" s="44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9"/>
      <c r="B382" s="9"/>
      <c r="C382" s="9"/>
      <c r="D382" s="42"/>
      <c r="E382" s="43"/>
      <c r="F382" s="43"/>
      <c r="G382" s="44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9"/>
      <c r="B383" s="9"/>
      <c r="C383" s="9"/>
      <c r="D383" s="42"/>
      <c r="E383" s="43"/>
      <c r="F383" s="43"/>
      <c r="G383" s="44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9"/>
      <c r="B384" s="9"/>
      <c r="C384" s="9"/>
      <c r="D384" s="42"/>
      <c r="E384" s="43"/>
      <c r="F384" s="43"/>
      <c r="G384" s="44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9"/>
      <c r="B385" s="9"/>
      <c r="C385" s="9"/>
      <c r="D385" s="42"/>
      <c r="E385" s="43"/>
      <c r="F385" s="43"/>
      <c r="G385" s="44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9"/>
      <c r="B386" s="9"/>
      <c r="C386" s="9"/>
      <c r="D386" s="42"/>
      <c r="E386" s="43"/>
      <c r="F386" s="43"/>
      <c r="G386" s="44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9"/>
      <c r="B387" s="9"/>
      <c r="C387" s="9"/>
      <c r="D387" s="42"/>
      <c r="E387" s="43"/>
      <c r="F387" s="43"/>
      <c r="G387" s="44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9"/>
      <c r="B388" s="9"/>
      <c r="C388" s="9"/>
      <c r="D388" s="42"/>
      <c r="E388" s="43"/>
      <c r="F388" s="43"/>
      <c r="G388" s="44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9"/>
      <c r="B389" s="9"/>
      <c r="C389" s="9"/>
      <c r="D389" s="42"/>
      <c r="E389" s="43"/>
      <c r="F389" s="43"/>
      <c r="G389" s="44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9"/>
      <c r="B390" s="9"/>
      <c r="C390" s="9"/>
      <c r="D390" s="42"/>
      <c r="E390" s="43"/>
      <c r="F390" s="43"/>
      <c r="G390" s="44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9"/>
      <c r="B391" s="9"/>
      <c r="C391" s="9"/>
      <c r="D391" s="42"/>
      <c r="E391" s="43"/>
      <c r="F391" s="43"/>
      <c r="G391" s="44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9"/>
      <c r="B392" s="9"/>
      <c r="C392" s="9"/>
      <c r="D392" s="42"/>
      <c r="E392" s="43"/>
      <c r="F392" s="43"/>
      <c r="G392" s="44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9"/>
      <c r="B393" s="9"/>
      <c r="C393" s="9"/>
      <c r="D393" s="42"/>
      <c r="E393" s="43"/>
      <c r="F393" s="43"/>
      <c r="G393" s="44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9"/>
      <c r="B394" s="9"/>
      <c r="C394" s="9"/>
      <c r="D394" s="42"/>
      <c r="E394" s="43"/>
      <c r="F394" s="43"/>
      <c r="G394" s="44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9"/>
      <c r="B395" s="9"/>
      <c r="C395" s="9"/>
      <c r="D395" s="42"/>
      <c r="E395" s="43"/>
      <c r="F395" s="43"/>
      <c r="G395" s="44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9"/>
      <c r="B396" s="9"/>
      <c r="C396" s="9"/>
      <c r="D396" s="42"/>
      <c r="E396" s="43"/>
      <c r="F396" s="43"/>
      <c r="G396" s="44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9"/>
      <c r="B397" s="9"/>
      <c r="C397" s="9"/>
      <c r="D397" s="42"/>
      <c r="E397" s="43"/>
      <c r="F397" s="43"/>
      <c r="G397" s="44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9"/>
      <c r="B398" s="9"/>
      <c r="C398" s="9"/>
      <c r="D398" s="42"/>
      <c r="E398" s="43"/>
      <c r="F398" s="43"/>
      <c r="G398" s="44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9"/>
      <c r="B399" s="9"/>
      <c r="C399" s="9"/>
      <c r="D399" s="42"/>
      <c r="E399" s="43"/>
      <c r="F399" s="43"/>
      <c r="G399" s="44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9"/>
      <c r="B400" s="9"/>
      <c r="C400" s="9"/>
      <c r="D400" s="42"/>
      <c r="E400" s="43"/>
      <c r="F400" s="43"/>
      <c r="G400" s="44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9"/>
      <c r="B401" s="9"/>
      <c r="C401" s="9"/>
      <c r="D401" s="42"/>
      <c r="E401" s="43"/>
      <c r="F401" s="43"/>
      <c r="G401" s="44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9"/>
      <c r="B402" s="9"/>
      <c r="C402" s="9"/>
      <c r="D402" s="42"/>
      <c r="E402" s="43"/>
      <c r="F402" s="43"/>
      <c r="G402" s="44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9"/>
      <c r="B403" s="9"/>
      <c r="C403" s="9"/>
      <c r="D403" s="42"/>
      <c r="E403" s="43"/>
      <c r="F403" s="43"/>
      <c r="G403" s="44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9"/>
      <c r="B404" s="9"/>
      <c r="C404" s="9"/>
      <c r="D404" s="42"/>
      <c r="E404" s="43"/>
      <c r="F404" s="43"/>
      <c r="G404" s="44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9"/>
      <c r="B405" s="9"/>
      <c r="C405" s="9"/>
      <c r="D405" s="42"/>
      <c r="E405" s="43"/>
      <c r="F405" s="43"/>
      <c r="G405" s="44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9"/>
      <c r="B406" s="9"/>
      <c r="C406" s="9"/>
      <c r="D406" s="42"/>
      <c r="E406" s="43"/>
      <c r="F406" s="43"/>
      <c r="G406" s="44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9"/>
      <c r="B407" s="9"/>
      <c r="C407" s="9"/>
      <c r="D407" s="42"/>
      <c r="E407" s="43"/>
      <c r="F407" s="43"/>
      <c r="G407" s="44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9"/>
      <c r="B408" s="9"/>
      <c r="C408" s="9"/>
      <c r="D408" s="42"/>
      <c r="E408" s="43"/>
      <c r="F408" s="43"/>
      <c r="G408" s="44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9"/>
      <c r="B409" s="9"/>
      <c r="C409" s="9"/>
      <c r="D409" s="42"/>
      <c r="E409" s="43"/>
      <c r="F409" s="43"/>
      <c r="G409" s="44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9"/>
      <c r="B410" s="9"/>
      <c r="C410" s="9"/>
      <c r="D410" s="42"/>
      <c r="E410" s="43"/>
      <c r="F410" s="43"/>
      <c r="G410" s="44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9"/>
      <c r="B411" s="9"/>
      <c r="C411" s="9"/>
      <c r="D411" s="42"/>
      <c r="E411" s="43"/>
      <c r="F411" s="43"/>
      <c r="G411" s="44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9"/>
      <c r="B412" s="9"/>
      <c r="C412" s="9"/>
      <c r="D412" s="42"/>
      <c r="E412" s="43"/>
      <c r="F412" s="43"/>
      <c r="G412" s="44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9"/>
      <c r="B413" s="9"/>
      <c r="C413" s="9"/>
      <c r="D413" s="42"/>
      <c r="E413" s="43"/>
      <c r="F413" s="43"/>
      <c r="G413" s="44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9"/>
      <c r="B414" s="9"/>
      <c r="C414" s="9"/>
      <c r="D414" s="42"/>
      <c r="E414" s="43"/>
      <c r="F414" s="43"/>
      <c r="G414" s="44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9"/>
      <c r="B415" s="9"/>
      <c r="C415" s="9"/>
      <c r="D415" s="42"/>
      <c r="E415" s="43"/>
      <c r="F415" s="43"/>
      <c r="G415" s="44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9"/>
      <c r="B416" s="9"/>
      <c r="C416" s="9"/>
      <c r="D416" s="42"/>
      <c r="E416" s="43"/>
      <c r="F416" s="43"/>
      <c r="G416" s="44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9"/>
      <c r="B417" s="9"/>
      <c r="C417" s="9"/>
      <c r="D417" s="42"/>
      <c r="E417" s="43"/>
      <c r="F417" s="43"/>
      <c r="G417" s="44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9"/>
      <c r="B418" s="9"/>
      <c r="C418" s="9"/>
      <c r="D418" s="42"/>
      <c r="E418" s="43"/>
      <c r="F418" s="43"/>
      <c r="G418" s="44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9"/>
      <c r="B419" s="9"/>
      <c r="C419" s="9"/>
      <c r="D419" s="42"/>
      <c r="E419" s="43"/>
      <c r="F419" s="43"/>
      <c r="G419" s="44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9"/>
      <c r="B420" s="9"/>
      <c r="C420" s="9"/>
      <c r="D420" s="42"/>
      <c r="E420" s="43"/>
      <c r="F420" s="43"/>
      <c r="G420" s="44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9"/>
      <c r="B421" s="9"/>
      <c r="C421" s="9"/>
      <c r="D421" s="42"/>
      <c r="E421" s="43"/>
      <c r="F421" s="43"/>
      <c r="G421" s="44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9"/>
      <c r="B422" s="9"/>
      <c r="C422" s="9"/>
      <c r="D422" s="42"/>
      <c r="E422" s="43"/>
      <c r="F422" s="43"/>
      <c r="G422" s="44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9"/>
      <c r="B423" s="9"/>
      <c r="C423" s="9"/>
      <c r="D423" s="42"/>
      <c r="E423" s="43"/>
      <c r="F423" s="43"/>
      <c r="G423" s="44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9"/>
      <c r="B424" s="9"/>
      <c r="C424" s="9"/>
      <c r="D424" s="42"/>
      <c r="E424" s="43"/>
      <c r="F424" s="43"/>
      <c r="G424" s="44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9"/>
      <c r="B425" s="9"/>
      <c r="C425" s="9"/>
      <c r="D425" s="42"/>
      <c r="E425" s="43"/>
      <c r="F425" s="43"/>
      <c r="G425" s="44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9"/>
      <c r="B426" s="9"/>
      <c r="C426" s="9"/>
      <c r="D426" s="42"/>
      <c r="E426" s="43"/>
      <c r="F426" s="43"/>
      <c r="G426" s="44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9"/>
      <c r="B427" s="9"/>
      <c r="C427" s="9"/>
      <c r="D427" s="42"/>
      <c r="E427" s="43"/>
      <c r="F427" s="43"/>
      <c r="G427" s="44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9"/>
      <c r="B428" s="9"/>
      <c r="C428" s="9"/>
      <c r="D428" s="42"/>
      <c r="E428" s="43"/>
      <c r="F428" s="43"/>
      <c r="G428" s="44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9"/>
      <c r="B429" s="9"/>
      <c r="C429" s="9"/>
      <c r="D429" s="42"/>
      <c r="E429" s="43"/>
      <c r="F429" s="43"/>
      <c r="G429" s="44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9"/>
      <c r="B430" s="9"/>
      <c r="C430" s="9"/>
      <c r="D430" s="42"/>
      <c r="E430" s="43"/>
      <c r="F430" s="43"/>
      <c r="G430" s="44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9"/>
      <c r="B431" s="9"/>
      <c r="C431" s="9"/>
      <c r="D431" s="42"/>
      <c r="E431" s="43"/>
      <c r="F431" s="43"/>
      <c r="G431" s="44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9"/>
      <c r="B432" s="9"/>
      <c r="C432" s="9"/>
      <c r="D432" s="42"/>
      <c r="E432" s="43"/>
      <c r="F432" s="43"/>
      <c r="G432" s="44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9"/>
      <c r="B433" s="9"/>
      <c r="C433" s="9"/>
      <c r="D433" s="42"/>
      <c r="E433" s="43"/>
      <c r="F433" s="43"/>
      <c r="G433" s="44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9"/>
      <c r="B434" s="9"/>
      <c r="C434" s="9"/>
      <c r="D434" s="42"/>
      <c r="E434" s="43"/>
      <c r="F434" s="43"/>
      <c r="G434" s="44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9"/>
      <c r="B435" s="9"/>
      <c r="C435" s="9"/>
      <c r="D435" s="42"/>
      <c r="E435" s="43"/>
      <c r="F435" s="43"/>
      <c r="G435" s="44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9"/>
      <c r="B436" s="9"/>
      <c r="C436" s="9"/>
      <c r="D436" s="42"/>
      <c r="E436" s="43"/>
      <c r="F436" s="43"/>
      <c r="G436" s="44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9"/>
      <c r="B437" s="9"/>
      <c r="C437" s="9"/>
      <c r="D437" s="42"/>
      <c r="E437" s="43"/>
      <c r="F437" s="43"/>
      <c r="G437" s="44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9"/>
      <c r="B438" s="9"/>
      <c r="C438" s="9"/>
      <c r="D438" s="42"/>
      <c r="E438" s="43"/>
      <c r="F438" s="43"/>
      <c r="G438" s="44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9"/>
      <c r="B439" s="9"/>
      <c r="C439" s="9"/>
      <c r="D439" s="42"/>
      <c r="E439" s="43"/>
      <c r="F439" s="43"/>
      <c r="G439" s="44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9"/>
      <c r="B440" s="9"/>
      <c r="C440" s="9"/>
      <c r="D440" s="42"/>
      <c r="E440" s="43"/>
      <c r="F440" s="43"/>
      <c r="G440" s="44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9"/>
      <c r="B441" s="9"/>
      <c r="C441" s="9"/>
      <c r="D441" s="42"/>
      <c r="E441" s="43"/>
      <c r="F441" s="43"/>
      <c r="G441" s="44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9"/>
      <c r="B442" s="9"/>
      <c r="C442" s="9"/>
      <c r="D442" s="42"/>
      <c r="E442" s="43"/>
      <c r="F442" s="43"/>
      <c r="G442" s="44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9"/>
      <c r="B443" s="9"/>
      <c r="C443" s="9"/>
      <c r="D443" s="42"/>
      <c r="E443" s="43"/>
      <c r="F443" s="43"/>
      <c r="G443" s="44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9"/>
      <c r="B444" s="9"/>
      <c r="C444" s="9"/>
      <c r="D444" s="42"/>
      <c r="E444" s="43"/>
      <c r="F444" s="43"/>
      <c r="G444" s="44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9"/>
      <c r="B445" s="9"/>
      <c r="C445" s="9"/>
      <c r="D445" s="42"/>
      <c r="E445" s="43"/>
      <c r="F445" s="43"/>
      <c r="G445" s="44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9"/>
      <c r="B446" s="9"/>
      <c r="C446" s="9"/>
      <c r="D446" s="42"/>
      <c r="E446" s="43"/>
      <c r="F446" s="43"/>
      <c r="G446" s="44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9"/>
      <c r="B447" s="9"/>
      <c r="C447" s="9"/>
      <c r="D447" s="42"/>
      <c r="E447" s="43"/>
      <c r="F447" s="43"/>
      <c r="G447" s="44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9"/>
      <c r="B448" s="9"/>
      <c r="C448" s="9"/>
      <c r="D448" s="42"/>
      <c r="E448" s="43"/>
      <c r="F448" s="43"/>
      <c r="G448" s="44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9"/>
      <c r="B449" s="9"/>
      <c r="C449" s="9"/>
      <c r="D449" s="42"/>
      <c r="E449" s="43"/>
      <c r="F449" s="43"/>
      <c r="G449" s="44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9"/>
      <c r="B450" s="9"/>
      <c r="C450" s="9"/>
      <c r="D450" s="42"/>
      <c r="E450" s="43"/>
      <c r="F450" s="43"/>
      <c r="G450" s="44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9"/>
      <c r="B451" s="9"/>
      <c r="C451" s="9"/>
      <c r="D451" s="42"/>
      <c r="E451" s="43"/>
      <c r="F451" s="43"/>
      <c r="G451" s="44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9"/>
      <c r="B452" s="9"/>
      <c r="C452" s="9"/>
      <c r="D452" s="42"/>
      <c r="E452" s="43"/>
      <c r="F452" s="43"/>
      <c r="G452" s="44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9"/>
      <c r="B453" s="9"/>
      <c r="C453" s="9"/>
      <c r="D453" s="42"/>
      <c r="E453" s="43"/>
      <c r="F453" s="43"/>
      <c r="G453" s="44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9"/>
      <c r="B454" s="9"/>
      <c r="C454" s="9"/>
      <c r="D454" s="42"/>
      <c r="E454" s="43"/>
      <c r="F454" s="43"/>
      <c r="G454" s="44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9"/>
      <c r="B455" s="9"/>
      <c r="C455" s="9"/>
      <c r="D455" s="42"/>
      <c r="E455" s="43"/>
      <c r="F455" s="43"/>
      <c r="G455" s="44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9"/>
      <c r="B456" s="9"/>
      <c r="C456" s="9"/>
      <c r="D456" s="42"/>
      <c r="E456" s="43"/>
      <c r="F456" s="43"/>
      <c r="G456" s="44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9"/>
      <c r="B457" s="9"/>
      <c r="C457" s="9"/>
      <c r="D457" s="42"/>
      <c r="E457" s="43"/>
      <c r="F457" s="43"/>
      <c r="G457" s="44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9"/>
      <c r="B458" s="9"/>
      <c r="C458" s="9"/>
      <c r="D458" s="42"/>
      <c r="E458" s="43"/>
      <c r="F458" s="43"/>
      <c r="G458" s="44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9"/>
      <c r="B459" s="9"/>
      <c r="C459" s="9"/>
      <c r="D459" s="42"/>
      <c r="E459" s="43"/>
      <c r="F459" s="43"/>
      <c r="G459" s="44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9"/>
      <c r="B460" s="9"/>
      <c r="C460" s="9"/>
      <c r="D460" s="42"/>
      <c r="E460" s="43"/>
      <c r="F460" s="43"/>
      <c r="G460" s="44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9"/>
      <c r="B461" s="9"/>
      <c r="C461" s="9"/>
      <c r="D461" s="42"/>
      <c r="E461" s="43"/>
      <c r="F461" s="43"/>
      <c r="G461" s="44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9"/>
      <c r="B462" s="9"/>
      <c r="C462" s="9"/>
      <c r="D462" s="42"/>
      <c r="E462" s="43"/>
      <c r="F462" s="43"/>
      <c r="G462" s="44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9"/>
      <c r="B463" s="9"/>
      <c r="C463" s="9"/>
      <c r="D463" s="42"/>
      <c r="E463" s="43"/>
      <c r="F463" s="43"/>
      <c r="G463" s="44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9"/>
      <c r="B464" s="9"/>
      <c r="C464" s="9"/>
      <c r="D464" s="42"/>
      <c r="E464" s="43"/>
      <c r="F464" s="43"/>
      <c r="G464" s="44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9"/>
      <c r="B465" s="9"/>
      <c r="C465" s="9"/>
      <c r="D465" s="42"/>
      <c r="E465" s="43"/>
      <c r="F465" s="43"/>
      <c r="G465" s="44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9"/>
      <c r="B466" s="9"/>
      <c r="C466" s="9"/>
      <c r="D466" s="42"/>
      <c r="E466" s="43"/>
      <c r="F466" s="43"/>
      <c r="G466" s="44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9"/>
      <c r="B467" s="9"/>
      <c r="C467" s="9"/>
      <c r="D467" s="42"/>
      <c r="E467" s="43"/>
      <c r="F467" s="43"/>
      <c r="G467" s="44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9"/>
      <c r="B468" s="9"/>
      <c r="C468" s="9"/>
      <c r="D468" s="42"/>
      <c r="E468" s="43"/>
      <c r="F468" s="43"/>
      <c r="G468" s="44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9"/>
      <c r="B469" s="9"/>
      <c r="C469" s="9"/>
      <c r="D469" s="42"/>
      <c r="E469" s="43"/>
      <c r="F469" s="43"/>
      <c r="G469" s="44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9"/>
      <c r="B470" s="9"/>
      <c r="C470" s="9"/>
      <c r="D470" s="42"/>
      <c r="E470" s="43"/>
      <c r="F470" s="43"/>
      <c r="G470" s="44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9"/>
      <c r="B471" s="9"/>
      <c r="C471" s="9"/>
      <c r="D471" s="42"/>
      <c r="E471" s="43"/>
      <c r="F471" s="43"/>
      <c r="G471" s="44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9"/>
      <c r="B472" s="9"/>
      <c r="C472" s="9"/>
      <c r="D472" s="42"/>
      <c r="E472" s="43"/>
      <c r="F472" s="43"/>
      <c r="G472" s="44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9"/>
      <c r="B473" s="9"/>
      <c r="C473" s="9"/>
      <c r="D473" s="42"/>
      <c r="E473" s="43"/>
      <c r="F473" s="43"/>
      <c r="G473" s="44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9"/>
      <c r="B474" s="9"/>
      <c r="C474" s="9"/>
      <c r="D474" s="42"/>
      <c r="E474" s="43"/>
      <c r="F474" s="43"/>
      <c r="G474" s="44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9"/>
      <c r="B475" s="9"/>
      <c r="C475" s="9"/>
      <c r="D475" s="42"/>
      <c r="E475" s="43"/>
      <c r="F475" s="43"/>
      <c r="G475" s="44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9"/>
      <c r="B476" s="9"/>
      <c r="C476" s="9"/>
      <c r="D476" s="42"/>
      <c r="E476" s="43"/>
      <c r="F476" s="43"/>
      <c r="G476" s="44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9"/>
      <c r="B477" s="9"/>
      <c r="C477" s="9"/>
      <c r="D477" s="42"/>
      <c r="E477" s="43"/>
      <c r="F477" s="43"/>
      <c r="G477" s="44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9"/>
      <c r="B478" s="9"/>
      <c r="C478" s="9"/>
      <c r="D478" s="42"/>
      <c r="E478" s="43"/>
      <c r="F478" s="43"/>
      <c r="G478" s="44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9"/>
      <c r="B479" s="9"/>
      <c r="C479" s="9"/>
      <c r="D479" s="42"/>
      <c r="E479" s="43"/>
      <c r="F479" s="43"/>
      <c r="G479" s="44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9"/>
      <c r="B480" s="9"/>
      <c r="C480" s="9"/>
      <c r="D480" s="42"/>
      <c r="E480" s="43"/>
      <c r="F480" s="43"/>
      <c r="G480" s="44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9"/>
      <c r="B481" s="9"/>
      <c r="C481" s="9"/>
      <c r="D481" s="42"/>
      <c r="E481" s="43"/>
      <c r="F481" s="43"/>
      <c r="G481" s="44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9"/>
      <c r="B482" s="9"/>
      <c r="C482" s="9"/>
      <c r="D482" s="42"/>
      <c r="E482" s="43"/>
      <c r="F482" s="43"/>
      <c r="G482" s="44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9"/>
      <c r="B483" s="9"/>
      <c r="C483" s="9"/>
      <c r="D483" s="42"/>
      <c r="E483" s="43"/>
      <c r="F483" s="43"/>
      <c r="G483" s="44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9"/>
      <c r="B484" s="9"/>
      <c r="C484" s="9"/>
      <c r="D484" s="42"/>
      <c r="E484" s="43"/>
      <c r="F484" s="43"/>
      <c r="G484" s="44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9"/>
      <c r="B485" s="9"/>
      <c r="C485" s="9"/>
      <c r="D485" s="42"/>
      <c r="E485" s="43"/>
      <c r="F485" s="43"/>
      <c r="G485" s="44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9"/>
      <c r="B486" s="9"/>
      <c r="C486" s="9"/>
      <c r="D486" s="42"/>
      <c r="E486" s="43"/>
      <c r="F486" s="43"/>
      <c r="G486" s="44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9"/>
      <c r="B487" s="9"/>
      <c r="C487" s="9"/>
      <c r="D487" s="42"/>
      <c r="E487" s="43"/>
      <c r="F487" s="43"/>
      <c r="G487" s="44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9"/>
      <c r="B488" s="9"/>
      <c r="C488" s="9"/>
      <c r="D488" s="42"/>
      <c r="E488" s="43"/>
      <c r="F488" s="43"/>
      <c r="G488" s="44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9"/>
      <c r="B489" s="9"/>
      <c r="C489" s="9"/>
      <c r="D489" s="42"/>
      <c r="E489" s="43"/>
      <c r="F489" s="43"/>
      <c r="G489" s="44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9"/>
      <c r="B490" s="9"/>
      <c r="C490" s="9"/>
      <c r="D490" s="42"/>
      <c r="E490" s="43"/>
      <c r="F490" s="43"/>
      <c r="G490" s="44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9"/>
      <c r="B491" s="9"/>
      <c r="C491" s="9"/>
      <c r="D491" s="42"/>
      <c r="E491" s="43"/>
      <c r="F491" s="43"/>
      <c r="G491" s="44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9"/>
      <c r="B492" s="9"/>
      <c r="C492" s="9"/>
      <c r="D492" s="42"/>
      <c r="E492" s="43"/>
      <c r="F492" s="43"/>
      <c r="G492" s="44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9"/>
      <c r="B493" s="9"/>
      <c r="C493" s="9"/>
      <c r="D493" s="42"/>
      <c r="E493" s="43"/>
      <c r="F493" s="43"/>
      <c r="G493" s="44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9"/>
      <c r="B494" s="9"/>
      <c r="C494" s="9"/>
      <c r="D494" s="42"/>
      <c r="E494" s="43"/>
      <c r="F494" s="43"/>
      <c r="G494" s="44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9"/>
      <c r="B495" s="9"/>
      <c r="C495" s="9"/>
      <c r="D495" s="42"/>
      <c r="E495" s="43"/>
      <c r="F495" s="43"/>
      <c r="G495" s="44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9"/>
      <c r="B496" s="9"/>
      <c r="C496" s="9"/>
      <c r="D496" s="42"/>
      <c r="E496" s="43"/>
      <c r="F496" s="43"/>
      <c r="G496" s="44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9"/>
      <c r="B497" s="9"/>
      <c r="C497" s="9"/>
      <c r="D497" s="42"/>
      <c r="E497" s="43"/>
      <c r="F497" s="43"/>
      <c r="G497" s="44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9"/>
      <c r="B498" s="9"/>
      <c r="C498" s="9"/>
      <c r="D498" s="42"/>
      <c r="E498" s="43"/>
      <c r="F498" s="43"/>
      <c r="G498" s="44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9"/>
      <c r="B499" s="9"/>
      <c r="C499" s="9"/>
      <c r="D499" s="42"/>
      <c r="E499" s="43"/>
      <c r="F499" s="43"/>
      <c r="G499" s="44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9"/>
      <c r="B500" s="9"/>
      <c r="C500" s="9"/>
      <c r="D500" s="42"/>
      <c r="E500" s="43"/>
      <c r="F500" s="43"/>
      <c r="G500" s="44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9"/>
      <c r="B501" s="9"/>
      <c r="C501" s="9"/>
      <c r="D501" s="42"/>
      <c r="E501" s="43"/>
      <c r="F501" s="43"/>
      <c r="G501" s="44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9"/>
      <c r="B502" s="9"/>
      <c r="C502" s="9"/>
      <c r="D502" s="42"/>
      <c r="E502" s="43"/>
      <c r="F502" s="43"/>
      <c r="G502" s="44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9"/>
      <c r="B503" s="9"/>
      <c r="C503" s="9"/>
      <c r="D503" s="42"/>
      <c r="E503" s="43"/>
      <c r="F503" s="43"/>
      <c r="G503" s="44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9"/>
      <c r="B504" s="9"/>
      <c r="C504" s="9"/>
      <c r="D504" s="42"/>
      <c r="E504" s="43"/>
      <c r="F504" s="43"/>
      <c r="G504" s="44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9"/>
      <c r="B505" s="9"/>
      <c r="C505" s="9"/>
      <c r="D505" s="42"/>
      <c r="E505" s="43"/>
      <c r="F505" s="43"/>
      <c r="G505" s="44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9"/>
      <c r="B506" s="9"/>
      <c r="C506" s="9"/>
      <c r="D506" s="42"/>
      <c r="E506" s="43"/>
      <c r="F506" s="43"/>
      <c r="G506" s="44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9"/>
      <c r="B507" s="9"/>
      <c r="C507" s="9"/>
      <c r="D507" s="42"/>
      <c r="E507" s="43"/>
      <c r="F507" s="43"/>
      <c r="G507" s="44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9"/>
      <c r="B508" s="9"/>
      <c r="C508" s="9"/>
      <c r="D508" s="42"/>
      <c r="E508" s="43"/>
      <c r="F508" s="43"/>
      <c r="G508" s="44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9"/>
      <c r="B509" s="9"/>
      <c r="C509" s="9"/>
      <c r="D509" s="42"/>
      <c r="E509" s="43"/>
      <c r="F509" s="43"/>
      <c r="G509" s="44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9"/>
      <c r="B510" s="9"/>
      <c r="C510" s="9"/>
      <c r="D510" s="42"/>
      <c r="E510" s="43"/>
      <c r="F510" s="43"/>
      <c r="G510" s="44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9"/>
      <c r="B511" s="9"/>
      <c r="C511" s="9"/>
      <c r="D511" s="42"/>
      <c r="E511" s="43"/>
      <c r="F511" s="43"/>
      <c r="G511" s="44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9"/>
      <c r="B512" s="9"/>
      <c r="C512" s="9"/>
      <c r="D512" s="42"/>
      <c r="E512" s="43"/>
      <c r="F512" s="43"/>
      <c r="G512" s="44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9"/>
      <c r="B513" s="9"/>
      <c r="C513" s="9"/>
      <c r="D513" s="42"/>
      <c r="E513" s="43"/>
      <c r="F513" s="43"/>
      <c r="G513" s="44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9"/>
      <c r="B514" s="9"/>
      <c r="C514" s="9"/>
      <c r="D514" s="42"/>
      <c r="E514" s="43"/>
      <c r="F514" s="43"/>
      <c r="G514" s="44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9"/>
      <c r="B515" s="9"/>
      <c r="C515" s="9"/>
      <c r="D515" s="42"/>
      <c r="E515" s="43"/>
      <c r="F515" s="43"/>
      <c r="G515" s="44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9"/>
      <c r="B516" s="9"/>
      <c r="C516" s="9"/>
      <c r="D516" s="42"/>
      <c r="E516" s="43"/>
      <c r="F516" s="43"/>
      <c r="G516" s="44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9"/>
      <c r="B517" s="9"/>
      <c r="C517" s="9"/>
      <c r="D517" s="42"/>
      <c r="E517" s="43"/>
      <c r="F517" s="43"/>
      <c r="G517" s="44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9"/>
      <c r="B518" s="9"/>
      <c r="C518" s="9"/>
      <c r="D518" s="42"/>
      <c r="E518" s="43"/>
      <c r="F518" s="43"/>
      <c r="G518" s="44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9"/>
      <c r="B519" s="9"/>
      <c r="C519" s="9"/>
      <c r="D519" s="42"/>
      <c r="E519" s="43"/>
      <c r="F519" s="43"/>
      <c r="G519" s="44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9"/>
      <c r="B520" s="9"/>
      <c r="C520" s="9"/>
      <c r="D520" s="42"/>
      <c r="E520" s="43"/>
      <c r="F520" s="43"/>
      <c r="G520" s="44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9"/>
      <c r="B521" s="9"/>
      <c r="C521" s="9"/>
      <c r="D521" s="42"/>
      <c r="E521" s="43"/>
      <c r="F521" s="43"/>
      <c r="G521" s="44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9"/>
      <c r="B522" s="9"/>
      <c r="C522" s="9"/>
      <c r="D522" s="42"/>
      <c r="E522" s="43"/>
      <c r="F522" s="43"/>
      <c r="G522" s="44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9"/>
      <c r="B523" s="9"/>
      <c r="C523" s="9"/>
      <c r="D523" s="42"/>
      <c r="E523" s="43"/>
      <c r="F523" s="43"/>
      <c r="G523" s="44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9"/>
      <c r="B524" s="9"/>
      <c r="C524" s="9"/>
      <c r="D524" s="42"/>
      <c r="E524" s="43"/>
      <c r="F524" s="43"/>
      <c r="G524" s="44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9"/>
      <c r="B525" s="9"/>
      <c r="C525" s="9"/>
      <c r="D525" s="42"/>
      <c r="E525" s="43"/>
      <c r="F525" s="43"/>
      <c r="G525" s="44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9"/>
      <c r="B526" s="9"/>
      <c r="C526" s="9"/>
      <c r="D526" s="42"/>
      <c r="E526" s="43"/>
      <c r="F526" s="43"/>
      <c r="G526" s="44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9"/>
      <c r="B527" s="9"/>
      <c r="C527" s="9"/>
      <c r="D527" s="42"/>
      <c r="E527" s="43"/>
      <c r="F527" s="43"/>
      <c r="G527" s="44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9"/>
      <c r="B528" s="9"/>
      <c r="C528" s="9"/>
      <c r="D528" s="42"/>
      <c r="E528" s="43"/>
      <c r="F528" s="43"/>
      <c r="G528" s="44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9"/>
      <c r="B529" s="9"/>
      <c r="C529" s="9"/>
      <c r="D529" s="42"/>
      <c r="E529" s="43"/>
      <c r="F529" s="43"/>
      <c r="G529" s="44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9"/>
      <c r="B530" s="9"/>
      <c r="C530" s="9"/>
      <c r="D530" s="42"/>
      <c r="E530" s="43"/>
      <c r="F530" s="43"/>
      <c r="G530" s="44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9"/>
      <c r="B531" s="9"/>
      <c r="C531" s="9"/>
      <c r="D531" s="42"/>
      <c r="E531" s="43"/>
      <c r="F531" s="43"/>
      <c r="G531" s="44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9"/>
      <c r="B532" s="9"/>
      <c r="C532" s="9"/>
      <c r="D532" s="42"/>
      <c r="E532" s="43"/>
      <c r="F532" s="43"/>
      <c r="G532" s="44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9"/>
      <c r="B533" s="9"/>
      <c r="C533" s="9"/>
      <c r="D533" s="42"/>
      <c r="E533" s="43"/>
      <c r="F533" s="43"/>
      <c r="G533" s="44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9"/>
      <c r="B534" s="9"/>
      <c r="C534" s="9"/>
      <c r="D534" s="42"/>
      <c r="E534" s="43"/>
      <c r="F534" s="43"/>
      <c r="G534" s="44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9"/>
      <c r="B535" s="9"/>
      <c r="C535" s="9"/>
      <c r="D535" s="42"/>
      <c r="E535" s="43"/>
      <c r="F535" s="43"/>
      <c r="G535" s="44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9"/>
      <c r="B536" s="9"/>
      <c r="C536" s="9"/>
      <c r="D536" s="42"/>
      <c r="E536" s="43"/>
      <c r="F536" s="43"/>
      <c r="G536" s="44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9"/>
      <c r="B537" s="9"/>
      <c r="C537" s="9"/>
      <c r="D537" s="42"/>
      <c r="E537" s="43"/>
      <c r="F537" s="43"/>
      <c r="G537" s="44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9"/>
      <c r="B538" s="9"/>
      <c r="C538" s="9"/>
      <c r="D538" s="42"/>
      <c r="E538" s="43"/>
      <c r="F538" s="43"/>
      <c r="G538" s="44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9"/>
      <c r="B539" s="9"/>
      <c r="C539" s="9"/>
      <c r="D539" s="42"/>
      <c r="E539" s="43"/>
      <c r="F539" s="43"/>
      <c r="G539" s="44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9"/>
      <c r="B540" s="9"/>
      <c r="C540" s="9"/>
      <c r="D540" s="42"/>
      <c r="E540" s="43"/>
      <c r="F540" s="43"/>
      <c r="G540" s="44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9"/>
      <c r="B541" s="9"/>
      <c r="C541" s="9"/>
      <c r="D541" s="42"/>
      <c r="E541" s="43"/>
      <c r="F541" s="43"/>
      <c r="G541" s="44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9"/>
      <c r="B542" s="9"/>
      <c r="C542" s="9"/>
      <c r="D542" s="42"/>
      <c r="E542" s="43"/>
      <c r="F542" s="43"/>
      <c r="G542" s="44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9"/>
      <c r="B543" s="9"/>
      <c r="C543" s="9"/>
      <c r="D543" s="42"/>
      <c r="E543" s="43"/>
      <c r="F543" s="43"/>
      <c r="G543" s="44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9"/>
      <c r="B544" s="9"/>
      <c r="C544" s="9"/>
      <c r="D544" s="42"/>
      <c r="E544" s="43"/>
      <c r="F544" s="43"/>
      <c r="G544" s="44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9"/>
      <c r="B545" s="9"/>
      <c r="C545" s="9"/>
      <c r="D545" s="42"/>
      <c r="E545" s="43"/>
      <c r="F545" s="43"/>
      <c r="G545" s="44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9"/>
      <c r="B546" s="9"/>
      <c r="C546" s="9"/>
      <c r="D546" s="42"/>
      <c r="E546" s="43"/>
      <c r="F546" s="43"/>
      <c r="G546" s="44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9"/>
      <c r="B547" s="9"/>
      <c r="C547" s="9"/>
      <c r="D547" s="42"/>
      <c r="E547" s="43"/>
      <c r="F547" s="43"/>
      <c r="G547" s="44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9"/>
      <c r="B548" s="9"/>
      <c r="C548" s="9"/>
      <c r="D548" s="42"/>
      <c r="E548" s="43"/>
      <c r="F548" s="43"/>
      <c r="G548" s="44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9"/>
      <c r="B549" s="9"/>
      <c r="C549" s="9"/>
      <c r="D549" s="42"/>
      <c r="E549" s="43"/>
      <c r="F549" s="43"/>
      <c r="G549" s="44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9"/>
      <c r="B550" s="9"/>
      <c r="C550" s="9"/>
      <c r="D550" s="42"/>
      <c r="E550" s="43"/>
      <c r="F550" s="43"/>
      <c r="G550" s="44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9"/>
      <c r="B551" s="9"/>
      <c r="C551" s="9"/>
      <c r="D551" s="42"/>
      <c r="E551" s="43"/>
      <c r="F551" s="43"/>
      <c r="G551" s="44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9"/>
      <c r="B552" s="9"/>
      <c r="C552" s="9"/>
      <c r="D552" s="42"/>
      <c r="E552" s="43"/>
      <c r="F552" s="43"/>
      <c r="G552" s="44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9"/>
      <c r="B553" s="9"/>
      <c r="C553" s="9"/>
      <c r="D553" s="42"/>
      <c r="E553" s="43"/>
      <c r="F553" s="43"/>
      <c r="G553" s="44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9"/>
      <c r="B554" s="9"/>
      <c r="C554" s="9"/>
      <c r="D554" s="42"/>
      <c r="E554" s="43"/>
      <c r="F554" s="43"/>
      <c r="G554" s="44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9"/>
      <c r="B555" s="9"/>
      <c r="C555" s="9"/>
      <c r="D555" s="42"/>
      <c r="E555" s="43"/>
      <c r="F555" s="43"/>
      <c r="G555" s="44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9"/>
      <c r="B556" s="9"/>
      <c r="C556" s="9"/>
      <c r="D556" s="42"/>
      <c r="E556" s="43"/>
      <c r="F556" s="43"/>
      <c r="G556" s="44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9"/>
      <c r="B557" s="9"/>
      <c r="C557" s="9"/>
      <c r="D557" s="42"/>
      <c r="E557" s="43"/>
      <c r="F557" s="43"/>
      <c r="G557" s="44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9"/>
      <c r="B558" s="9"/>
      <c r="C558" s="9"/>
      <c r="D558" s="42"/>
      <c r="E558" s="43"/>
      <c r="F558" s="43"/>
      <c r="G558" s="44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9"/>
      <c r="B559" s="9"/>
      <c r="C559" s="9"/>
      <c r="D559" s="42"/>
      <c r="E559" s="43"/>
      <c r="F559" s="43"/>
      <c r="G559" s="44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9"/>
      <c r="B560" s="9"/>
      <c r="C560" s="9"/>
      <c r="D560" s="42"/>
      <c r="E560" s="43"/>
      <c r="F560" s="43"/>
      <c r="G560" s="44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9"/>
      <c r="B561" s="9"/>
      <c r="C561" s="9"/>
      <c r="D561" s="42"/>
      <c r="E561" s="43"/>
      <c r="F561" s="43"/>
      <c r="G561" s="44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9"/>
      <c r="B562" s="9"/>
      <c r="C562" s="9"/>
      <c r="D562" s="42"/>
      <c r="E562" s="43"/>
      <c r="F562" s="43"/>
      <c r="G562" s="44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9"/>
      <c r="B563" s="9"/>
      <c r="C563" s="9"/>
      <c r="D563" s="42"/>
      <c r="E563" s="43"/>
      <c r="F563" s="43"/>
      <c r="G563" s="44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9"/>
      <c r="B564" s="9"/>
      <c r="C564" s="9"/>
      <c r="D564" s="42"/>
      <c r="E564" s="43"/>
      <c r="F564" s="43"/>
      <c r="G564" s="44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9"/>
      <c r="B565" s="9"/>
      <c r="C565" s="9"/>
      <c r="D565" s="42"/>
      <c r="E565" s="43"/>
      <c r="F565" s="43"/>
      <c r="G565" s="44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9"/>
      <c r="B566" s="9"/>
      <c r="C566" s="9"/>
      <c r="D566" s="42"/>
      <c r="E566" s="43"/>
      <c r="F566" s="43"/>
      <c r="G566" s="44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9"/>
      <c r="B567" s="9"/>
      <c r="C567" s="9"/>
      <c r="D567" s="42"/>
      <c r="E567" s="43"/>
      <c r="F567" s="43"/>
      <c r="G567" s="44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9"/>
      <c r="B568" s="9"/>
      <c r="C568" s="9"/>
      <c r="D568" s="42"/>
      <c r="E568" s="43"/>
      <c r="F568" s="43"/>
      <c r="G568" s="44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9"/>
      <c r="B569" s="9"/>
      <c r="C569" s="9"/>
      <c r="D569" s="42"/>
      <c r="E569" s="43"/>
      <c r="F569" s="43"/>
      <c r="G569" s="44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9"/>
      <c r="B570" s="9"/>
      <c r="C570" s="9"/>
      <c r="D570" s="42"/>
      <c r="E570" s="43"/>
      <c r="F570" s="43"/>
      <c r="G570" s="44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9"/>
      <c r="B571" s="9"/>
      <c r="C571" s="9"/>
      <c r="D571" s="42"/>
      <c r="E571" s="43"/>
      <c r="F571" s="43"/>
      <c r="G571" s="44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9"/>
      <c r="B572" s="9"/>
      <c r="C572" s="9"/>
      <c r="D572" s="42"/>
      <c r="E572" s="43"/>
      <c r="F572" s="43"/>
      <c r="G572" s="44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9"/>
      <c r="B573" s="9"/>
      <c r="C573" s="9"/>
      <c r="D573" s="42"/>
      <c r="E573" s="43"/>
      <c r="F573" s="43"/>
      <c r="G573" s="44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9"/>
      <c r="B574" s="9"/>
      <c r="C574" s="9"/>
      <c r="D574" s="42"/>
      <c r="E574" s="43"/>
      <c r="F574" s="43"/>
      <c r="G574" s="44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9"/>
      <c r="B575" s="9"/>
      <c r="C575" s="9"/>
      <c r="D575" s="42"/>
      <c r="E575" s="43"/>
      <c r="F575" s="43"/>
      <c r="G575" s="44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9"/>
      <c r="B576" s="9"/>
      <c r="C576" s="9"/>
      <c r="D576" s="42"/>
      <c r="E576" s="43"/>
      <c r="F576" s="43"/>
      <c r="G576" s="44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9"/>
      <c r="B577" s="9"/>
      <c r="C577" s="9"/>
      <c r="D577" s="42"/>
      <c r="E577" s="43"/>
      <c r="F577" s="43"/>
      <c r="G577" s="44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9"/>
      <c r="B578" s="9"/>
      <c r="C578" s="9"/>
      <c r="D578" s="42"/>
      <c r="E578" s="43"/>
      <c r="F578" s="43"/>
      <c r="G578" s="44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9"/>
      <c r="B579" s="9"/>
      <c r="C579" s="9"/>
      <c r="D579" s="42"/>
      <c r="E579" s="43"/>
      <c r="F579" s="43"/>
      <c r="G579" s="44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9"/>
      <c r="B580" s="9"/>
      <c r="C580" s="9"/>
      <c r="D580" s="42"/>
      <c r="E580" s="43"/>
      <c r="F580" s="43"/>
      <c r="G580" s="44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9"/>
      <c r="B581" s="9"/>
      <c r="C581" s="9"/>
      <c r="D581" s="42"/>
      <c r="E581" s="43"/>
      <c r="F581" s="43"/>
      <c r="G581" s="44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9"/>
      <c r="B582" s="9"/>
      <c r="C582" s="9"/>
      <c r="D582" s="42"/>
      <c r="E582" s="43"/>
      <c r="F582" s="43"/>
      <c r="G582" s="44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9"/>
      <c r="B583" s="9"/>
      <c r="C583" s="9"/>
      <c r="D583" s="42"/>
      <c r="E583" s="43"/>
      <c r="F583" s="43"/>
      <c r="G583" s="44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9"/>
      <c r="B584" s="9"/>
      <c r="C584" s="9"/>
      <c r="D584" s="42"/>
      <c r="E584" s="43"/>
      <c r="F584" s="43"/>
      <c r="G584" s="44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9"/>
      <c r="B585" s="9"/>
      <c r="C585" s="9"/>
      <c r="D585" s="42"/>
      <c r="E585" s="43"/>
      <c r="F585" s="43"/>
      <c r="G585" s="44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9"/>
      <c r="B586" s="9"/>
      <c r="C586" s="9"/>
      <c r="D586" s="42"/>
      <c r="E586" s="43"/>
      <c r="F586" s="43"/>
      <c r="G586" s="44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9"/>
      <c r="B587" s="9"/>
      <c r="C587" s="9"/>
      <c r="D587" s="42"/>
      <c r="E587" s="43"/>
      <c r="F587" s="43"/>
      <c r="G587" s="44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9"/>
      <c r="B588" s="9"/>
      <c r="C588" s="9"/>
      <c r="D588" s="42"/>
      <c r="E588" s="43"/>
      <c r="F588" s="43"/>
      <c r="G588" s="44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9"/>
      <c r="B589" s="9"/>
      <c r="C589" s="9"/>
      <c r="D589" s="42"/>
      <c r="E589" s="43"/>
      <c r="F589" s="43"/>
      <c r="G589" s="44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9"/>
      <c r="B590" s="9"/>
      <c r="C590" s="9"/>
      <c r="D590" s="42"/>
      <c r="E590" s="43"/>
      <c r="F590" s="43"/>
      <c r="G590" s="44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9"/>
      <c r="B591" s="9"/>
      <c r="C591" s="9"/>
      <c r="D591" s="42"/>
      <c r="E591" s="43"/>
      <c r="F591" s="43"/>
      <c r="G591" s="44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9"/>
      <c r="B592" s="9"/>
      <c r="C592" s="9"/>
      <c r="D592" s="42"/>
      <c r="E592" s="43"/>
      <c r="F592" s="43"/>
      <c r="G592" s="44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9"/>
      <c r="B593" s="9"/>
      <c r="C593" s="9"/>
      <c r="D593" s="42"/>
      <c r="E593" s="43"/>
      <c r="F593" s="43"/>
      <c r="G593" s="44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9"/>
      <c r="B594" s="9"/>
      <c r="C594" s="9"/>
      <c r="D594" s="42"/>
      <c r="E594" s="43"/>
      <c r="F594" s="43"/>
      <c r="G594" s="44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9"/>
      <c r="B595" s="9"/>
      <c r="C595" s="9"/>
      <c r="D595" s="42"/>
      <c r="E595" s="43"/>
      <c r="F595" s="43"/>
      <c r="G595" s="44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9"/>
      <c r="B596" s="9"/>
      <c r="C596" s="9"/>
      <c r="D596" s="42"/>
      <c r="E596" s="43"/>
      <c r="F596" s="43"/>
      <c r="G596" s="44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9"/>
      <c r="B597" s="9"/>
      <c r="C597" s="9"/>
      <c r="D597" s="42"/>
      <c r="E597" s="43"/>
      <c r="F597" s="43"/>
      <c r="G597" s="44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9"/>
      <c r="B598" s="9"/>
      <c r="C598" s="9"/>
      <c r="D598" s="42"/>
      <c r="E598" s="43"/>
      <c r="F598" s="43"/>
      <c r="G598" s="44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9"/>
      <c r="B599" s="9"/>
      <c r="C599" s="9"/>
      <c r="D599" s="42"/>
      <c r="E599" s="43"/>
      <c r="F599" s="43"/>
      <c r="G599" s="44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9"/>
      <c r="B600" s="9"/>
      <c r="C600" s="9"/>
      <c r="D600" s="42"/>
      <c r="E600" s="43"/>
      <c r="F600" s="43"/>
      <c r="G600" s="44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9"/>
      <c r="B601" s="9"/>
      <c r="C601" s="9"/>
      <c r="D601" s="42"/>
      <c r="E601" s="43"/>
      <c r="F601" s="43"/>
      <c r="G601" s="44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9"/>
      <c r="B602" s="9"/>
      <c r="C602" s="9"/>
      <c r="D602" s="42"/>
      <c r="E602" s="43"/>
      <c r="F602" s="43"/>
      <c r="G602" s="44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9"/>
      <c r="B603" s="9"/>
      <c r="C603" s="9"/>
      <c r="D603" s="42"/>
      <c r="E603" s="43"/>
      <c r="F603" s="43"/>
      <c r="G603" s="44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9"/>
      <c r="B604" s="9"/>
      <c r="C604" s="9"/>
      <c r="D604" s="42"/>
      <c r="E604" s="43"/>
      <c r="F604" s="43"/>
      <c r="G604" s="44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9"/>
      <c r="B605" s="9"/>
      <c r="C605" s="9"/>
      <c r="D605" s="42"/>
      <c r="E605" s="43"/>
      <c r="F605" s="43"/>
      <c r="G605" s="44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9"/>
      <c r="B606" s="9"/>
      <c r="C606" s="9"/>
      <c r="D606" s="42"/>
      <c r="E606" s="43"/>
      <c r="F606" s="43"/>
      <c r="G606" s="44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9"/>
      <c r="B607" s="9"/>
      <c r="C607" s="9"/>
      <c r="D607" s="42"/>
      <c r="E607" s="43"/>
      <c r="F607" s="43"/>
      <c r="G607" s="44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9"/>
      <c r="B608" s="9"/>
      <c r="C608" s="9"/>
      <c r="D608" s="42"/>
      <c r="E608" s="43"/>
      <c r="F608" s="43"/>
      <c r="G608" s="44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9"/>
      <c r="B609" s="9"/>
      <c r="C609" s="9"/>
      <c r="D609" s="42"/>
      <c r="E609" s="43"/>
      <c r="F609" s="43"/>
      <c r="G609" s="44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9"/>
      <c r="B610" s="9"/>
      <c r="C610" s="9"/>
      <c r="D610" s="42"/>
      <c r="E610" s="43"/>
      <c r="F610" s="43"/>
      <c r="G610" s="44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9"/>
      <c r="B611" s="9"/>
      <c r="C611" s="9"/>
      <c r="D611" s="42"/>
      <c r="E611" s="43"/>
      <c r="F611" s="43"/>
      <c r="G611" s="44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9"/>
      <c r="B612" s="9"/>
      <c r="C612" s="9"/>
      <c r="D612" s="42"/>
      <c r="E612" s="43"/>
      <c r="F612" s="43"/>
      <c r="G612" s="44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9"/>
      <c r="B613" s="9"/>
      <c r="C613" s="9"/>
      <c r="D613" s="42"/>
      <c r="E613" s="43"/>
      <c r="F613" s="43"/>
      <c r="G613" s="44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9"/>
      <c r="B614" s="9"/>
      <c r="C614" s="9"/>
      <c r="D614" s="42"/>
      <c r="E614" s="43"/>
      <c r="F614" s="43"/>
      <c r="G614" s="44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9"/>
      <c r="B615" s="9"/>
      <c r="C615" s="9"/>
      <c r="D615" s="42"/>
      <c r="E615" s="43"/>
      <c r="F615" s="43"/>
      <c r="G615" s="44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9"/>
      <c r="B616" s="9"/>
      <c r="C616" s="9"/>
      <c r="D616" s="42"/>
      <c r="E616" s="43"/>
      <c r="F616" s="43"/>
      <c r="G616" s="44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9"/>
      <c r="B617" s="9"/>
      <c r="C617" s="9"/>
      <c r="D617" s="42"/>
      <c r="E617" s="43"/>
      <c r="F617" s="43"/>
      <c r="G617" s="44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9"/>
      <c r="B618" s="9"/>
      <c r="C618" s="9"/>
      <c r="D618" s="42"/>
      <c r="E618" s="43"/>
      <c r="F618" s="43"/>
      <c r="G618" s="44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9"/>
      <c r="B619" s="9"/>
      <c r="C619" s="9"/>
      <c r="D619" s="42"/>
      <c r="E619" s="43"/>
      <c r="F619" s="43"/>
      <c r="G619" s="44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9"/>
      <c r="B620" s="9"/>
      <c r="C620" s="9"/>
      <c r="D620" s="42"/>
      <c r="E620" s="43"/>
      <c r="F620" s="43"/>
      <c r="G620" s="44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9"/>
      <c r="B621" s="9"/>
      <c r="C621" s="9"/>
      <c r="D621" s="42"/>
      <c r="E621" s="43"/>
      <c r="F621" s="43"/>
      <c r="G621" s="44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9"/>
      <c r="B622" s="9"/>
      <c r="C622" s="9"/>
      <c r="D622" s="42"/>
      <c r="E622" s="43"/>
      <c r="F622" s="43"/>
      <c r="G622" s="44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9"/>
      <c r="B623" s="9"/>
      <c r="C623" s="9"/>
      <c r="D623" s="42"/>
      <c r="E623" s="43"/>
      <c r="F623" s="43"/>
      <c r="G623" s="44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9"/>
      <c r="B624" s="9"/>
      <c r="C624" s="9"/>
      <c r="D624" s="42"/>
      <c r="E624" s="43"/>
      <c r="F624" s="43"/>
      <c r="G624" s="44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9"/>
      <c r="B625" s="9"/>
      <c r="C625" s="9"/>
      <c r="D625" s="42"/>
      <c r="E625" s="43"/>
      <c r="F625" s="43"/>
      <c r="G625" s="44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9"/>
      <c r="B626" s="9"/>
      <c r="C626" s="9"/>
      <c r="D626" s="42"/>
      <c r="E626" s="43"/>
      <c r="F626" s="43"/>
      <c r="G626" s="44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9"/>
      <c r="B627" s="9"/>
      <c r="C627" s="9"/>
      <c r="D627" s="42"/>
      <c r="E627" s="43"/>
      <c r="F627" s="43"/>
      <c r="G627" s="44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9"/>
      <c r="B628" s="9"/>
      <c r="C628" s="9"/>
      <c r="D628" s="42"/>
      <c r="E628" s="43"/>
      <c r="F628" s="43"/>
      <c r="G628" s="44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9"/>
      <c r="B629" s="9"/>
      <c r="C629" s="9"/>
      <c r="D629" s="42"/>
      <c r="E629" s="43"/>
      <c r="F629" s="43"/>
      <c r="G629" s="44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9"/>
      <c r="B630" s="9"/>
      <c r="C630" s="9"/>
      <c r="D630" s="42"/>
      <c r="E630" s="43"/>
      <c r="F630" s="43"/>
      <c r="G630" s="44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9"/>
      <c r="B631" s="9"/>
      <c r="C631" s="9"/>
      <c r="D631" s="42"/>
      <c r="E631" s="43"/>
      <c r="F631" s="43"/>
      <c r="G631" s="44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9"/>
      <c r="B632" s="9"/>
      <c r="C632" s="9"/>
      <c r="D632" s="42"/>
      <c r="E632" s="43"/>
      <c r="F632" s="43"/>
      <c r="G632" s="44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9"/>
      <c r="B633" s="9"/>
      <c r="C633" s="9"/>
      <c r="D633" s="42"/>
      <c r="E633" s="43"/>
      <c r="F633" s="43"/>
      <c r="G633" s="44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9"/>
      <c r="B634" s="9"/>
      <c r="C634" s="9"/>
      <c r="D634" s="42"/>
      <c r="E634" s="43"/>
      <c r="F634" s="43"/>
      <c r="G634" s="44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9"/>
      <c r="B635" s="9"/>
      <c r="C635" s="9"/>
      <c r="D635" s="42"/>
      <c r="E635" s="43"/>
      <c r="F635" s="43"/>
      <c r="G635" s="44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9"/>
      <c r="B636" s="9"/>
      <c r="C636" s="9"/>
      <c r="D636" s="42"/>
      <c r="E636" s="43"/>
      <c r="F636" s="43"/>
      <c r="G636" s="44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9"/>
      <c r="B637" s="9"/>
      <c r="C637" s="9"/>
      <c r="D637" s="42"/>
      <c r="E637" s="43"/>
      <c r="F637" s="43"/>
      <c r="G637" s="44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9"/>
      <c r="B638" s="9"/>
      <c r="C638" s="9"/>
      <c r="D638" s="42"/>
      <c r="E638" s="43"/>
      <c r="F638" s="43"/>
      <c r="G638" s="44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9"/>
      <c r="B639" s="9"/>
      <c r="C639" s="9"/>
      <c r="D639" s="42"/>
      <c r="E639" s="43"/>
      <c r="F639" s="43"/>
      <c r="G639" s="44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9"/>
      <c r="B640" s="9"/>
      <c r="C640" s="9"/>
      <c r="D640" s="42"/>
      <c r="E640" s="43"/>
      <c r="F640" s="43"/>
      <c r="G640" s="44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9"/>
      <c r="B641" s="9"/>
      <c r="C641" s="9"/>
      <c r="D641" s="42"/>
      <c r="E641" s="43"/>
      <c r="F641" s="43"/>
      <c r="G641" s="44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9"/>
      <c r="B642" s="9"/>
      <c r="C642" s="9"/>
      <c r="D642" s="42"/>
      <c r="E642" s="43"/>
      <c r="F642" s="43"/>
      <c r="G642" s="44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9"/>
      <c r="B643" s="9"/>
      <c r="C643" s="9"/>
      <c r="D643" s="42"/>
      <c r="E643" s="43"/>
      <c r="F643" s="43"/>
      <c r="G643" s="44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9"/>
      <c r="B644" s="9"/>
      <c r="C644" s="9"/>
      <c r="D644" s="42"/>
      <c r="E644" s="43"/>
      <c r="F644" s="43"/>
      <c r="G644" s="44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9"/>
      <c r="B645" s="9"/>
      <c r="C645" s="9"/>
      <c r="D645" s="42"/>
      <c r="E645" s="43"/>
      <c r="F645" s="43"/>
      <c r="G645" s="44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9"/>
      <c r="B646" s="9"/>
      <c r="C646" s="9"/>
      <c r="D646" s="42"/>
      <c r="E646" s="43"/>
      <c r="F646" s="43"/>
      <c r="G646" s="44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9"/>
      <c r="B647" s="9"/>
      <c r="C647" s="9"/>
      <c r="D647" s="42"/>
      <c r="E647" s="43"/>
      <c r="F647" s="43"/>
      <c r="G647" s="44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9"/>
      <c r="B648" s="9"/>
      <c r="C648" s="9"/>
      <c r="D648" s="42"/>
      <c r="E648" s="43"/>
      <c r="F648" s="43"/>
      <c r="G648" s="44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9"/>
      <c r="B649" s="9"/>
      <c r="C649" s="9"/>
      <c r="D649" s="42"/>
      <c r="E649" s="43"/>
      <c r="F649" s="43"/>
      <c r="G649" s="44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9"/>
      <c r="B650" s="9"/>
      <c r="C650" s="9"/>
      <c r="D650" s="42"/>
      <c r="E650" s="43"/>
      <c r="F650" s="43"/>
      <c r="G650" s="44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9"/>
      <c r="B651" s="9"/>
      <c r="C651" s="9"/>
      <c r="D651" s="42"/>
      <c r="E651" s="43"/>
      <c r="F651" s="43"/>
      <c r="G651" s="44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9"/>
      <c r="B652" s="9"/>
      <c r="C652" s="9"/>
      <c r="D652" s="42"/>
      <c r="E652" s="43"/>
      <c r="F652" s="43"/>
      <c r="G652" s="44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9"/>
      <c r="B653" s="9"/>
      <c r="C653" s="9"/>
      <c r="D653" s="42"/>
      <c r="E653" s="43"/>
      <c r="F653" s="43"/>
      <c r="G653" s="44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9"/>
      <c r="B654" s="9"/>
      <c r="C654" s="9"/>
      <c r="D654" s="42"/>
      <c r="E654" s="43"/>
      <c r="F654" s="43"/>
      <c r="G654" s="44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9"/>
      <c r="B655" s="9"/>
      <c r="C655" s="9"/>
      <c r="D655" s="42"/>
      <c r="E655" s="43"/>
      <c r="F655" s="43"/>
      <c r="G655" s="44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9"/>
      <c r="B656" s="9"/>
      <c r="C656" s="9"/>
      <c r="D656" s="42"/>
      <c r="E656" s="43"/>
      <c r="F656" s="43"/>
      <c r="G656" s="44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9"/>
      <c r="B657" s="9"/>
      <c r="C657" s="9"/>
      <c r="D657" s="42"/>
      <c r="E657" s="43"/>
      <c r="F657" s="43"/>
      <c r="G657" s="44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9"/>
      <c r="B658" s="9"/>
      <c r="C658" s="9"/>
      <c r="D658" s="42"/>
      <c r="E658" s="43"/>
      <c r="F658" s="43"/>
      <c r="G658" s="44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9"/>
      <c r="B659" s="9"/>
      <c r="C659" s="9"/>
      <c r="D659" s="42"/>
      <c r="E659" s="43"/>
      <c r="F659" s="43"/>
      <c r="G659" s="44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9"/>
      <c r="B660" s="9"/>
      <c r="C660" s="9"/>
      <c r="D660" s="42"/>
      <c r="E660" s="43"/>
      <c r="F660" s="43"/>
      <c r="G660" s="44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9"/>
      <c r="B661" s="9"/>
      <c r="C661" s="9"/>
      <c r="D661" s="42"/>
      <c r="E661" s="43"/>
      <c r="F661" s="43"/>
      <c r="G661" s="44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9"/>
      <c r="B662" s="9"/>
      <c r="C662" s="9"/>
      <c r="D662" s="42"/>
      <c r="E662" s="43"/>
      <c r="F662" s="43"/>
      <c r="G662" s="44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9"/>
      <c r="B663" s="9"/>
      <c r="C663" s="9"/>
      <c r="D663" s="42"/>
      <c r="E663" s="43"/>
      <c r="F663" s="43"/>
      <c r="G663" s="44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9"/>
      <c r="B664" s="9"/>
      <c r="C664" s="9"/>
      <c r="D664" s="42"/>
      <c r="E664" s="43"/>
      <c r="F664" s="43"/>
      <c r="G664" s="44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9"/>
      <c r="B665" s="9"/>
      <c r="C665" s="9"/>
      <c r="D665" s="42"/>
      <c r="E665" s="43"/>
      <c r="F665" s="43"/>
      <c r="G665" s="44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9"/>
      <c r="B666" s="9"/>
      <c r="C666" s="9"/>
      <c r="D666" s="42"/>
      <c r="E666" s="43"/>
      <c r="F666" s="43"/>
      <c r="G666" s="44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9"/>
      <c r="B667" s="9"/>
      <c r="C667" s="9"/>
      <c r="D667" s="42"/>
      <c r="E667" s="43"/>
      <c r="F667" s="43"/>
      <c r="G667" s="44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9"/>
      <c r="B668" s="9"/>
      <c r="C668" s="9"/>
      <c r="D668" s="42"/>
      <c r="E668" s="43"/>
      <c r="F668" s="43"/>
      <c r="G668" s="44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9"/>
      <c r="B669" s="9"/>
      <c r="C669" s="9"/>
      <c r="D669" s="42"/>
      <c r="E669" s="43"/>
      <c r="F669" s="43"/>
      <c r="G669" s="44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9"/>
      <c r="B670" s="9"/>
      <c r="C670" s="9"/>
      <c r="D670" s="42"/>
      <c r="E670" s="43"/>
      <c r="F670" s="43"/>
      <c r="G670" s="44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9"/>
      <c r="B671" s="9"/>
      <c r="C671" s="9"/>
      <c r="D671" s="42"/>
      <c r="E671" s="43"/>
      <c r="F671" s="43"/>
      <c r="G671" s="44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9"/>
      <c r="B672" s="9"/>
      <c r="C672" s="9"/>
      <c r="D672" s="42"/>
      <c r="E672" s="43"/>
      <c r="F672" s="43"/>
      <c r="G672" s="44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9"/>
      <c r="B673" s="9"/>
      <c r="C673" s="9"/>
      <c r="D673" s="42"/>
      <c r="E673" s="43"/>
      <c r="F673" s="43"/>
      <c r="G673" s="44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9"/>
      <c r="B674" s="9"/>
      <c r="C674" s="9"/>
      <c r="D674" s="42"/>
      <c r="E674" s="43"/>
      <c r="F674" s="43"/>
      <c r="G674" s="44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9"/>
      <c r="B675" s="9"/>
      <c r="C675" s="9"/>
      <c r="D675" s="42"/>
      <c r="E675" s="43"/>
      <c r="F675" s="43"/>
      <c r="G675" s="44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9"/>
      <c r="B676" s="9"/>
      <c r="C676" s="9"/>
      <c r="D676" s="42"/>
      <c r="E676" s="43"/>
      <c r="F676" s="43"/>
      <c r="G676" s="44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9"/>
      <c r="B677" s="9"/>
      <c r="C677" s="9"/>
      <c r="D677" s="42"/>
      <c r="E677" s="43"/>
      <c r="F677" s="43"/>
      <c r="G677" s="44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9"/>
      <c r="B678" s="9"/>
      <c r="C678" s="9"/>
      <c r="D678" s="42"/>
      <c r="E678" s="43"/>
      <c r="F678" s="43"/>
      <c r="G678" s="44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9"/>
      <c r="B679" s="9"/>
      <c r="C679" s="9"/>
      <c r="D679" s="42"/>
      <c r="E679" s="43"/>
      <c r="F679" s="43"/>
      <c r="G679" s="44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9"/>
      <c r="B680" s="9"/>
      <c r="C680" s="9"/>
      <c r="D680" s="42"/>
      <c r="E680" s="43"/>
      <c r="F680" s="43"/>
      <c r="G680" s="44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9"/>
      <c r="B681" s="9"/>
      <c r="C681" s="9"/>
      <c r="D681" s="42"/>
      <c r="E681" s="43"/>
      <c r="F681" s="43"/>
      <c r="G681" s="44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9"/>
      <c r="B682" s="9"/>
      <c r="C682" s="9"/>
      <c r="D682" s="42"/>
      <c r="E682" s="43"/>
      <c r="F682" s="43"/>
      <c r="G682" s="44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9"/>
      <c r="B683" s="9"/>
      <c r="C683" s="9"/>
      <c r="D683" s="42"/>
      <c r="E683" s="43"/>
      <c r="F683" s="43"/>
      <c r="G683" s="44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9"/>
      <c r="B684" s="9"/>
      <c r="C684" s="9"/>
      <c r="D684" s="42"/>
      <c r="E684" s="43"/>
      <c r="F684" s="43"/>
      <c r="G684" s="44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9"/>
      <c r="B685" s="9"/>
      <c r="C685" s="9"/>
      <c r="D685" s="42"/>
      <c r="E685" s="43"/>
      <c r="F685" s="43"/>
      <c r="G685" s="44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9"/>
      <c r="B686" s="9"/>
      <c r="C686" s="9"/>
      <c r="D686" s="42"/>
      <c r="E686" s="43"/>
      <c r="F686" s="43"/>
      <c r="G686" s="44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9"/>
      <c r="B687" s="9"/>
      <c r="C687" s="9"/>
      <c r="D687" s="42"/>
      <c r="E687" s="43"/>
      <c r="F687" s="43"/>
      <c r="G687" s="44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9"/>
      <c r="B688" s="9"/>
      <c r="C688" s="9"/>
      <c r="D688" s="42"/>
      <c r="E688" s="43"/>
      <c r="F688" s="43"/>
      <c r="G688" s="44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9"/>
      <c r="B689" s="9"/>
      <c r="C689" s="9"/>
      <c r="D689" s="42"/>
      <c r="E689" s="43"/>
      <c r="F689" s="43"/>
      <c r="G689" s="44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9"/>
      <c r="B690" s="9"/>
      <c r="C690" s="9"/>
      <c r="D690" s="42"/>
      <c r="E690" s="43"/>
      <c r="F690" s="43"/>
      <c r="G690" s="44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9"/>
      <c r="B691" s="9"/>
      <c r="C691" s="9"/>
      <c r="D691" s="42"/>
      <c r="E691" s="43"/>
      <c r="F691" s="43"/>
      <c r="G691" s="44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9"/>
      <c r="B692" s="9"/>
      <c r="C692" s="9"/>
      <c r="D692" s="42"/>
      <c r="E692" s="43"/>
      <c r="F692" s="43"/>
      <c r="G692" s="44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9"/>
      <c r="B693" s="9"/>
      <c r="C693" s="9"/>
      <c r="D693" s="42"/>
      <c r="E693" s="43"/>
      <c r="F693" s="43"/>
      <c r="G693" s="44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9"/>
      <c r="B694" s="9"/>
      <c r="C694" s="9"/>
      <c r="D694" s="42"/>
      <c r="E694" s="43"/>
      <c r="F694" s="43"/>
      <c r="G694" s="44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9"/>
      <c r="B695" s="9"/>
      <c r="C695" s="9"/>
      <c r="D695" s="42"/>
      <c r="E695" s="43"/>
      <c r="F695" s="43"/>
      <c r="G695" s="44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9"/>
      <c r="B696" s="9"/>
      <c r="C696" s="9"/>
      <c r="D696" s="42"/>
      <c r="E696" s="43"/>
      <c r="F696" s="43"/>
      <c r="G696" s="44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9"/>
      <c r="B697" s="9"/>
      <c r="C697" s="9"/>
      <c r="D697" s="42"/>
      <c r="E697" s="43"/>
      <c r="F697" s="43"/>
      <c r="G697" s="44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9"/>
      <c r="B698" s="9"/>
      <c r="C698" s="9"/>
      <c r="D698" s="42"/>
      <c r="E698" s="43"/>
      <c r="F698" s="43"/>
      <c r="G698" s="44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9"/>
      <c r="B699" s="9"/>
      <c r="C699" s="9"/>
      <c r="D699" s="42"/>
      <c r="E699" s="43"/>
      <c r="F699" s="43"/>
      <c r="G699" s="44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9"/>
      <c r="B700" s="9"/>
      <c r="C700" s="9"/>
      <c r="D700" s="42"/>
      <c r="E700" s="43"/>
      <c r="F700" s="43"/>
      <c r="G700" s="44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9"/>
      <c r="B701" s="9"/>
      <c r="C701" s="9"/>
      <c r="D701" s="42"/>
      <c r="E701" s="43"/>
      <c r="F701" s="43"/>
      <c r="G701" s="44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9"/>
      <c r="B702" s="9"/>
      <c r="C702" s="9"/>
      <c r="D702" s="42"/>
      <c r="E702" s="43"/>
      <c r="F702" s="43"/>
      <c r="G702" s="44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9"/>
      <c r="B703" s="9"/>
      <c r="C703" s="9"/>
      <c r="D703" s="42"/>
      <c r="E703" s="43"/>
      <c r="F703" s="43"/>
      <c r="G703" s="44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9"/>
      <c r="B704" s="9"/>
      <c r="C704" s="9"/>
      <c r="D704" s="42"/>
      <c r="E704" s="43"/>
      <c r="F704" s="43"/>
      <c r="G704" s="44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9"/>
      <c r="B705" s="9"/>
      <c r="C705" s="9"/>
      <c r="D705" s="42"/>
      <c r="E705" s="43"/>
      <c r="F705" s="43"/>
      <c r="G705" s="44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9"/>
      <c r="B706" s="9"/>
      <c r="C706" s="9"/>
      <c r="D706" s="42"/>
      <c r="E706" s="43"/>
      <c r="F706" s="43"/>
      <c r="G706" s="44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9"/>
      <c r="B707" s="9"/>
      <c r="C707" s="9"/>
      <c r="D707" s="42"/>
      <c r="E707" s="43"/>
      <c r="F707" s="43"/>
      <c r="G707" s="44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9"/>
      <c r="B708" s="9"/>
      <c r="C708" s="9"/>
      <c r="D708" s="42"/>
      <c r="E708" s="43"/>
      <c r="F708" s="43"/>
      <c r="G708" s="44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9"/>
      <c r="B709" s="9"/>
      <c r="C709" s="9"/>
      <c r="D709" s="42"/>
      <c r="E709" s="43"/>
      <c r="F709" s="43"/>
      <c r="G709" s="44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9"/>
      <c r="B710" s="9"/>
      <c r="C710" s="9"/>
      <c r="D710" s="42"/>
      <c r="E710" s="43"/>
      <c r="F710" s="43"/>
      <c r="G710" s="44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9"/>
      <c r="B711" s="9"/>
      <c r="C711" s="9"/>
      <c r="D711" s="42"/>
      <c r="E711" s="43"/>
      <c r="F711" s="43"/>
      <c r="G711" s="44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9"/>
      <c r="B712" s="9"/>
      <c r="C712" s="9"/>
      <c r="D712" s="42"/>
      <c r="E712" s="43"/>
      <c r="F712" s="43"/>
      <c r="G712" s="44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9"/>
      <c r="B713" s="9"/>
      <c r="C713" s="9"/>
      <c r="D713" s="42"/>
      <c r="E713" s="43"/>
      <c r="F713" s="43"/>
      <c r="G713" s="44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9"/>
      <c r="B714" s="9"/>
      <c r="C714" s="9"/>
      <c r="D714" s="42"/>
      <c r="E714" s="43"/>
      <c r="F714" s="43"/>
      <c r="G714" s="44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9"/>
      <c r="B715" s="9"/>
      <c r="C715" s="9"/>
      <c r="D715" s="42"/>
      <c r="E715" s="43"/>
      <c r="F715" s="43"/>
      <c r="G715" s="44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9"/>
      <c r="B716" s="9"/>
      <c r="C716" s="9"/>
      <c r="D716" s="42"/>
      <c r="E716" s="43"/>
      <c r="F716" s="43"/>
      <c r="G716" s="44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9"/>
      <c r="B717" s="9"/>
      <c r="C717" s="9"/>
      <c r="D717" s="42"/>
      <c r="E717" s="43"/>
      <c r="F717" s="43"/>
      <c r="G717" s="44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9"/>
      <c r="B718" s="9"/>
      <c r="C718" s="9"/>
      <c r="D718" s="42"/>
      <c r="E718" s="43"/>
      <c r="F718" s="43"/>
      <c r="G718" s="44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9"/>
      <c r="B719" s="9"/>
      <c r="C719" s="9"/>
      <c r="D719" s="42"/>
      <c r="E719" s="43"/>
      <c r="F719" s="43"/>
      <c r="G719" s="44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9"/>
      <c r="B720" s="9"/>
      <c r="C720" s="9"/>
      <c r="D720" s="42"/>
      <c r="E720" s="43"/>
      <c r="F720" s="43"/>
      <c r="G720" s="44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9"/>
      <c r="B721" s="9"/>
      <c r="C721" s="9"/>
      <c r="D721" s="42"/>
      <c r="E721" s="43"/>
      <c r="F721" s="43"/>
      <c r="G721" s="44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9"/>
      <c r="B722" s="9"/>
      <c r="C722" s="9"/>
      <c r="D722" s="42"/>
      <c r="E722" s="43"/>
      <c r="F722" s="43"/>
      <c r="G722" s="44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9"/>
      <c r="B723" s="9"/>
      <c r="C723" s="9"/>
      <c r="D723" s="42"/>
      <c r="E723" s="43"/>
      <c r="F723" s="43"/>
      <c r="G723" s="44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9"/>
      <c r="B724" s="9"/>
      <c r="C724" s="9"/>
      <c r="D724" s="42"/>
      <c r="E724" s="43"/>
      <c r="F724" s="43"/>
      <c r="G724" s="44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9"/>
      <c r="B725" s="9"/>
      <c r="C725" s="9"/>
      <c r="D725" s="42"/>
      <c r="E725" s="43"/>
      <c r="F725" s="43"/>
      <c r="G725" s="44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9"/>
      <c r="B726" s="9"/>
      <c r="C726" s="9"/>
      <c r="D726" s="42"/>
      <c r="E726" s="43"/>
      <c r="F726" s="43"/>
      <c r="G726" s="44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9"/>
      <c r="B727" s="9"/>
      <c r="C727" s="9"/>
      <c r="D727" s="42"/>
      <c r="E727" s="43"/>
      <c r="F727" s="43"/>
      <c r="G727" s="44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9"/>
      <c r="B728" s="9"/>
      <c r="C728" s="9"/>
      <c r="D728" s="42"/>
      <c r="E728" s="43"/>
      <c r="F728" s="43"/>
      <c r="G728" s="44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9"/>
      <c r="B729" s="9"/>
      <c r="C729" s="9"/>
      <c r="D729" s="42"/>
      <c r="E729" s="43"/>
      <c r="F729" s="43"/>
      <c r="G729" s="44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9"/>
      <c r="B730" s="9"/>
      <c r="C730" s="9"/>
      <c r="D730" s="42"/>
      <c r="E730" s="43"/>
      <c r="F730" s="43"/>
      <c r="G730" s="44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9"/>
      <c r="B731" s="9"/>
      <c r="C731" s="9"/>
      <c r="D731" s="42"/>
      <c r="E731" s="43"/>
      <c r="F731" s="43"/>
      <c r="G731" s="44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9"/>
      <c r="B732" s="9"/>
      <c r="C732" s="9"/>
      <c r="D732" s="42"/>
      <c r="E732" s="43"/>
      <c r="F732" s="43"/>
      <c r="G732" s="44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9"/>
      <c r="B733" s="9"/>
      <c r="C733" s="9"/>
      <c r="D733" s="42"/>
      <c r="E733" s="43"/>
      <c r="F733" s="43"/>
      <c r="G733" s="44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9"/>
      <c r="B734" s="9"/>
      <c r="C734" s="9"/>
      <c r="D734" s="42"/>
      <c r="E734" s="43"/>
      <c r="F734" s="43"/>
      <c r="G734" s="44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9"/>
      <c r="B735" s="9"/>
      <c r="C735" s="9"/>
      <c r="D735" s="42"/>
      <c r="E735" s="43"/>
      <c r="F735" s="43"/>
      <c r="G735" s="44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9"/>
      <c r="B736" s="9"/>
      <c r="C736" s="9"/>
      <c r="D736" s="42"/>
      <c r="E736" s="43"/>
      <c r="F736" s="43"/>
      <c r="G736" s="44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9"/>
      <c r="B737" s="9"/>
      <c r="C737" s="9"/>
      <c r="D737" s="42"/>
      <c r="E737" s="43"/>
      <c r="F737" s="43"/>
      <c r="G737" s="44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9"/>
      <c r="B738" s="9"/>
      <c r="C738" s="9"/>
      <c r="D738" s="42"/>
      <c r="E738" s="43"/>
      <c r="F738" s="43"/>
      <c r="G738" s="44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9"/>
      <c r="B739" s="9"/>
      <c r="C739" s="9"/>
      <c r="D739" s="42"/>
      <c r="E739" s="43"/>
      <c r="F739" s="43"/>
      <c r="G739" s="44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9"/>
      <c r="B740" s="9"/>
      <c r="C740" s="9"/>
      <c r="D740" s="42"/>
      <c r="E740" s="43"/>
      <c r="F740" s="43"/>
      <c r="G740" s="44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9"/>
      <c r="B741" s="9"/>
      <c r="C741" s="9"/>
      <c r="D741" s="42"/>
      <c r="E741" s="43"/>
      <c r="F741" s="43"/>
      <c r="G741" s="44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9"/>
      <c r="B742" s="9"/>
      <c r="C742" s="9"/>
      <c r="D742" s="42"/>
      <c r="E742" s="43"/>
      <c r="F742" s="43"/>
      <c r="G742" s="44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9"/>
      <c r="B743" s="9"/>
      <c r="C743" s="9"/>
      <c r="D743" s="42"/>
      <c r="E743" s="43"/>
      <c r="F743" s="43"/>
      <c r="G743" s="44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9"/>
      <c r="B744" s="9"/>
      <c r="C744" s="9"/>
      <c r="D744" s="42"/>
      <c r="E744" s="43"/>
      <c r="F744" s="43"/>
      <c r="G744" s="44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9"/>
      <c r="B745" s="9"/>
      <c r="C745" s="9"/>
      <c r="D745" s="42"/>
      <c r="E745" s="43"/>
      <c r="F745" s="43"/>
      <c r="G745" s="44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9"/>
      <c r="B746" s="9"/>
      <c r="C746" s="9"/>
      <c r="D746" s="42"/>
      <c r="E746" s="43"/>
      <c r="F746" s="43"/>
      <c r="G746" s="44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9"/>
      <c r="B747" s="9"/>
      <c r="C747" s="9"/>
      <c r="D747" s="42"/>
      <c r="E747" s="43"/>
      <c r="F747" s="43"/>
      <c r="G747" s="44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9"/>
      <c r="B748" s="9"/>
      <c r="C748" s="9"/>
      <c r="D748" s="42"/>
      <c r="E748" s="43"/>
      <c r="F748" s="43"/>
      <c r="G748" s="44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9"/>
      <c r="B749" s="9"/>
      <c r="C749" s="9"/>
      <c r="D749" s="42"/>
      <c r="E749" s="43"/>
      <c r="F749" s="43"/>
      <c r="G749" s="44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9"/>
      <c r="B750" s="9"/>
      <c r="C750" s="9"/>
      <c r="D750" s="42"/>
      <c r="E750" s="43"/>
      <c r="F750" s="43"/>
      <c r="G750" s="44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9"/>
      <c r="B751" s="9"/>
      <c r="C751" s="9"/>
      <c r="D751" s="42"/>
      <c r="E751" s="43"/>
      <c r="F751" s="43"/>
      <c r="G751" s="44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9"/>
      <c r="B752" s="9"/>
      <c r="C752" s="9"/>
      <c r="D752" s="42"/>
      <c r="E752" s="43"/>
      <c r="F752" s="43"/>
      <c r="G752" s="44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9"/>
      <c r="B753" s="9"/>
      <c r="C753" s="9"/>
      <c r="D753" s="42"/>
      <c r="E753" s="43"/>
      <c r="F753" s="43"/>
      <c r="G753" s="44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9"/>
      <c r="B754" s="9"/>
      <c r="C754" s="9"/>
      <c r="D754" s="42"/>
      <c r="E754" s="43"/>
      <c r="F754" s="43"/>
      <c r="G754" s="44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9"/>
      <c r="B755" s="9"/>
      <c r="C755" s="9"/>
      <c r="D755" s="42"/>
      <c r="E755" s="43"/>
      <c r="F755" s="43"/>
      <c r="G755" s="44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9"/>
      <c r="B756" s="9"/>
      <c r="C756" s="9"/>
      <c r="D756" s="42"/>
      <c r="E756" s="43"/>
      <c r="F756" s="43"/>
      <c r="G756" s="44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9"/>
      <c r="B757" s="9"/>
      <c r="C757" s="9"/>
      <c r="D757" s="42"/>
      <c r="E757" s="43"/>
      <c r="F757" s="43"/>
      <c r="G757" s="44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9"/>
      <c r="B758" s="9"/>
      <c r="C758" s="9"/>
      <c r="D758" s="42"/>
      <c r="E758" s="43"/>
      <c r="F758" s="43"/>
      <c r="G758" s="44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9"/>
      <c r="B759" s="9"/>
      <c r="C759" s="9"/>
      <c r="D759" s="42"/>
      <c r="E759" s="43"/>
      <c r="F759" s="43"/>
      <c r="G759" s="44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9"/>
      <c r="B760" s="9"/>
      <c r="C760" s="9"/>
      <c r="D760" s="42"/>
      <c r="E760" s="43"/>
      <c r="F760" s="43"/>
      <c r="G760" s="44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9"/>
      <c r="B761" s="9"/>
      <c r="C761" s="9"/>
      <c r="D761" s="42"/>
      <c r="E761" s="43"/>
      <c r="F761" s="43"/>
      <c r="G761" s="44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9"/>
      <c r="B762" s="9"/>
      <c r="C762" s="9"/>
      <c r="D762" s="42"/>
      <c r="E762" s="43"/>
      <c r="F762" s="43"/>
      <c r="G762" s="44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9"/>
      <c r="B763" s="9"/>
      <c r="C763" s="9"/>
      <c r="D763" s="42"/>
      <c r="E763" s="43"/>
      <c r="F763" s="43"/>
      <c r="G763" s="44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9"/>
      <c r="B764" s="9"/>
      <c r="C764" s="9"/>
      <c r="D764" s="42"/>
      <c r="E764" s="43"/>
      <c r="F764" s="43"/>
      <c r="G764" s="44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9"/>
      <c r="B765" s="9"/>
      <c r="C765" s="9"/>
      <c r="D765" s="42"/>
      <c r="E765" s="43"/>
      <c r="F765" s="43"/>
      <c r="G765" s="44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9"/>
      <c r="B766" s="9"/>
      <c r="C766" s="9"/>
      <c r="D766" s="42"/>
      <c r="E766" s="43"/>
      <c r="F766" s="43"/>
      <c r="G766" s="44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9"/>
      <c r="B767" s="9"/>
      <c r="C767" s="9"/>
      <c r="D767" s="42"/>
      <c r="E767" s="43"/>
      <c r="F767" s="43"/>
      <c r="G767" s="44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9"/>
      <c r="B768" s="9"/>
      <c r="C768" s="9"/>
      <c r="D768" s="42"/>
      <c r="E768" s="43"/>
      <c r="F768" s="43"/>
      <c r="G768" s="44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9"/>
      <c r="B769" s="9"/>
      <c r="C769" s="9"/>
      <c r="D769" s="42"/>
      <c r="E769" s="43"/>
      <c r="F769" s="43"/>
      <c r="G769" s="44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9"/>
      <c r="B770" s="9"/>
      <c r="C770" s="9"/>
      <c r="D770" s="42"/>
      <c r="E770" s="43"/>
      <c r="F770" s="43"/>
      <c r="G770" s="44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9"/>
      <c r="B771" s="9"/>
      <c r="C771" s="9"/>
      <c r="D771" s="42"/>
      <c r="E771" s="43"/>
      <c r="F771" s="43"/>
      <c r="G771" s="44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9"/>
      <c r="B772" s="9"/>
      <c r="C772" s="9"/>
      <c r="D772" s="42"/>
      <c r="E772" s="43"/>
      <c r="F772" s="43"/>
      <c r="G772" s="44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9"/>
      <c r="B773" s="9"/>
      <c r="C773" s="9"/>
      <c r="D773" s="42"/>
      <c r="E773" s="43"/>
      <c r="F773" s="43"/>
      <c r="G773" s="44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9"/>
      <c r="B774" s="9"/>
      <c r="C774" s="9"/>
      <c r="D774" s="42"/>
      <c r="E774" s="43"/>
      <c r="F774" s="43"/>
      <c r="G774" s="44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9"/>
      <c r="B775" s="9"/>
      <c r="C775" s="9"/>
      <c r="D775" s="42"/>
      <c r="E775" s="43"/>
      <c r="F775" s="43"/>
      <c r="G775" s="44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9"/>
      <c r="B776" s="9"/>
      <c r="C776" s="9"/>
      <c r="D776" s="42"/>
      <c r="E776" s="43"/>
      <c r="F776" s="43"/>
      <c r="G776" s="44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9"/>
      <c r="B777" s="9"/>
      <c r="C777" s="9"/>
      <c r="D777" s="42"/>
      <c r="E777" s="43"/>
      <c r="F777" s="43"/>
      <c r="G777" s="44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9"/>
      <c r="B778" s="9"/>
      <c r="C778" s="9"/>
      <c r="D778" s="42"/>
      <c r="E778" s="43"/>
      <c r="F778" s="43"/>
      <c r="G778" s="44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9"/>
      <c r="B779" s="9"/>
      <c r="C779" s="9"/>
      <c r="D779" s="42"/>
      <c r="E779" s="43"/>
      <c r="F779" s="43"/>
      <c r="G779" s="44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9"/>
      <c r="B780" s="9"/>
      <c r="C780" s="9"/>
      <c r="D780" s="42"/>
      <c r="E780" s="43"/>
      <c r="F780" s="43"/>
      <c r="G780" s="44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9"/>
      <c r="B781" s="9"/>
      <c r="C781" s="9"/>
      <c r="D781" s="42"/>
      <c r="E781" s="43"/>
      <c r="F781" s="43"/>
      <c r="G781" s="44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9"/>
      <c r="B782" s="9"/>
      <c r="C782" s="9"/>
      <c r="D782" s="42"/>
      <c r="E782" s="43"/>
      <c r="F782" s="43"/>
      <c r="G782" s="44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9"/>
      <c r="B783" s="9"/>
      <c r="C783" s="9"/>
      <c r="D783" s="42"/>
      <c r="E783" s="43"/>
      <c r="F783" s="43"/>
      <c r="G783" s="44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9"/>
      <c r="B784" s="9"/>
      <c r="C784" s="9"/>
      <c r="D784" s="42"/>
      <c r="E784" s="43"/>
      <c r="F784" s="43"/>
      <c r="G784" s="44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9"/>
      <c r="B785" s="9"/>
      <c r="C785" s="9"/>
      <c r="D785" s="42"/>
      <c r="E785" s="43"/>
      <c r="F785" s="43"/>
      <c r="G785" s="44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9"/>
      <c r="B786" s="9"/>
      <c r="C786" s="9"/>
      <c r="D786" s="42"/>
      <c r="E786" s="43"/>
      <c r="F786" s="43"/>
      <c r="G786" s="44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9"/>
      <c r="B787" s="9"/>
      <c r="C787" s="9"/>
      <c r="D787" s="42"/>
      <c r="E787" s="43"/>
      <c r="F787" s="43"/>
      <c r="G787" s="44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9"/>
      <c r="B788" s="9"/>
      <c r="C788" s="9"/>
      <c r="D788" s="42"/>
      <c r="E788" s="43"/>
      <c r="F788" s="43"/>
      <c r="G788" s="44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9"/>
      <c r="B789" s="9"/>
      <c r="C789" s="9"/>
      <c r="D789" s="42"/>
      <c r="E789" s="43"/>
      <c r="F789" s="43"/>
      <c r="G789" s="44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9"/>
      <c r="B790" s="9"/>
      <c r="C790" s="9"/>
      <c r="D790" s="42"/>
      <c r="E790" s="43"/>
      <c r="F790" s="43"/>
      <c r="G790" s="44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9"/>
      <c r="B791" s="9"/>
      <c r="C791" s="9"/>
      <c r="D791" s="42"/>
      <c r="E791" s="43"/>
      <c r="F791" s="43"/>
      <c r="G791" s="44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9"/>
      <c r="B792" s="9"/>
      <c r="C792" s="9"/>
      <c r="D792" s="42"/>
      <c r="E792" s="43"/>
      <c r="F792" s="43"/>
      <c r="G792" s="44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9"/>
      <c r="B793" s="9"/>
      <c r="C793" s="9"/>
      <c r="D793" s="42"/>
      <c r="E793" s="43"/>
      <c r="F793" s="43"/>
      <c r="G793" s="44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9"/>
      <c r="B794" s="9"/>
      <c r="C794" s="9"/>
      <c r="D794" s="42"/>
      <c r="E794" s="43"/>
      <c r="F794" s="43"/>
      <c r="G794" s="44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9"/>
      <c r="B795" s="9"/>
      <c r="C795" s="9"/>
      <c r="D795" s="42"/>
      <c r="E795" s="43"/>
      <c r="F795" s="43"/>
      <c r="G795" s="44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9"/>
      <c r="B796" s="9"/>
      <c r="C796" s="9"/>
      <c r="D796" s="42"/>
      <c r="E796" s="43"/>
      <c r="F796" s="43"/>
      <c r="G796" s="44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9"/>
      <c r="B797" s="9"/>
      <c r="C797" s="9"/>
      <c r="D797" s="42"/>
      <c r="E797" s="43"/>
      <c r="F797" s="43"/>
      <c r="G797" s="44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9"/>
      <c r="B798" s="9"/>
      <c r="C798" s="9"/>
      <c r="D798" s="42"/>
      <c r="E798" s="43"/>
      <c r="F798" s="43"/>
      <c r="G798" s="44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9"/>
      <c r="B799" s="9"/>
      <c r="C799" s="9"/>
      <c r="D799" s="42"/>
      <c r="E799" s="43"/>
      <c r="F799" s="43"/>
      <c r="G799" s="44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9"/>
      <c r="B800" s="9"/>
      <c r="C800" s="9"/>
      <c r="D800" s="42"/>
      <c r="E800" s="43"/>
      <c r="F800" s="43"/>
      <c r="G800" s="44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9"/>
      <c r="B801" s="9"/>
      <c r="C801" s="9"/>
      <c r="D801" s="42"/>
      <c r="E801" s="43"/>
      <c r="F801" s="43"/>
      <c r="G801" s="44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9"/>
      <c r="B802" s="9"/>
      <c r="C802" s="9"/>
      <c r="D802" s="42"/>
      <c r="E802" s="43"/>
      <c r="F802" s="43"/>
      <c r="G802" s="44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9"/>
      <c r="B803" s="9"/>
      <c r="C803" s="9"/>
      <c r="D803" s="42"/>
      <c r="E803" s="43"/>
      <c r="F803" s="43"/>
      <c r="G803" s="44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9"/>
      <c r="B804" s="9"/>
      <c r="C804" s="9"/>
      <c r="D804" s="42"/>
      <c r="E804" s="43"/>
      <c r="F804" s="43"/>
      <c r="G804" s="44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9"/>
      <c r="B805" s="9"/>
      <c r="C805" s="9"/>
      <c r="D805" s="42"/>
      <c r="E805" s="43"/>
      <c r="F805" s="43"/>
      <c r="G805" s="44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9"/>
      <c r="B806" s="9"/>
      <c r="C806" s="9"/>
      <c r="D806" s="42"/>
      <c r="E806" s="43"/>
      <c r="F806" s="43"/>
      <c r="G806" s="44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9"/>
      <c r="B807" s="9"/>
      <c r="C807" s="9"/>
      <c r="D807" s="42"/>
      <c r="E807" s="43"/>
      <c r="F807" s="43"/>
      <c r="G807" s="44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9"/>
      <c r="B808" s="9"/>
      <c r="C808" s="9"/>
      <c r="D808" s="42"/>
      <c r="E808" s="43"/>
      <c r="F808" s="43"/>
      <c r="G808" s="44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9"/>
      <c r="B809" s="9"/>
      <c r="C809" s="9"/>
      <c r="D809" s="42"/>
      <c r="E809" s="43"/>
      <c r="F809" s="43"/>
      <c r="G809" s="44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9"/>
      <c r="B810" s="9"/>
      <c r="C810" s="9"/>
      <c r="D810" s="42"/>
      <c r="E810" s="43"/>
      <c r="F810" s="43"/>
      <c r="G810" s="44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9"/>
      <c r="B811" s="9"/>
      <c r="C811" s="9"/>
      <c r="D811" s="42"/>
      <c r="E811" s="43"/>
      <c r="F811" s="43"/>
      <c r="G811" s="44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9"/>
      <c r="B812" s="9"/>
      <c r="C812" s="9"/>
      <c r="D812" s="42"/>
      <c r="E812" s="43"/>
      <c r="F812" s="43"/>
      <c r="G812" s="44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9"/>
      <c r="B813" s="9"/>
      <c r="C813" s="9"/>
      <c r="D813" s="42"/>
      <c r="E813" s="43"/>
      <c r="F813" s="43"/>
      <c r="G813" s="44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9"/>
      <c r="B814" s="9"/>
      <c r="C814" s="9"/>
      <c r="D814" s="42"/>
      <c r="E814" s="43"/>
      <c r="F814" s="43"/>
      <c r="G814" s="44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9"/>
      <c r="B815" s="9"/>
      <c r="C815" s="9"/>
      <c r="D815" s="42"/>
      <c r="E815" s="43"/>
      <c r="F815" s="43"/>
      <c r="G815" s="44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9"/>
      <c r="B816" s="9"/>
      <c r="C816" s="9"/>
      <c r="D816" s="42"/>
      <c r="E816" s="43"/>
      <c r="F816" s="43"/>
      <c r="G816" s="44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9"/>
      <c r="B817" s="9"/>
      <c r="C817" s="9"/>
      <c r="D817" s="42"/>
      <c r="E817" s="43"/>
      <c r="F817" s="43"/>
      <c r="G817" s="44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9"/>
      <c r="B818" s="9"/>
      <c r="C818" s="9"/>
      <c r="D818" s="42"/>
      <c r="E818" s="43"/>
      <c r="F818" s="43"/>
      <c r="G818" s="44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9"/>
      <c r="B819" s="9"/>
      <c r="C819" s="9"/>
      <c r="D819" s="42"/>
      <c r="E819" s="43"/>
      <c r="F819" s="43"/>
      <c r="G819" s="44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9"/>
      <c r="B820" s="9"/>
      <c r="C820" s="9"/>
      <c r="D820" s="42"/>
      <c r="E820" s="43"/>
      <c r="F820" s="43"/>
      <c r="G820" s="44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9"/>
      <c r="B821" s="9"/>
      <c r="C821" s="9"/>
      <c r="D821" s="42"/>
      <c r="E821" s="43"/>
      <c r="F821" s="43"/>
      <c r="G821" s="44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9"/>
      <c r="B822" s="9"/>
      <c r="C822" s="9"/>
      <c r="D822" s="42"/>
      <c r="E822" s="43"/>
      <c r="F822" s="43"/>
      <c r="G822" s="44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9"/>
      <c r="B823" s="9"/>
      <c r="C823" s="9"/>
      <c r="D823" s="42"/>
      <c r="E823" s="43"/>
      <c r="F823" s="43"/>
      <c r="G823" s="44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9"/>
      <c r="B824" s="9"/>
      <c r="C824" s="9"/>
      <c r="D824" s="42"/>
      <c r="E824" s="43"/>
      <c r="F824" s="43"/>
      <c r="G824" s="44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9"/>
      <c r="B825" s="9"/>
      <c r="C825" s="9"/>
      <c r="D825" s="42"/>
      <c r="E825" s="43"/>
      <c r="F825" s="43"/>
      <c r="G825" s="44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9"/>
      <c r="B826" s="9"/>
      <c r="C826" s="9"/>
      <c r="D826" s="42"/>
      <c r="E826" s="43"/>
      <c r="F826" s="43"/>
      <c r="G826" s="44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9"/>
      <c r="B827" s="9"/>
      <c r="C827" s="9"/>
      <c r="D827" s="42"/>
      <c r="E827" s="43"/>
      <c r="F827" s="43"/>
      <c r="G827" s="44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9"/>
      <c r="B828" s="9"/>
      <c r="C828" s="9"/>
      <c r="D828" s="42"/>
      <c r="E828" s="43"/>
      <c r="F828" s="43"/>
      <c r="G828" s="44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9"/>
      <c r="B829" s="9"/>
      <c r="C829" s="9"/>
      <c r="D829" s="42"/>
      <c r="E829" s="43"/>
      <c r="F829" s="43"/>
      <c r="G829" s="44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9"/>
      <c r="B830" s="9"/>
      <c r="C830" s="9"/>
      <c r="D830" s="42"/>
      <c r="E830" s="43"/>
      <c r="F830" s="43"/>
      <c r="G830" s="44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9"/>
      <c r="B831" s="9"/>
      <c r="C831" s="9"/>
      <c r="D831" s="42"/>
      <c r="E831" s="43"/>
      <c r="F831" s="43"/>
      <c r="G831" s="44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9"/>
      <c r="B832" s="9"/>
      <c r="C832" s="9"/>
      <c r="D832" s="42"/>
      <c r="E832" s="43"/>
      <c r="F832" s="43"/>
      <c r="G832" s="44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9"/>
      <c r="B833" s="9"/>
      <c r="C833" s="9"/>
      <c r="D833" s="42"/>
      <c r="E833" s="43"/>
      <c r="F833" s="43"/>
      <c r="G833" s="44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9"/>
      <c r="B834" s="9"/>
      <c r="C834" s="9"/>
      <c r="D834" s="42"/>
      <c r="E834" s="43"/>
      <c r="F834" s="43"/>
      <c r="G834" s="44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9"/>
      <c r="B835" s="9"/>
      <c r="C835" s="9"/>
      <c r="D835" s="42"/>
      <c r="E835" s="43"/>
      <c r="F835" s="43"/>
      <c r="G835" s="44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9"/>
      <c r="B836" s="9"/>
      <c r="C836" s="9"/>
      <c r="D836" s="42"/>
      <c r="E836" s="43"/>
      <c r="F836" s="43"/>
      <c r="G836" s="44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9"/>
      <c r="B837" s="9"/>
      <c r="C837" s="9"/>
      <c r="D837" s="42"/>
      <c r="E837" s="43"/>
      <c r="F837" s="43"/>
      <c r="G837" s="44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9"/>
      <c r="B838" s="9"/>
      <c r="C838" s="9"/>
      <c r="D838" s="42"/>
      <c r="E838" s="43"/>
      <c r="F838" s="43"/>
      <c r="G838" s="44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9"/>
      <c r="B839" s="9"/>
      <c r="C839" s="9"/>
      <c r="D839" s="42"/>
      <c r="E839" s="43"/>
      <c r="F839" s="43"/>
      <c r="G839" s="44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9"/>
      <c r="B840" s="9"/>
      <c r="C840" s="9"/>
      <c r="D840" s="42"/>
      <c r="E840" s="43"/>
      <c r="F840" s="43"/>
      <c r="G840" s="44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9"/>
      <c r="B841" s="9"/>
      <c r="C841" s="9"/>
      <c r="D841" s="42"/>
      <c r="E841" s="43"/>
      <c r="F841" s="43"/>
      <c r="G841" s="44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9"/>
      <c r="B842" s="9"/>
      <c r="C842" s="9"/>
      <c r="D842" s="42"/>
      <c r="E842" s="43"/>
      <c r="F842" s="43"/>
      <c r="G842" s="44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9"/>
      <c r="B843" s="9"/>
      <c r="C843" s="9"/>
      <c r="D843" s="42"/>
      <c r="E843" s="43"/>
      <c r="F843" s="43"/>
      <c r="G843" s="44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9"/>
      <c r="B844" s="9"/>
      <c r="C844" s="9"/>
      <c r="D844" s="42"/>
      <c r="E844" s="43"/>
      <c r="F844" s="43"/>
      <c r="G844" s="44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9"/>
      <c r="B845" s="9"/>
      <c r="C845" s="9"/>
      <c r="D845" s="42"/>
      <c r="E845" s="43"/>
      <c r="F845" s="43"/>
      <c r="G845" s="44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9"/>
      <c r="B846" s="9"/>
      <c r="C846" s="9"/>
      <c r="D846" s="42"/>
      <c r="E846" s="43"/>
      <c r="F846" s="43"/>
      <c r="G846" s="44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9"/>
      <c r="B847" s="9"/>
      <c r="C847" s="9"/>
      <c r="D847" s="42"/>
      <c r="E847" s="43"/>
      <c r="F847" s="43"/>
      <c r="G847" s="44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9"/>
      <c r="B848" s="9"/>
      <c r="C848" s="9"/>
      <c r="D848" s="42"/>
      <c r="E848" s="43"/>
      <c r="F848" s="43"/>
      <c r="G848" s="44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9"/>
      <c r="B849" s="9"/>
      <c r="C849" s="9"/>
      <c r="D849" s="42"/>
      <c r="E849" s="43"/>
      <c r="F849" s="43"/>
      <c r="G849" s="44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9"/>
      <c r="B850" s="9"/>
      <c r="C850" s="9"/>
      <c r="D850" s="42"/>
      <c r="E850" s="43"/>
      <c r="F850" s="43"/>
      <c r="G850" s="44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9"/>
      <c r="B851" s="9"/>
      <c r="C851" s="9"/>
      <c r="D851" s="42"/>
      <c r="E851" s="43"/>
      <c r="F851" s="43"/>
      <c r="G851" s="44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9"/>
      <c r="B852" s="9"/>
      <c r="C852" s="9"/>
      <c r="D852" s="42"/>
      <c r="E852" s="43"/>
      <c r="F852" s="43"/>
      <c r="G852" s="44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9"/>
      <c r="B853" s="9"/>
      <c r="C853" s="9"/>
      <c r="D853" s="42"/>
      <c r="E853" s="43"/>
      <c r="F853" s="43"/>
      <c r="G853" s="44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9"/>
      <c r="B854" s="9"/>
      <c r="C854" s="9"/>
      <c r="D854" s="42"/>
      <c r="E854" s="43"/>
      <c r="F854" s="43"/>
      <c r="G854" s="44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9"/>
      <c r="B855" s="9"/>
      <c r="C855" s="9"/>
      <c r="D855" s="42"/>
      <c r="E855" s="43"/>
      <c r="F855" s="43"/>
      <c r="G855" s="44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9"/>
      <c r="B856" s="9"/>
      <c r="C856" s="9"/>
      <c r="D856" s="42"/>
      <c r="E856" s="43"/>
      <c r="F856" s="43"/>
      <c r="G856" s="44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9"/>
      <c r="B857" s="9"/>
      <c r="C857" s="9"/>
      <c r="D857" s="42"/>
      <c r="E857" s="43"/>
      <c r="F857" s="43"/>
      <c r="G857" s="44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9"/>
      <c r="B858" s="9"/>
      <c r="C858" s="9"/>
      <c r="D858" s="42"/>
      <c r="E858" s="43"/>
      <c r="F858" s="43"/>
      <c r="G858" s="44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9"/>
      <c r="B859" s="9"/>
      <c r="C859" s="9"/>
      <c r="D859" s="42"/>
      <c r="E859" s="43"/>
      <c r="F859" s="43"/>
      <c r="G859" s="44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9"/>
      <c r="B860" s="9"/>
      <c r="C860" s="9"/>
      <c r="D860" s="42"/>
      <c r="E860" s="43"/>
      <c r="F860" s="43"/>
      <c r="G860" s="44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9"/>
      <c r="B861" s="9"/>
      <c r="C861" s="9"/>
      <c r="D861" s="42"/>
      <c r="E861" s="43"/>
      <c r="F861" s="43"/>
      <c r="G861" s="44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9"/>
      <c r="B862" s="9"/>
      <c r="C862" s="9"/>
      <c r="D862" s="42"/>
      <c r="E862" s="43"/>
      <c r="F862" s="43"/>
      <c r="G862" s="44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9"/>
      <c r="B863" s="9"/>
      <c r="C863" s="9"/>
      <c r="D863" s="42"/>
      <c r="E863" s="43"/>
      <c r="F863" s="43"/>
      <c r="G863" s="44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9"/>
      <c r="B864" s="9"/>
      <c r="C864" s="9"/>
      <c r="D864" s="42"/>
      <c r="E864" s="43"/>
      <c r="F864" s="43"/>
      <c r="G864" s="44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9"/>
      <c r="B865" s="9"/>
      <c r="C865" s="9"/>
      <c r="D865" s="42"/>
      <c r="E865" s="43"/>
      <c r="F865" s="43"/>
      <c r="G865" s="44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9"/>
      <c r="B866" s="9"/>
      <c r="C866" s="9"/>
      <c r="D866" s="42"/>
      <c r="E866" s="43"/>
      <c r="F866" s="43"/>
      <c r="G866" s="44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9"/>
      <c r="B867" s="9"/>
      <c r="C867" s="9"/>
      <c r="D867" s="42"/>
      <c r="E867" s="43"/>
      <c r="F867" s="43"/>
      <c r="G867" s="44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9"/>
      <c r="B868" s="9"/>
      <c r="C868" s="9"/>
      <c r="D868" s="42"/>
      <c r="E868" s="43"/>
      <c r="F868" s="43"/>
      <c r="G868" s="44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9"/>
      <c r="B869" s="9"/>
      <c r="C869" s="9"/>
      <c r="D869" s="42"/>
      <c r="E869" s="43"/>
      <c r="F869" s="43"/>
      <c r="G869" s="44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9"/>
      <c r="B870" s="9"/>
      <c r="C870" s="9"/>
      <c r="D870" s="42"/>
      <c r="E870" s="43"/>
      <c r="F870" s="43"/>
      <c r="G870" s="44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9"/>
      <c r="B871" s="9"/>
      <c r="C871" s="9"/>
      <c r="D871" s="42"/>
      <c r="E871" s="43"/>
      <c r="F871" s="43"/>
      <c r="G871" s="44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9"/>
      <c r="B872" s="9"/>
      <c r="C872" s="9"/>
      <c r="D872" s="42"/>
      <c r="E872" s="43"/>
      <c r="F872" s="43"/>
      <c r="G872" s="44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9"/>
      <c r="B873" s="9"/>
      <c r="C873" s="9"/>
      <c r="D873" s="42"/>
      <c r="E873" s="43"/>
      <c r="F873" s="43"/>
      <c r="G873" s="44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9"/>
      <c r="B874" s="9"/>
      <c r="C874" s="9"/>
      <c r="D874" s="42"/>
      <c r="E874" s="43"/>
      <c r="F874" s="43"/>
      <c r="G874" s="44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9"/>
      <c r="B875" s="9"/>
      <c r="C875" s="9"/>
      <c r="D875" s="42"/>
      <c r="E875" s="43"/>
      <c r="F875" s="43"/>
      <c r="G875" s="44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9"/>
      <c r="B876" s="9"/>
      <c r="C876" s="9"/>
      <c r="D876" s="42"/>
      <c r="E876" s="43"/>
      <c r="F876" s="43"/>
      <c r="G876" s="44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9"/>
      <c r="B877" s="9"/>
      <c r="C877" s="9"/>
      <c r="D877" s="42"/>
      <c r="E877" s="43"/>
      <c r="F877" s="43"/>
      <c r="G877" s="44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9"/>
      <c r="B878" s="9"/>
      <c r="C878" s="9"/>
      <c r="D878" s="42"/>
      <c r="E878" s="43"/>
      <c r="F878" s="43"/>
      <c r="G878" s="44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9"/>
      <c r="B879" s="9"/>
      <c r="C879" s="9"/>
      <c r="D879" s="42"/>
      <c r="E879" s="43"/>
      <c r="F879" s="43"/>
      <c r="G879" s="44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9"/>
      <c r="B880" s="9"/>
      <c r="C880" s="9"/>
      <c r="D880" s="42"/>
      <c r="E880" s="43"/>
      <c r="F880" s="43"/>
      <c r="G880" s="44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9"/>
      <c r="B881" s="9"/>
      <c r="C881" s="9"/>
      <c r="D881" s="42"/>
      <c r="E881" s="43"/>
      <c r="F881" s="43"/>
      <c r="G881" s="44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9"/>
      <c r="B882" s="9"/>
      <c r="C882" s="9"/>
      <c r="D882" s="42"/>
      <c r="E882" s="43"/>
      <c r="F882" s="43"/>
      <c r="G882" s="44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9"/>
      <c r="B883" s="9"/>
      <c r="C883" s="9"/>
      <c r="D883" s="42"/>
      <c r="E883" s="43"/>
      <c r="F883" s="43"/>
      <c r="G883" s="44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9"/>
      <c r="B884" s="9"/>
      <c r="C884" s="9"/>
      <c r="D884" s="42"/>
      <c r="E884" s="43"/>
      <c r="F884" s="43"/>
      <c r="G884" s="44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9"/>
      <c r="B885" s="9"/>
      <c r="C885" s="9"/>
      <c r="D885" s="42"/>
      <c r="E885" s="43"/>
      <c r="F885" s="43"/>
      <c r="G885" s="44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9"/>
      <c r="B886" s="9"/>
      <c r="C886" s="9"/>
      <c r="D886" s="42"/>
      <c r="E886" s="43"/>
      <c r="F886" s="43"/>
      <c r="G886" s="44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9"/>
      <c r="B887" s="9"/>
      <c r="C887" s="9"/>
      <c r="D887" s="42"/>
      <c r="E887" s="43"/>
      <c r="F887" s="43"/>
      <c r="G887" s="44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9"/>
      <c r="B888" s="9"/>
      <c r="C888" s="9"/>
      <c r="D888" s="42"/>
      <c r="E888" s="43"/>
      <c r="F888" s="43"/>
      <c r="G888" s="44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9"/>
      <c r="B889" s="9"/>
      <c r="C889" s="9"/>
      <c r="D889" s="42"/>
      <c r="E889" s="43"/>
      <c r="F889" s="43"/>
      <c r="G889" s="44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9"/>
      <c r="B890" s="9"/>
      <c r="C890" s="9"/>
      <c r="D890" s="42"/>
      <c r="E890" s="43"/>
      <c r="F890" s="43"/>
      <c r="G890" s="44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9"/>
      <c r="B891" s="9"/>
      <c r="C891" s="9"/>
      <c r="D891" s="42"/>
      <c r="E891" s="43"/>
      <c r="F891" s="43"/>
      <c r="G891" s="44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9"/>
      <c r="B892" s="9"/>
      <c r="C892" s="9"/>
      <c r="D892" s="42"/>
      <c r="E892" s="43"/>
      <c r="F892" s="43"/>
      <c r="G892" s="44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9"/>
      <c r="B893" s="9"/>
      <c r="C893" s="9"/>
      <c r="D893" s="42"/>
      <c r="E893" s="43"/>
      <c r="F893" s="43"/>
      <c r="G893" s="44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9"/>
      <c r="B894" s="9"/>
      <c r="C894" s="9"/>
      <c r="D894" s="42"/>
      <c r="E894" s="43"/>
      <c r="F894" s="43"/>
      <c r="G894" s="44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9"/>
      <c r="B895" s="9"/>
      <c r="C895" s="9"/>
      <c r="D895" s="42"/>
      <c r="E895" s="43"/>
      <c r="F895" s="43"/>
      <c r="G895" s="44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9"/>
      <c r="B896" s="9"/>
      <c r="C896" s="9"/>
      <c r="D896" s="42"/>
      <c r="E896" s="43"/>
      <c r="F896" s="43"/>
      <c r="G896" s="44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9"/>
      <c r="B897" s="9"/>
      <c r="C897" s="9"/>
      <c r="D897" s="42"/>
      <c r="E897" s="43"/>
      <c r="F897" s="43"/>
      <c r="G897" s="44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9"/>
      <c r="B898" s="9"/>
      <c r="C898" s="9"/>
      <c r="D898" s="42"/>
      <c r="E898" s="43"/>
      <c r="F898" s="43"/>
      <c r="G898" s="44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9"/>
      <c r="B899" s="9"/>
      <c r="C899" s="9"/>
      <c r="D899" s="42"/>
      <c r="E899" s="43"/>
      <c r="F899" s="43"/>
      <c r="G899" s="44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9"/>
      <c r="B900" s="9"/>
      <c r="C900" s="9"/>
      <c r="D900" s="42"/>
      <c r="E900" s="43"/>
      <c r="F900" s="43"/>
      <c r="G900" s="44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9"/>
      <c r="B901" s="9"/>
      <c r="C901" s="9"/>
      <c r="D901" s="42"/>
      <c r="E901" s="43"/>
      <c r="F901" s="43"/>
      <c r="G901" s="44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9"/>
      <c r="B902" s="9"/>
      <c r="C902" s="9"/>
      <c r="D902" s="42"/>
      <c r="E902" s="43"/>
      <c r="F902" s="43"/>
      <c r="G902" s="44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9"/>
      <c r="B903" s="9"/>
      <c r="C903" s="9"/>
      <c r="D903" s="42"/>
      <c r="E903" s="43"/>
      <c r="F903" s="43"/>
      <c r="G903" s="44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9"/>
      <c r="B904" s="9"/>
      <c r="C904" s="9"/>
      <c r="D904" s="42"/>
      <c r="E904" s="43"/>
      <c r="F904" s="43"/>
      <c r="G904" s="44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9"/>
      <c r="B905" s="9"/>
      <c r="C905" s="9"/>
      <c r="D905" s="42"/>
      <c r="E905" s="43"/>
      <c r="F905" s="43"/>
      <c r="G905" s="44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9"/>
      <c r="B906" s="9"/>
      <c r="C906" s="9"/>
      <c r="D906" s="42"/>
      <c r="E906" s="43"/>
      <c r="F906" s="43"/>
      <c r="G906" s="44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9"/>
      <c r="B907" s="9"/>
      <c r="C907" s="9"/>
      <c r="D907" s="42"/>
      <c r="E907" s="43"/>
      <c r="F907" s="43"/>
      <c r="G907" s="44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9"/>
      <c r="B908" s="9"/>
      <c r="C908" s="9"/>
      <c r="D908" s="42"/>
      <c r="E908" s="43"/>
      <c r="F908" s="43"/>
      <c r="G908" s="44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9"/>
      <c r="B909" s="9"/>
      <c r="C909" s="9"/>
      <c r="D909" s="42"/>
      <c r="E909" s="43"/>
      <c r="F909" s="43"/>
      <c r="G909" s="44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9"/>
      <c r="B910" s="9"/>
      <c r="C910" s="9"/>
      <c r="D910" s="42"/>
      <c r="E910" s="43"/>
      <c r="F910" s="43"/>
      <c r="G910" s="44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9"/>
      <c r="B911" s="9"/>
      <c r="C911" s="9"/>
      <c r="D911" s="42"/>
      <c r="E911" s="43"/>
      <c r="F911" s="43"/>
      <c r="G911" s="44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9"/>
      <c r="B912" s="9"/>
      <c r="C912" s="9"/>
      <c r="D912" s="42"/>
      <c r="E912" s="43"/>
      <c r="F912" s="43"/>
      <c r="G912" s="44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9"/>
      <c r="B913" s="9"/>
      <c r="C913" s="9"/>
      <c r="D913" s="42"/>
      <c r="E913" s="43"/>
      <c r="F913" s="43"/>
      <c r="G913" s="44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9"/>
      <c r="B914" s="9"/>
      <c r="C914" s="9"/>
      <c r="D914" s="42"/>
      <c r="E914" s="43"/>
      <c r="F914" s="43"/>
      <c r="G914" s="44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9"/>
      <c r="B915" s="9"/>
      <c r="C915" s="9"/>
      <c r="D915" s="42"/>
      <c r="E915" s="43"/>
      <c r="F915" s="43"/>
      <c r="G915" s="44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9"/>
      <c r="B916" s="9"/>
      <c r="C916" s="9"/>
      <c r="D916" s="42"/>
      <c r="E916" s="43"/>
      <c r="F916" s="43"/>
      <c r="G916" s="44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9"/>
      <c r="B917" s="9"/>
      <c r="C917" s="9"/>
      <c r="D917" s="42"/>
      <c r="E917" s="43"/>
      <c r="F917" s="43"/>
      <c r="G917" s="44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9"/>
      <c r="B918" s="9"/>
      <c r="C918" s="9"/>
      <c r="D918" s="42"/>
      <c r="E918" s="43"/>
      <c r="F918" s="43"/>
      <c r="G918" s="44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9"/>
      <c r="B919" s="9"/>
      <c r="C919" s="9"/>
      <c r="D919" s="42"/>
      <c r="E919" s="43"/>
      <c r="F919" s="43"/>
      <c r="G919" s="44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9"/>
      <c r="B920" s="9"/>
      <c r="C920" s="9"/>
      <c r="D920" s="42"/>
      <c r="E920" s="43"/>
      <c r="F920" s="43"/>
      <c r="G920" s="44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9"/>
      <c r="B921" s="9"/>
      <c r="C921" s="9"/>
      <c r="D921" s="42"/>
      <c r="E921" s="43"/>
      <c r="F921" s="43"/>
      <c r="G921" s="44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9"/>
      <c r="B922" s="9"/>
      <c r="C922" s="9"/>
      <c r="D922" s="42"/>
      <c r="E922" s="43"/>
      <c r="F922" s="43"/>
      <c r="G922" s="44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9"/>
      <c r="B923" s="9"/>
      <c r="C923" s="9"/>
      <c r="D923" s="42"/>
      <c r="E923" s="43"/>
      <c r="F923" s="43"/>
      <c r="G923" s="44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9"/>
      <c r="B924" s="9"/>
      <c r="C924" s="9"/>
      <c r="D924" s="42"/>
      <c r="E924" s="43"/>
      <c r="F924" s="43"/>
      <c r="G924" s="44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9"/>
      <c r="B925" s="9"/>
      <c r="C925" s="9"/>
      <c r="D925" s="42"/>
      <c r="E925" s="43"/>
      <c r="F925" s="43"/>
      <c r="G925" s="44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9"/>
      <c r="B926" s="9"/>
      <c r="C926" s="9"/>
      <c r="D926" s="42"/>
      <c r="E926" s="43"/>
      <c r="F926" s="43"/>
      <c r="G926" s="44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9"/>
      <c r="B927" s="9"/>
      <c r="C927" s="9"/>
      <c r="D927" s="42"/>
      <c r="E927" s="43"/>
      <c r="F927" s="43"/>
      <c r="G927" s="44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9"/>
      <c r="B928" s="9"/>
      <c r="C928" s="9"/>
      <c r="D928" s="42"/>
      <c r="E928" s="43"/>
      <c r="F928" s="43"/>
      <c r="G928" s="44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9"/>
      <c r="B929" s="9"/>
      <c r="C929" s="9"/>
      <c r="D929" s="42"/>
      <c r="E929" s="43"/>
      <c r="F929" s="43"/>
      <c r="G929" s="44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9"/>
      <c r="B930" s="9"/>
      <c r="C930" s="9"/>
      <c r="D930" s="42"/>
      <c r="E930" s="43"/>
      <c r="F930" s="43"/>
      <c r="G930" s="44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9"/>
      <c r="B931" s="9"/>
      <c r="C931" s="9"/>
      <c r="D931" s="42"/>
      <c r="E931" s="43"/>
      <c r="F931" s="43"/>
      <c r="G931" s="44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9"/>
      <c r="B932" s="9"/>
      <c r="C932" s="9"/>
      <c r="D932" s="42"/>
      <c r="E932" s="43"/>
      <c r="F932" s="43"/>
      <c r="G932" s="44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9"/>
      <c r="B933" s="9"/>
      <c r="C933" s="9"/>
      <c r="D933" s="42"/>
      <c r="E933" s="43"/>
      <c r="F933" s="43"/>
      <c r="G933" s="44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9"/>
      <c r="B934" s="9"/>
      <c r="C934" s="9"/>
      <c r="D934" s="42"/>
      <c r="E934" s="43"/>
      <c r="F934" s="43"/>
      <c r="G934" s="44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9"/>
      <c r="B935" s="9"/>
      <c r="C935" s="9"/>
      <c r="D935" s="42"/>
      <c r="E935" s="43"/>
      <c r="F935" s="43"/>
      <c r="G935" s="44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9"/>
      <c r="B936" s="9"/>
      <c r="C936" s="9"/>
      <c r="D936" s="42"/>
      <c r="E936" s="43"/>
      <c r="F936" s="43"/>
      <c r="G936" s="44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9"/>
      <c r="B937" s="9"/>
      <c r="C937" s="9"/>
      <c r="D937" s="42"/>
      <c r="E937" s="43"/>
      <c r="F937" s="43"/>
      <c r="G937" s="44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9"/>
      <c r="B938" s="9"/>
      <c r="C938" s="9"/>
      <c r="D938" s="42"/>
      <c r="E938" s="43"/>
      <c r="F938" s="43"/>
      <c r="G938" s="44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9"/>
      <c r="B939" s="9"/>
      <c r="C939" s="9"/>
      <c r="D939" s="42"/>
      <c r="E939" s="43"/>
      <c r="F939" s="43"/>
      <c r="G939" s="44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9"/>
      <c r="B940" s="9"/>
      <c r="C940" s="9"/>
      <c r="D940" s="42"/>
      <c r="E940" s="43"/>
      <c r="F940" s="43"/>
      <c r="G940" s="44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9"/>
      <c r="B941" s="9"/>
      <c r="C941" s="9"/>
      <c r="D941" s="42"/>
      <c r="E941" s="43"/>
      <c r="F941" s="43"/>
      <c r="G941" s="44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9"/>
      <c r="B942" s="9"/>
      <c r="C942" s="9"/>
      <c r="D942" s="42"/>
      <c r="E942" s="43"/>
      <c r="F942" s="43"/>
      <c r="G942" s="44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9"/>
      <c r="B943" s="9"/>
      <c r="C943" s="9"/>
      <c r="D943" s="42"/>
      <c r="E943" s="43"/>
      <c r="F943" s="43"/>
      <c r="G943" s="44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9"/>
      <c r="B944" s="9"/>
      <c r="C944" s="9"/>
      <c r="D944" s="42"/>
      <c r="E944" s="43"/>
      <c r="F944" s="43"/>
      <c r="G944" s="44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9"/>
      <c r="B945" s="9"/>
      <c r="C945" s="9"/>
      <c r="D945" s="42"/>
      <c r="E945" s="43"/>
      <c r="F945" s="43"/>
      <c r="G945" s="44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9"/>
      <c r="B946" s="9"/>
      <c r="C946" s="9"/>
      <c r="D946" s="42"/>
      <c r="E946" s="43"/>
      <c r="F946" s="43"/>
      <c r="G946" s="44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9"/>
      <c r="B947" s="9"/>
      <c r="C947" s="9"/>
      <c r="D947" s="42"/>
      <c r="E947" s="43"/>
      <c r="F947" s="43"/>
      <c r="G947" s="44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9"/>
      <c r="B948" s="9"/>
      <c r="C948" s="9"/>
      <c r="D948" s="42"/>
      <c r="E948" s="43"/>
      <c r="F948" s="43"/>
      <c r="G948" s="44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9"/>
      <c r="B949" s="9"/>
      <c r="C949" s="9"/>
      <c r="D949" s="42"/>
      <c r="E949" s="43"/>
      <c r="F949" s="43"/>
      <c r="G949" s="44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9"/>
      <c r="B950" s="9"/>
      <c r="C950" s="9"/>
      <c r="D950" s="42"/>
      <c r="E950" s="43"/>
      <c r="F950" s="43"/>
      <c r="G950" s="44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9"/>
      <c r="B951" s="9"/>
      <c r="C951" s="9"/>
      <c r="D951" s="42"/>
      <c r="E951" s="43"/>
      <c r="F951" s="43"/>
      <c r="G951" s="44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9"/>
      <c r="B952" s="9"/>
      <c r="C952" s="9"/>
      <c r="D952" s="42"/>
      <c r="E952" s="43"/>
      <c r="F952" s="43"/>
      <c r="G952" s="44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9"/>
      <c r="B953" s="9"/>
      <c r="C953" s="9"/>
      <c r="D953" s="42"/>
      <c r="E953" s="43"/>
      <c r="F953" s="43"/>
      <c r="G953" s="44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9"/>
      <c r="B954" s="9"/>
      <c r="C954" s="9"/>
      <c r="D954" s="42"/>
      <c r="E954" s="43"/>
      <c r="F954" s="43"/>
      <c r="G954" s="44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9"/>
      <c r="B955" s="9"/>
      <c r="C955" s="9"/>
      <c r="D955" s="42"/>
      <c r="E955" s="43"/>
      <c r="F955" s="43"/>
      <c r="G955" s="44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9"/>
      <c r="B956" s="9"/>
      <c r="C956" s="9"/>
      <c r="D956" s="42"/>
      <c r="E956" s="43"/>
      <c r="F956" s="43"/>
      <c r="G956" s="44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9"/>
      <c r="B957" s="9"/>
      <c r="C957" s="9"/>
      <c r="D957" s="42"/>
      <c r="E957" s="43"/>
      <c r="F957" s="43"/>
      <c r="G957" s="44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9"/>
      <c r="B958" s="9"/>
      <c r="C958" s="9"/>
      <c r="D958" s="42"/>
      <c r="E958" s="43"/>
      <c r="F958" s="43"/>
      <c r="G958" s="44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9"/>
      <c r="B959" s="9"/>
      <c r="C959" s="9"/>
      <c r="D959" s="42"/>
      <c r="E959" s="43"/>
      <c r="F959" s="43"/>
      <c r="G959" s="44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9"/>
      <c r="B960" s="9"/>
      <c r="C960" s="9"/>
      <c r="D960" s="42"/>
      <c r="E960" s="43"/>
      <c r="F960" s="43"/>
      <c r="G960" s="44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9"/>
      <c r="B961" s="9"/>
      <c r="C961" s="9"/>
      <c r="D961" s="42"/>
      <c r="E961" s="43"/>
      <c r="F961" s="43"/>
      <c r="G961" s="44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9"/>
      <c r="B962" s="9"/>
      <c r="C962" s="9"/>
      <c r="D962" s="42"/>
      <c r="E962" s="43"/>
      <c r="F962" s="43"/>
      <c r="G962" s="44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9"/>
      <c r="B963" s="9"/>
      <c r="C963" s="9"/>
      <c r="D963" s="42"/>
      <c r="E963" s="43"/>
      <c r="F963" s="43"/>
      <c r="G963" s="44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9"/>
      <c r="B964" s="9"/>
      <c r="C964" s="9"/>
      <c r="D964" s="42"/>
      <c r="E964" s="43"/>
      <c r="F964" s="43"/>
      <c r="G964" s="44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9"/>
      <c r="B965" s="9"/>
      <c r="C965" s="9"/>
      <c r="D965" s="42"/>
      <c r="E965" s="43"/>
      <c r="F965" s="43"/>
      <c r="G965" s="44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9"/>
      <c r="B966" s="9"/>
      <c r="C966" s="9"/>
      <c r="D966" s="42"/>
      <c r="E966" s="43"/>
      <c r="F966" s="43"/>
      <c r="G966" s="44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9"/>
      <c r="B967" s="9"/>
      <c r="C967" s="9"/>
      <c r="D967" s="42"/>
      <c r="E967" s="43"/>
      <c r="F967" s="43"/>
      <c r="G967" s="44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9"/>
      <c r="B968" s="9"/>
      <c r="C968" s="9"/>
      <c r="D968" s="42"/>
      <c r="E968" s="43"/>
      <c r="F968" s="43"/>
      <c r="G968" s="44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9"/>
      <c r="B969" s="9"/>
      <c r="C969" s="9"/>
      <c r="D969" s="42"/>
      <c r="E969" s="43"/>
      <c r="F969" s="43"/>
      <c r="G969" s="44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9"/>
      <c r="B970" s="9"/>
      <c r="C970" s="9"/>
      <c r="D970" s="42"/>
      <c r="E970" s="43"/>
      <c r="F970" s="43"/>
      <c r="G970" s="44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9"/>
      <c r="B971" s="9"/>
      <c r="C971" s="9"/>
      <c r="D971" s="42"/>
      <c r="E971" s="43"/>
      <c r="F971" s="43"/>
      <c r="G971" s="44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9"/>
      <c r="B972" s="9"/>
      <c r="C972" s="9"/>
      <c r="D972" s="42"/>
      <c r="E972" s="43"/>
      <c r="F972" s="43"/>
      <c r="G972" s="44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9"/>
      <c r="B973" s="9"/>
      <c r="C973" s="9"/>
      <c r="D973" s="42"/>
      <c r="E973" s="43"/>
      <c r="F973" s="43"/>
      <c r="G973" s="44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9"/>
      <c r="B974" s="9"/>
      <c r="C974" s="9"/>
      <c r="D974" s="42"/>
      <c r="E974" s="43"/>
      <c r="F974" s="43"/>
      <c r="G974" s="44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9"/>
      <c r="B975" s="9"/>
      <c r="C975" s="9"/>
      <c r="D975" s="42"/>
      <c r="E975" s="43"/>
      <c r="F975" s="43"/>
      <c r="G975" s="44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9"/>
      <c r="B976" s="9"/>
      <c r="C976" s="9"/>
      <c r="D976" s="42"/>
      <c r="E976" s="43"/>
      <c r="F976" s="43"/>
      <c r="G976" s="44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9"/>
      <c r="B977" s="9"/>
      <c r="C977" s="9"/>
      <c r="D977" s="42"/>
      <c r="E977" s="43"/>
      <c r="F977" s="43"/>
      <c r="G977" s="44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9"/>
      <c r="B978" s="9"/>
      <c r="C978" s="9"/>
      <c r="D978" s="42"/>
      <c r="E978" s="43"/>
      <c r="F978" s="43"/>
      <c r="G978" s="44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9"/>
      <c r="B979" s="9"/>
      <c r="C979" s="9"/>
      <c r="D979" s="42"/>
      <c r="E979" s="43"/>
      <c r="F979" s="43"/>
      <c r="G979" s="44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9"/>
      <c r="B980" s="9"/>
      <c r="C980" s="9"/>
      <c r="D980" s="42"/>
      <c r="E980" s="43"/>
      <c r="F980" s="43"/>
      <c r="G980" s="44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9"/>
      <c r="B981" s="9"/>
      <c r="C981" s="9"/>
      <c r="D981" s="42"/>
      <c r="E981" s="43"/>
      <c r="F981" s="43"/>
      <c r="G981" s="44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9"/>
      <c r="B982" s="9"/>
      <c r="C982" s="9"/>
      <c r="D982" s="42"/>
      <c r="E982" s="43"/>
      <c r="F982" s="43"/>
      <c r="G982" s="44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9"/>
      <c r="B983" s="9"/>
      <c r="C983" s="9"/>
      <c r="D983" s="42"/>
      <c r="E983" s="43"/>
      <c r="F983" s="43"/>
      <c r="G983" s="44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9"/>
      <c r="B984" s="9"/>
      <c r="C984" s="9"/>
      <c r="D984" s="42"/>
      <c r="E984" s="43"/>
      <c r="F984" s="43"/>
      <c r="G984" s="44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9"/>
      <c r="B985" s="9"/>
      <c r="C985" s="9"/>
      <c r="D985" s="42"/>
      <c r="E985" s="43"/>
      <c r="F985" s="43"/>
      <c r="G985" s="44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9"/>
      <c r="B986" s="9"/>
      <c r="C986" s="9"/>
      <c r="D986" s="42"/>
      <c r="E986" s="43"/>
      <c r="F986" s="43"/>
      <c r="G986" s="44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9"/>
      <c r="B987" s="9"/>
      <c r="C987" s="9"/>
      <c r="D987" s="42"/>
      <c r="E987" s="43"/>
      <c r="F987" s="43"/>
      <c r="G987" s="44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9"/>
      <c r="B988" s="9"/>
      <c r="C988" s="9"/>
      <c r="D988" s="42"/>
      <c r="E988" s="43"/>
      <c r="F988" s="43"/>
      <c r="G988" s="44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9"/>
      <c r="B989" s="9"/>
      <c r="C989" s="9"/>
      <c r="D989" s="42"/>
      <c r="E989" s="43"/>
      <c r="F989" s="43"/>
      <c r="G989" s="44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9"/>
      <c r="B990" s="9"/>
      <c r="C990" s="9"/>
      <c r="D990" s="42"/>
      <c r="E990" s="43"/>
      <c r="F990" s="43"/>
      <c r="G990" s="44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9"/>
      <c r="B991" s="9"/>
      <c r="C991" s="9"/>
      <c r="D991" s="42"/>
      <c r="E991" s="43"/>
      <c r="F991" s="43"/>
      <c r="G991" s="44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9"/>
      <c r="B992" s="9"/>
      <c r="C992" s="9"/>
      <c r="D992" s="42"/>
      <c r="E992" s="43"/>
      <c r="F992" s="43"/>
      <c r="G992" s="44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9"/>
      <c r="B993" s="9"/>
      <c r="C993" s="9"/>
      <c r="D993" s="42"/>
      <c r="E993" s="43"/>
      <c r="F993" s="43"/>
      <c r="G993" s="44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9"/>
      <c r="B994" s="9"/>
      <c r="C994" s="9"/>
      <c r="D994" s="42"/>
      <c r="E994" s="43"/>
      <c r="F994" s="43"/>
      <c r="G994" s="44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9"/>
      <c r="B995" s="9"/>
      <c r="C995" s="9"/>
      <c r="D995" s="42"/>
      <c r="E995" s="43"/>
      <c r="F995" s="43"/>
      <c r="G995" s="44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9"/>
      <c r="B996" s="9"/>
      <c r="C996" s="9"/>
      <c r="D996" s="42"/>
      <c r="E996" s="43"/>
      <c r="F996" s="43"/>
      <c r="G996" s="44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9"/>
      <c r="B997" s="9"/>
      <c r="C997" s="9"/>
      <c r="D997" s="42"/>
      <c r="E997" s="43"/>
      <c r="F997" s="43"/>
      <c r="G997" s="44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9"/>
      <c r="B998" s="9"/>
      <c r="C998" s="9"/>
      <c r="D998" s="42"/>
      <c r="E998" s="43"/>
      <c r="F998" s="43"/>
      <c r="G998" s="44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9"/>
      <c r="B999" s="9"/>
      <c r="C999" s="9"/>
      <c r="D999" s="42"/>
      <c r="E999" s="43"/>
      <c r="F999" s="43"/>
      <c r="G999" s="44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9"/>
      <c r="B1000" s="9"/>
      <c r="C1000" s="9"/>
      <c r="D1000" s="42"/>
      <c r="E1000" s="43"/>
      <c r="F1000" s="43"/>
      <c r="G1000" s="44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sheetProtection sheet="1" objects="1" scenarios="1" selectLockedCells="1"/>
  <mergeCells count="13">
    <mergeCell ref="N7:P7"/>
    <mergeCell ref="A26:G26"/>
    <mergeCell ref="C1:D1"/>
    <mergeCell ref="F1:H1"/>
    <mergeCell ref="C2:E2"/>
    <mergeCell ref="B3:F3"/>
    <mergeCell ref="L4:M4"/>
    <mergeCell ref="A27:G27"/>
    <mergeCell ref="B28:C28"/>
    <mergeCell ref="F28:G28"/>
    <mergeCell ref="H28:I28"/>
    <mergeCell ref="B29:C29"/>
    <mergeCell ref="F29:G29"/>
  </mergeCells>
  <conditionalFormatting sqref="C1">
    <cfRule type="cellIs" dxfId="0" priority="1" stopIfTrue="1" operator="equal">
      <formula>"="</formula>
    </cfRule>
  </conditionalFormatting>
  <pageMargins left="1.0236220472440944" right="0.86614173228346458" top="2.8346456692913389" bottom="0.74803149606299213" header="0" footer="0"/>
  <pageSetup paperSize="9" orientation="portrait"/>
  <headerFooter>
    <oddHeader>&amp;LGlaserdi SRL Kossuth Lajos utca, 233 Gyergyószentmiklós Tel: +40 740 169 912 &amp;C ÁRAJÁNLAT</oddHeader>
    <oddFooter>&amp;LNyomtatás időpontja: &amp;D - &amp;T</oddFoot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00000000-0002-0000-0200-000000000000}">
          <x14:formula1>
            <xm:f>Adalekok!$B$2:$B$3</xm:f>
          </x14:formula1>
          <xm:sqref>R4</xm:sqref>
        </x14:dataValidation>
        <x14:dataValidation type="list" allowBlank="1" showErrorMessage="1" xr:uid="{00000000-0002-0000-0200-000001000000}">
          <x14:formula1>
            <xm:f>Vastagsag!$E$1:$E$2</xm:f>
          </x14:formula1>
          <xm:sqref>K1</xm:sqref>
        </x14:dataValidation>
        <x14:dataValidation type="list" allowBlank="1" showErrorMessage="1" xr:uid="{00000000-0002-0000-0200-000002000000}">
          <x14:formula1>
            <xm:f>Adalekok!$C$2:$C$4</xm:f>
          </x14:formula1>
          <xm:sqref>N4</xm:sqref>
        </x14:dataValidation>
        <x14:dataValidation type="list" allowBlank="1" showErrorMessage="1" xr:uid="{00000000-0002-0000-0200-000003000000}">
          <x14:formula1>
            <xm:f>Adalekok!$A$2:$A$3</xm:f>
          </x14:formula1>
          <xm:sqref>P4</xm:sqref>
        </x14:dataValidation>
        <x14:dataValidation type="list" allowBlank="1" showErrorMessage="1" xr:uid="{00000000-0002-0000-0200-000004000000}">
          <x14:formula1>
            <xm:f>Vastagsag!$C$2:$C$3</xm:f>
          </x14:formula1>
          <xm:sqref>H2</xm:sqref>
        </x14:dataValidation>
        <x14:dataValidation type="list" allowBlank="1" showErrorMessage="1" xr:uid="{00000000-0002-0000-0200-000005000000}">
          <x14:formula1>
            <xm:f>TermekKod!$A$2:$A$300</xm:f>
          </x14:formula1>
          <xm:sqref>F1</xm:sqref>
        </x14:dataValidation>
        <x14:dataValidation type="list" allowBlank="1" showErrorMessage="1" xr:uid="{00000000-0002-0000-0200-000006000000}">
          <x14:formula1>
            <xm:f>Vastagsag!$A$2:$A$31</xm:f>
          </x14:formula1>
          <xm:sqref>G2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000"/>
  <sheetViews>
    <sheetView workbookViewId="0">
      <selection activeCell="C8" sqref="C8"/>
    </sheetView>
  </sheetViews>
  <sheetFormatPr defaultColWidth="14.44140625" defaultRowHeight="15" customHeight="1" x14ac:dyDescent="0.3"/>
  <cols>
    <col min="1" max="1" width="28.6640625" customWidth="1"/>
    <col min="2" max="26" width="8.6640625" customWidth="1"/>
  </cols>
  <sheetData>
    <row r="1" spans="1:2" ht="14.25" customHeight="1" x14ac:dyDescent="0.3">
      <c r="A1" s="1" t="s">
        <v>130</v>
      </c>
      <c r="B1" s="1" t="s">
        <v>131</v>
      </c>
    </row>
    <row r="2" spans="1:2" ht="14.25" customHeight="1" x14ac:dyDescent="0.3">
      <c r="A2" s="1" t="s">
        <v>135</v>
      </c>
      <c r="B2" s="1">
        <v>0</v>
      </c>
    </row>
    <row r="3" spans="1:2" ht="14.25" customHeight="1" x14ac:dyDescent="0.3">
      <c r="A3" s="1" t="s">
        <v>133</v>
      </c>
      <c r="B3" s="1">
        <v>2</v>
      </c>
    </row>
    <row r="4" spans="1:2" ht="14.25" customHeight="1" x14ac:dyDescent="0.3">
      <c r="A4" s="1" t="s">
        <v>134</v>
      </c>
      <c r="B4" s="1">
        <v>2</v>
      </c>
    </row>
    <row r="5" spans="1:2" ht="14.25" customHeight="1" x14ac:dyDescent="0.3">
      <c r="A5" s="1" t="s">
        <v>132</v>
      </c>
      <c r="B5" s="1">
        <v>0</v>
      </c>
    </row>
    <row r="6" spans="1:2" ht="14.25" customHeight="1" x14ac:dyDescent="0.3">
      <c r="A6" s="1" t="s">
        <v>818</v>
      </c>
      <c r="B6" s="1">
        <v>2</v>
      </c>
    </row>
    <row r="7" spans="1:2" ht="14.25" customHeight="1" x14ac:dyDescent="0.3">
      <c r="A7" t="s">
        <v>818</v>
      </c>
      <c r="B7">
        <v>2</v>
      </c>
    </row>
    <row r="8" spans="1:2" ht="14.25" customHeight="1" x14ac:dyDescent="0.3"/>
    <row r="9" spans="1:2" ht="14.25" customHeight="1" x14ac:dyDescent="0.3"/>
    <row r="10" spans="1:2" ht="14.25" customHeight="1" x14ac:dyDescent="0.3"/>
    <row r="11" spans="1:2" ht="14.25" customHeight="1" x14ac:dyDescent="0.3"/>
    <row r="12" spans="1:2" ht="14.25" customHeight="1" x14ac:dyDescent="0.3"/>
    <row r="13" spans="1:2" ht="14.25" customHeight="1" x14ac:dyDescent="0.3"/>
    <row r="14" spans="1:2" ht="14.25" customHeight="1" x14ac:dyDescent="0.3"/>
    <row r="15" spans="1:2" ht="14.25" customHeight="1" x14ac:dyDescent="0.3"/>
    <row r="16" spans="1:2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1">
    <pageSetUpPr fitToPage="1"/>
  </sheetPr>
  <dimension ref="A1:Z1000"/>
  <sheetViews>
    <sheetView workbookViewId="0"/>
  </sheetViews>
  <sheetFormatPr defaultColWidth="14.44140625" defaultRowHeight="15" customHeight="1" x14ac:dyDescent="0.3"/>
  <cols>
    <col min="1" max="1" width="6.88671875" customWidth="1"/>
    <col min="2" max="2" width="9.6640625" customWidth="1"/>
    <col min="3" max="5" width="9.109375" customWidth="1"/>
    <col min="6" max="6" width="11.88671875" customWidth="1"/>
    <col min="7" max="7" width="12.109375" customWidth="1"/>
    <col min="8" max="8" width="13.33203125" customWidth="1"/>
    <col min="9" max="9" width="9.109375" customWidth="1"/>
    <col min="10" max="10" width="9.6640625" customWidth="1"/>
    <col min="11" max="14" width="9.109375" customWidth="1"/>
    <col min="15" max="15" width="12.5546875" customWidth="1"/>
    <col min="16" max="16" width="9.109375" customWidth="1"/>
    <col min="17" max="17" width="12.109375" customWidth="1"/>
    <col min="18" max="26" width="9.109375" customWidth="1"/>
  </cols>
  <sheetData>
    <row r="1" spans="1:26" ht="28.5" customHeight="1" x14ac:dyDescent="0.3">
      <c r="A1" s="45" t="s">
        <v>136</v>
      </c>
      <c r="B1" s="46" t="str">
        <f>Teruletszamitas!$B1</f>
        <v>Megrendelő:</v>
      </c>
      <c r="C1" s="197" t="str">
        <f>Teruletszamitas!$C1</f>
        <v>Lajos - csak arajanlat</v>
      </c>
      <c r="D1" s="183"/>
      <c r="E1" s="47"/>
      <c r="F1" s="10" t="s">
        <v>123</v>
      </c>
      <c r="G1" s="198">
        <f ca="1">Teruletszamitas!$T4</f>
        <v>45715</v>
      </c>
      <c r="H1" s="183"/>
      <c r="I1" s="45" t="s">
        <v>137</v>
      </c>
      <c r="J1" s="46" t="str">
        <f>Teruletszamitas!$B1</f>
        <v>Megrendelő:</v>
      </c>
      <c r="K1" s="197" t="str">
        <f>Teruletszamitas!$C1</f>
        <v>Lajos - csak arajanlat</v>
      </c>
      <c r="L1" s="183"/>
      <c r="M1" s="47"/>
      <c r="N1" s="10" t="s">
        <v>123</v>
      </c>
      <c r="O1" s="198">
        <f ca="1">Teruletszamitas!$T4</f>
        <v>45715</v>
      </c>
      <c r="P1" s="183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26.25" customHeight="1" x14ac:dyDescent="0.3">
      <c r="A2" s="48"/>
      <c r="B2" s="48"/>
      <c r="C2" s="48"/>
      <c r="D2" s="48"/>
      <c r="E2" s="48"/>
      <c r="F2" s="199" t="str">
        <f>IF(Teruletszamitas!$I$2&lt;&gt;"x","M. Szám: "&amp;Teruletszamitas!$I$2,"")</f>
        <v>M. Szám: 2</v>
      </c>
      <c r="G2" s="183"/>
      <c r="H2" s="49"/>
      <c r="I2" s="48"/>
      <c r="J2" s="48"/>
      <c r="K2" s="10"/>
      <c r="L2" s="198"/>
      <c r="M2" s="183"/>
      <c r="N2" s="199" t="str">
        <f>IF(Teruletszamitas!$I$2&lt;&gt;"x","M. Szám: "&amp;Teruletszamitas!$I$2,"")</f>
        <v>M. Szám: 2</v>
      </c>
      <c r="O2" s="183"/>
      <c r="P2" s="50"/>
      <c r="Q2" s="51"/>
      <c r="R2" s="48"/>
      <c r="S2" s="48"/>
      <c r="T2" s="48"/>
      <c r="U2" s="48"/>
      <c r="V2" s="48"/>
      <c r="W2" s="48"/>
      <c r="X2" s="48"/>
      <c r="Y2" s="48"/>
      <c r="Z2" s="48"/>
    </row>
    <row r="3" spans="1:26" ht="30.75" customHeight="1" x14ac:dyDescent="0.3">
      <c r="A3" s="48"/>
      <c r="B3" s="194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C3" s="182"/>
      <c r="D3" s="182"/>
      <c r="E3" s="182"/>
      <c r="F3" s="182"/>
      <c r="G3" s="183"/>
      <c r="H3" s="49"/>
      <c r="I3" s="48"/>
      <c r="J3" s="194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K3" s="182"/>
      <c r="L3" s="182"/>
      <c r="M3" s="182"/>
      <c r="N3" s="182"/>
      <c r="O3" s="183"/>
      <c r="P3" s="50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ht="68.25" customHeight="1" x14ac:dyDescent="0.3">
      <c r="A4" s="20" t="str">
        <f>Teruletszamitas!$A4</f>
        <v>Tétel 
0</v>
      </c>
      <c r="B4" s="52" t="str">
        <f>Teruletszamitas!$B4</f>
        <v>Sz.
(cm)
1</v>
      </c>
      <c r="C4" s="52" t="str">
        <f>Teruletszamitas!$C4</f>
        <v>H.
(cm)
2</v>
      </c>
      <c r="D4" s="53" t="str">
        <f>Teruletszamitas!$D4</f>
        <v>Db.
3</v>
      </c>
      <c r="E4" s="54" t="str">
        <f>Teruletszamitas!$E4</f>
        <v>T. 
(m2)
4</v>
      </c>
      <c r="F4" s="54" t="s">
        <v>138</v>
      </c>
      <c r="G4" s="54" t="str">
        <f>Teruletszamitas!$G4</f>
        <v>Össz T.
(m2)         
([4] + [5])
6</v>
      </c>
      <c r="H4" s="55"/>
      <c r="I4" s="20" t="str">
        <f>Teruletszamitas!$A4</f>
        <v>Tétel 
0</v>
      </c>
      <c r="J4" s="52" t="str">
        <f>Teruletszamitas!$B4</f>
        <v>Sz.
(cm)
1</v>
      </c>
      <c r="K4" s="52" t="str">
        <f>Teruletszamitas!$C4</f>
        <v>H.
(cm)
2</v>
      </c>
      <c r="L4" s="53" t="str">
        <f>Teruletszamitas!$D4</f>
        <v>Db.
3</v>
      </c>
      <c r="M4" s="54" t="str">
        <f>Teruletszamitas!$E4</f>
        <v>T. 
(m2)
4</v>
      </c>
      <c r="N4" s="54" t="str">
        <f>Teruletszamitas!$F4</f>
        <v>Terület
 adalék (m2)*
[4] X 20%
5</v>
      </c>
      <c r="O4" s="54" t="str">
        <f>Teruletszamitas!$G4</f>
        <v>Össz T.
(m2)         
([4] + [5])
6</v>
      </c>
      <c r="P4" s="55"/>
      <c r="Q4" s="56"/>
      <c r="R4" s="47"/>
      <c r="S4" s="47"/>
      <c r="T4" s="47"/>
      <c r="U4" s="47"/>
      <c r="V4" s="47"/>
      <c r="W4" s="47"/>
      <c r="X4" s="47"/>
      <c r="Y4" s="47"/>
      <c r="Z4" s="47"/>
    </row>
    <row r="5" spans="1:26" ht="17.25" customHeight="1" x14ac:dyDescent="0.3">
      <c r="A5" s="57">
        <f>Teruletszamitas!A5</f>
        <v>1</v>
      </c>
      <c r="B5" s="28">
        <f>IF(Teruletszamitas!$B5&lt;&gt;"",Teruletszamitas!B5,"")</f>
        <v>76.3</v>
      </c>
      <c r="C5" s="28">
        <f>IF(Teruletszamitas!$C5&lt;&gt;"",Teruletszamitas!$C5,"")</f>
        <v>876</v>
      </c>
      <c r="D5" s="58">
        <f>IF(Teruletszamitas!$D5&lt;&gt;"",Teruletszamitas!$D5,"")</f>
        <v>2</v>
      </c>
      <c r="E5" s="59" t="e">
        <f ca="1">Teruletszamitas!$E5</f>
        <v>#NAME?</v>
      </c>
      <c r="F5" s="59">
        <f>IF(Teruletszamitas!$H5="","",Teruletszamitas!$H5/100)</f>
        <v>38.091999999999999</v>
      </c>
      <c r="G5" s="60" t="e">
        <f ca="1">Teruletszamitas!$G5</f>
        <v>#NAME?</v>
      </c>
      <c r="H5" s="61"/>
      <c r="I5" s="57">
        <v>1</v>
      </c>
      <c r="J5" s="28">
        <f>IF(Teruletszamitas!$B5&lt;&gt;"",Teruletszamitas!$B5,"")</f>
        <v>76.3</v>
      </c>
      <c r="K5" s="28">
        <f>IF(Teruletszamitas!$C5&lt;&gt;"",Teruletszamitas!$C5,"")</f>
        <v>876</v>
      </c>
      <c r="L5" s="58">
        <f>IF(Teruletszamitas!$D5&lt;&gt;"",Teruletszamitas!$D5,"")</f>
        <v>2</v>
      </c>
      <c r="M5" s="59" t="e">
        <f ca="1">Teruletszamitas!$E5</f>
        <v>#NAME?</v>
      </c>
      <c r="N5" s="59" t="e">
        <f ca="1">Teruletszamitas!$F5</f>
        <v>#NAME?</v>
      </c>
      <c r="O5" s="60" t="e">
        <f ca="1">Teruletszamitas!$G5</f>
        <v>#NAME?</v>
      </c>
      <c r="P5" s="61"/>
      <c r="Q5" s="56"/>
      <c r="R5" s="47"/>
      <c r="S5" s="47"/>
      <c r="T5" s="47"/>
      <c r="U5" s="47"/>
      <c r="V5" s="47"/>
      <c r="W5" s="47"/>
      <c r="X5" s="47"/>
      <c r="Y5" s="47"/>
      <c r="Z5" s="47"/>
    </row>
    <row r="6" spans="1:26" ht="17.25" customHeight="1" x14ac:dyDescent="0.3">
      <c r="A6" s="57">
        <f>Teruletszamitas!A6</f>
        <v>2</v>
      </c>
      <c r="B6" s="28">
        <f>IF(Teruletszamitas!$B6&lt;&gt;"",Teruletszamitas!B6,"")</f>
        <v>50</v>
      </c>
      <c r="C6" s="28">
        <f>IF(Teruletszamitas!$C6&lt;&gt;"",Teruletszamitas!$C6,"")</f>
        <v>150</v>
      </c>
      <c r="D6" s="58">
        <f>IF(Teruletszamitas!$D6&lt;&gt;"",Teruletszamitas!$D6,"")</f>
        <v>2</v>
      </c>
      <c r="E6" s="59" t="e">
        <f ca="1">Teruletszamitas!$E6</f>
        <v>#NAME?</v>
      </c>
      <c r="F6" s="59">
        <f>IF(Teruletszamitas!$H6="","",Teruletszamitas!$H6/100)</f>
        <v>8</v>
      </c>
      <c r="G6" s="60" t="e">
        <f ca="1">Teruletszamitas!$G6</f>
        <v>#NAME?</v>
      </c>
      <c r="H6" s="61"/>
      <c r="I6" s="57">
        <v>2</v>
      </c>
      <c r="J6" s="28">
        <f>IF(Teruletszamitas!$B6&lt;&gt;"",Teruletszamitas!$B6,"")</f>
        <v>50</v>
      </c>
      <c r="K6" s="28">
        <f>IF(Teruletszamitas!$C6&lt;&gt;"",Teruletszamitas!$C6,"")</f>
        <v>150</v>
      </c>
      <c r="L6" s="58">
        <f>IF(Teruletszamitas!$D6&lt;&gt;"",Teruletszamitas!$D6,"")</f>
        <v>2</v>
      </c>
      <c r="M6" s="59" t="e">
        <f ca="1">Teruletszamitas!$E6</f>
        <v>#NAME?</v>
      </c>
      <c r="N6" s="59" t="e">
        <f ca="1">Teruletszamitas!$F6</f>
        <v>#NAME?</v>
      </c>
      <c r="O6" s="60" t="e">
        <f ca="1">Teruletszamitas!$G6</f>
        <v>#NAME?</v>
      </c>
      <c r="P6" s="61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7.25" customHeight="1" x14ac:dyDescent="0.3">
      <c r="A7" s="57">
        <f>Teruletszamitas!A7</f>
        <v>3</v>
      </c>
      <c r="B7" s="28" t="str">
        <f>IF(Teruletszamitas!$B7&lt;&gt;"",Teruletszamitas!B7,"")</f>
        <v/>
      </c>
      <c r="C7" s="28" t="str">
        <f>IF(Teruletszamitas!$C7&lt;&gt;"",Teruletszamitas!$C7,"")</f>
        <v/>
      </c>
      <c r="D7" s="58" t="str">
        <f>IF(Teruletszamitas!$D7&lt;&gt;"",Teruletszamitas!$D7,"")</f>
        <v/>
      </c>
      <c r="E7" s="59" t="str">
        <f>Teruletszamitas!$E7</f>
        <v/>
      </c>
      <c r="F7" s="59" t="str">
        <f>IF(Teruletszamitas!$H7="","",Teruletszamitas!$H7/100)</f>
        <v/>
      </c>
      <c r="G7" s="60" t="str">
        <f>Teruletszamitas!$G7</f>
        <v/>
      </c>
      <c r="H7" s="61"/>
      <c r="I7" s="57">
        <v>3</v>
      </c>
      <c r="J7" s="28" t="str">
        <f>IF(Teruletszamitas!$B7&lt;&gt;"",Teruletszamitas!$B7,"")</f>
        <v/>
      </c>
      <c r="K7" s="28" t="str">
        <f>IF(Teruletszamitas!$C7&lt;&gt;"",Teruletszamitas!$C7,"")</f>
        <v/>
      </c>
      <c r="L7" s="58" t="str">
        <f>IF(Teruletszamitas!$D7&lt;&gt;"",Teruletszamitas!$D7,"")</f>
        <v/>
      </c>
      <c r="M7" s="59" t="str">
        <f>Teruletszamitas!$E7</f>
        <v/>
      </c>
      <c r="N7" s="59" t="str">
        <f>Teruletszamitas!$F7</f>
        <v/>
      </c>
      <c r="O7" s="60" t="str">
        <f>Teruletszamitas!$G7</f>
        <v/>
      </c>
      <c r="P7" s="61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7.25" customHeight="1" x14ac:dyDescent="0.3">
      <c r="A8" s="57">
        <f>Teruletszamitas!A8</f>
        <v>4</v>
      </c>
      <c r="B8" s="28" t="str">
        <f>IF(Teruletszamitas!$B8&lt;&gt;"",Teruletszamitas!B8,"")</f>
        <v/>
      </c>
      <c r="C8" s="28" t="str">
        <f>IF(Teruletszamitas!$C8&lt;&gt;"",Teruletszamitas!$C8,"")</f>
        <v/>
      </c>
      <c r="D8" s="58" t="str">
        <f>IF(Teruletszamitas!$D8&lt;&gt;"",Teruletszamitas!$D8,"")</f>
        <v/>
      </c>
      <c r="E8" s="59" t="str">
        <f>Teruletszamitas!$E8</f>
        <v/>
      </c>
      <c r="F8" s="59" t="str">
        <f>IF(Teruletszamitas!$H8="","",Teruletszamitas!$H8/100)</f>
        <v/>
      </c>
      <c r="G8" s="60" t="str">
        <f>Teruletszamitas!$G8</f>
        <v/>
      </c>
      <c r="H8" s="61"/>
      <c r="I8" s="57">
        <v>4</v>
      </c>
      <c r="J8" s="28" t="str">
        <f>IF(Teruletszamitas!$B8&lt;&gt;"",Teruletszamitas!$B8,"")</f>
        <v/>
      </c>
      <c r="K8" s="28" t="str">
        <f>IF(Teruletszamitas!$C8&lt;&gt;"",Teruletszamitas!$C8,"")</f>
        <v/>
      </c>
      <c r="L8" s="58" t="str">
        <f>IF(Teruletszamitas!$D8&lt;&gt;"",Teruletszamitas!$D8,"")</f>
        <v/>
      </c>
      <c r="M8" s="59" t="str">
        <f>Teruletszamitas!$E8</f>
        <v/>
      </c>
      <c r="N8" s="59" t="str">
        <f>Teruletszamitas!$F8</f>
        <v/>
      </c>
      <c r="O8" s="60" t="str">
        <f>Teruletszamitas!$G8</f>
        <v/>
      </c>
      <c r="P8" s="61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7.25" customHeight="1" x14ac:dyDescent="0.3">
      <c r="A9" s="57">
        <f>Teruletszamitas!A9</f>
        <v>5</v>
      </c>
      <c r="B9" s="28" t="str">
        <f>IF(Teruletszamitas!$B9&lt;&gt;"",Teruletszamitas!B9,"")</f>
        <v/>
      </c>
      <c r="C9" s="28" t="str">
        <f>IF(Teruletszamitas!$C9&lt;&gt;"",Teruletszamitas!$C9,"")</f>
        <v/>
      </c>
      <c r="D9" s="58" t="str">
        <f>IF(Teruletszamitas!$D9&lt;&gt;"",Teruletszamitas!$D9,"")</f>
        <v/>
      </c>
      <c r="E9" s="59" t="str">
        <f>Teruletszamitas!$E9</f>
        <v/>
      </c>
      <c r="F9" s="59" t="str">
        <f>IF(Teruletszamitas!$H9="","",Teruletszamitas!$H9/100)</f>
        <v/>
      </c>
      <c r="G9" s="60" t="str">
        <f>Teruletszamitas!$G9</f>
        <v/>
      </c>
      <c r="H9" s="61"/>
      <c r="I9" s="57">
        <v>5</v>
      </c>
      <c r="J9" s="28" t="str">
        <f>IF(Teruletszamitas!$B9&lt;&gt;"",Teruletszamitas!$B9,"")</f>
        <v/>
      </c>
      <c r="K9" s="28" t="str">
        <f>IF(Teruletszamitas!$C9&lt;&gt;"",Teruletszamitas!$C9,"")</f>
        <v/>
      </c>
      <c r="L9" s="58" t="str">
        <f>IF(Teruletszamitas!$D9&lt;&gt;"",Teruletszamitas!$D9,"")</f>
        <v/>
      </c>
      <c r="M9" s="59" t="str">
        <f>Teruletszamitas!$E9</f>
        <v/>
      </c>
      <c r="N9" s="59" t="str">
        <f>Teruletszamitas!$F9</f>
        <v/>
      </c>
      <c r="O9" s="60" t="str">
        <f>Teruletszamitas!$G9</f>
        <v/>
      </c>
      <c r="P9" s="61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7.25" customHeight="1" x14ac:dyDescent="0.3">
      <c r="A10" s="57">
        <f>Teruletszamitas!A10</f>
        <v>6</v>
      </c>
      <c r="B10" s="28" t="str">
        <f>IF(Teruletszamitas!$B10&lt;&gt;"",Teruletszamitas!B10,"")</f>
        <v/>
      </c>
      <c r="C10" s="28" t="str">
        <f>IF(Teruletszamitas!$C10&lt;&gt;"",Teruletszamitas!$C10,"")</f>
        <v/>
      </c>
      <c r="D10" s="58" t="str">
        <f>IF(Teruletszamitas!$D10&lt;&gt;"",Teruletszamitas!$D10,"")</f>
        <v/>
      </c>
      <c r="E10" s="59" t="str">
        <f>Teruletszamitas!$E10</f>
        <v/>
      </c>
      <c r="F10" s="59" t="str">
        <f>IF(Teruletszamitas!$H10="","",Teruletszamitas!$H10/100)</f>
        <v/>
      </c>
      <c r="G10" s="60" t="str">
        <f>Teruletszamitas!$G10</f>
        <v/>
      </c>
      <c r="H10" s="61"/>
      <c r="I10" s="57">
        <v>6</v>
      </c>
      <c r="J10" s="28" t="str">
        <f>IF(Teruletszamitas!$B10&lt;&gt;"",Teruletszamitas!$B10,"")</f>
        <v/>
      </c>
      <c r="K10" s="28" t="str">
        <f>IF(Teruletszamitas!$C10&lt;&gt;"",Teruletszamitas!$C10,"")</f>
        <v/>
      </c>
      <c r="L10" s="58" t="str">
        <f>IF(Teruletszamitas!$D10&lt;&gt;"",Teruletszamitas!$D10,"")</f>
        <v/>
      </c>
      <c r="M10" s="59" t="str">
        <f>Teruletszamitas!$E10</f>
        <v/>
      </c>
      <c r="N10" s="59" t="str">
        <f>Teruletszamitas!$F10</f>
        <v/>
      </c>
      <c r="O10" s="60" t="str">
        <f>Teruletszamitas!$G10</f>
        <v/>
      </c>
      <c r="P10" s="61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7.25" customHeight="1" x14ac:dyDescent="0.3">
      <c r="A11" s="57">
        <f>Teruletszamitas!A11</f>
        <v>7</v>
      </c>
      <c r="B11" s="28" t="str">
        <f>IF(Teruletszamitas!$B11&lt;&gt;"",Teruletszamitas!B11,"")</f>
        <v/>
      </c>
      <c r="C11" s="28" t="str">
        <f>IF(Teruletszamitas!$C11&lt;&gt;"",Teruletszamitas!$C11,"")</f>
        <v/>
      </c>
      <c r="D11" s="58" t="str">
        <f>IF(Teruletszamitas!$D11&lt;&gt;"",Teruletszamitas!$D11,"")</f>
        <v/>
      </c>
      <c r="E11" s="59" t="str">
        <f>Teruletszamitas!$E11</f>
        <v/>
      </c>
      <c r="F11" s="59" t="str">
        <f>IF(Teruletszamitas!$H11="","",Teruletszamitas!$H11/100)</f>
        <v/>
      </c>
      <c r="G11" s="60" t="str">
        <f>Teruletszamitas!$G11</f>
        <v/>
      </c>
      <c r="H11" s="61"/>
      <c r="I11" s="57">
        <v>7</v>
      </c>
      <c r="J11" s="28" t="str">
        <f>IF(Teruletszamitas!$B11&lt;&gt;"",Teruletszamitas!$B11,"")</f>
        <v/>
      </c>
      <c r="K11" s="28" t="str">
        <f>IF(Teruletszamitas!$C11&lt;&gt;"",Teruletszamitas!$C11,"")</f>
        <v/>
      </c>
      <c r="L11" s="58" t="str">
        <f>IF(Teruletszamitas!$D11&lt;&gt;"",Teruletszamitas!$D11,"")</f>
        <v/>
      </c>
      <c r="M11" s="59" t="str">
        <f>Teruletszamitas!$E11</f>
        <v/>
      </c>
      <c r="N11" s="59" t="str">
        <f>Teruletszamitas!$F11</f>
        <v/>
      </c>
      <c r="O11" s="60" t="str">
        <f>Teruletszamitas!$G11</f>
        <v/>
      </c>
      <c r="P11" s="61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7.25" customHeight="1" x14ac:dyDescent="0.3">
      <c r="A12" s="57">
        <f>Teruletszamitas!A12</f>
        <v>8</v>
      </c>
      <c r="B12" s="28" t="str">
        <f>IF(Teruletszamitas!$B12&lt;&gt;"",Teruletszamitas!B12,"")</f>
        <v/>
      </c>
      <c r="C12" s="28" t="str">
        <f>IF(Teruletszamitas!$C12&lt;&gt;"",Teruletszamitas!$C12,"")</f>
        <v/>
      </c>
      <c r="D12" s="58" t="str">
        <f>IF(Teruletszamitas!$D12&lt;&gt;"",Teruletszamitas!$D12,"")</f>
        <v/>
      </c>
      <c r="E12" s="59" t="str">
        <f>Teruletszamitas!$E12</f>
        <v/>
      </c>
      <c r="F12" s="59" t="str">
        <f>IF(Teruletszamitas!$H12="","",Teruletszamitas!$H12/100)</f>
        <v/>
      </c>
      <c r="G12" s="60" t="str">
        <f>Teruletszamitas!$G12</f>
        <v/>
      </c>
      <c r="H12" s="61"/>
      <c r="I12" s="57">
        <v>8</v>
      </c>
      <c r="J12" s="28" t="str">
        <f>IF(Teruletszamitas!$B12&lt;&gt;"",Teruletszamitas!$B12,"")</f>
        <v/>
      </c>
      <c r="K12" s="28" t="str">
        <f>IF(Teruletszamitas!$C12&lt;&gt;"",Teruletszamitas!$C12,"")</f>
        <v/>
      </c>
      <c r="L12" s="58" t="str">
        <f>IF(Teruletszamitas!$D12&lt;&gt;"",Teruletszamitas!$D12,"")</f>
        <v/>
      </c>
      <c r="M12" s="59" t="str">
        <f>Teruletszamitas!$E12</f>
        <v/>
      </c>
      <c r="N12" s="59" t="str">
        <f>Teruletszamitas!$F12</f>
        <v/>
      </c>
      <c r="O12" s="60" t="str">
        <f>Teruletszamitas!$G12</f>
        <v/>
      </c>
      <c r="P12" s="61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7.25" customHeight="1" x14ac:dyDescent="0.3">
      <c r="A13" s="57">
        <f>Teruletszamitas!A13</f>
        <v>9</v>
      </c>
      <c r="B13" s="28" t="str">
        <f>IF(Teruletszamitas!$B13&lt;&gt;"",Teruletszamitas!B13,"")</f>
        <v/>
      </c>
      <c r="C13" s="28" t="str">
        <f>IF(Teruletszamitas!$C13&lt;&gt;"",Teruletszamitas!$C13,"")</f>
        <v/>
      </c>
      <c r="D13" s="58" t="str">
        <f>IF(Teruletszamitas!$D13&lt;&gt;"",Teruletszamitas!$D13,"")</f>
        <v/>
      </c>
      <c r="E13" s="59" t="str">
        <f>Teruletszamitas!$E13</f>
        <v/>
      </c>
      <c r="F13" s="59" t="str">
        <f>IF(Teruletszamitas!$H13="","",Teruletszamitas!$H13/100)</f>
        <v/>
      </c>
      <c r="G13" s="60" t="str">
        <f>Teruletszamitas!$G13</f>
        <v/>
      </c>
      <c r="H13" s="61"/>
      <c r="I13" s="57">
        <v>9</v>
      </c>
      <c r="J13" s="28" t="str">
        <f>IF(Teruletszamitas!$B13&lt;&gt;"",Teruletszamitas!$B13,"")</f>
        <v/>
      </c>
      <c r="K13" s="28" t="str">
        <f>IF(Teruletszamitas!$C13&lt;&gt;"",Teruletszamitas!$C13,"")</f>
        <v/>
      </c>
      <c r="L13" s="58" t="str">
        <f>IF(Teruletszamitas!$D13&lt;&gt;"",Teruletszamitas!$D13,"")</f>
        <v/>
      </c>
      <c r="M13" s="59" t="str">
        <f>Teruletszamitas!$E13</f>
        <v/>
      </c>
      <c r="N13" s="59" t="str">
        <f>Teruletszamitas!$F13</f>
        <v/>
      </c>
      <c r="O13" s="60" t="str">
        <f>Teruletszamitas!$G13</f>
        <v/>
      </c>
      <c r="P13" s="61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7.25" customHeight="1" x14ac:dyDescent="0.3">
      <c r="A14" s="57">
        <f>Teruletszamitas!A14</f>
        <v>10</v>
      </c>
      <c r="B14" s="28" t="str">
        <f>IF(Teruletszamitas!$B14&lt;&gt;"",Teruletszamitas!B14,"")</f>
        <v/>
      </c>
      <c r="C14" s="28" t="str">
        <f>IF(Teruletszamitas!$C14&lt;&gt;"",Teruletszamitas!$C14,"")</f>
        <v/>
      </c>
      <c r="D14" s="58" t="str">
        <f>IF(Teruletszamitas!$D14&lt;&gt;"",Teruletszamitas!$D14,"")</f>
        <v/>
      </c>
      <c r="E14" s="59" t="str">
        <f>Teruletszamitas!$E14</f>
        <v/>
      </c>
      <c r="F14" s="59" t="str">
        <f>IF(Teruletszamitas!$H14="","",Teruletszamitas!$H14/100)</f>
        <v/>
      </c>
      <c r="G14" s="60" t="str">
        <f>Teruletszamitas!$G14</f>
        <v/>
      </c>
      <c r="H14" s="61"/>
      <c r="I14" s="57">
        <v>10</v>
      </c>
      <c r="J14" s="28" t="str">
        <f>IF(Teruletszamitas!$B14&lt;&gt;"",Teruletszamitas!$B14,"")</f>
        <v/>
      </c>
      <c r="K14" s="28" t="str">
        <f>IF(Teruletszamitas!$C14&lt;&gt;"",Teruletszamitas!$C14,"")</f>
        <v/>
      </c>
      <c r="L14" s="58" t="str">
        <f>IF(Teruletszamitas!$D14&lt;&gt;"",Teruletszamitas!$D14,"")</f>
        <v/>
      </c>
      <c r="M14" s="59" t="str">
        <f>Teruletszamitas!$E14</f>
        <v/>
      </c>
      <c r="N14" s="59" t="str">
        <f>Teruletszamitas!$F14</f>
        <v/>
      </c>
      <c r="O14" s="60" t="str">
        <f>Teruletszamitas!$G14</f>
        <v/>
      </c>
      <c r="P14" s="61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7.25" customHeight="1" x14ac:dyDescent="0.3">
      <c r="A15" s="57">
        <f>Teruletszamitas!A15</f>
        <v>11</v>
      </c>
      <c r="B15" s="28" t="str">
        <f>IF(Teruletszamitas!$B15&lt;&gt;"",Teruletszamitas!B15,"")</f>
        <v/>
      </c>
      <c r="C15" s="28" t="str">
        <f>IF(Teruletszamitas!$C15&lt;&gt;"",Teruletszamitas!$C15,"")</f>
        <v/>
      </c>
      <c r="D15" s="58" t="str">
        <f>IF(Teruletszamitas!$D15&lt;&gt;"",Teruletszamitas!$D15,"")</f>
        <v/>
      </c>
      <c r="E15" s="59" t="str">
        <f>Teruletszamitas!$E15</f>
        <v/>
      </c>
      <c r="F15" s="59" t="str">
        <f>IF(Teruletszamitas!$H15="","",Teruletszamitas!$H15/100)</f>
        <v/>
      </c>
      <c r="G15" s="60" t="str">
        <f>Teruletszamitas!$G15</f>
        <v/>
      </c>
      <c r="H15" s="61"/>
      <c r="I15" s="57">
        <v>11</v>
      </c>
      <c r="J15" s="28" t="str">
        <f>IF(Teruletszamitas!$B15&lt;&gt;"",Teruletszamitas!$B15,"")</f>
        <v/>
      </c>
      <c r="K15" s="28" t="str">
        <f>IF(Teruletszamitas!$C15&lt;&gt;"",Teruletszamitas!$C15,"")</f>
        <v/>
      </c>
      <c r="L15" s="58" t="str">
        <f>IF(Teruletszamitas!$D15&lt;&gt;"",Teruletszamitas!$D15,"")</f>
        <v/>
      </c>
      <c r="M15" s="59" t="str">
        <f>Teruletszamitas!$E15</f>
        <v/>
      </c>
      <c r="N15" s="59" t="str">
        <f>Teruletszamitas!$F15</f>
        <v/>
      </c>
      <c r="O15" s="60" t="str">
        <f>Teruletszamitas!$G15</f>
        <v/>
      </c>
      <c r="P15" s="61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7.25" customHeight="1" x14ac:dyDescent="0.3">
      <c r="A16" s="57">
        <f>Teruletszamitas!A16</f>
        <v>12</v>
      </c>
      <c r="B16" s="28" t="str">
        <f>IF(Teruletszamitas!$B16&lt;&gt;"",Teruletszamitas!B16,"")</f>
        <v/>
      </c>
      <c r="C16" s="28" t="str">
        <f>IF(Teruletszamitas!$C16&lt;&gt;"",Teruletszamitas!$C16,"")</f>
        <v/>
      </c>
      <c r="D16" s="58" t="str">
        <f>IF(Teruletszamitas!$D16&lt;&gt;"",Teruletszamitas!$D16,"")</f>
        <v/>
      </c>
      <c r="E16" s="59" t="str">
        <f>Teruletszamitas!$E16</f>
        <v/>
      </c>
      <c r="F16" s="59" t="str">
        <f>IF(Teruletszamitas!$H16="","",Teruletszamitas!$H16/100)</f>
        <v/>
      </c>
      <c r="G16" s="60" t="str">
        <f>Teruletszamitas!$G16</f>
        <v/>
      </c>
      <c r="H16" s="61"/>
      <c r="I16" s="57">
        <v>12</v>
      </c>
      <c r="J16" s="28" t="str">
        <f>IF(Teruletszamitas!$B16&lt;&gt;"",Teruletszamitas!$B16,"")</f>
        <v/>
      </c>
      <c r="K16" s="28" t="str">
        <f>IF(Teruletszamitas!$C16&lt;&gt;"",Teruletszamitas!$C16,"")</f>
        <v/>
      </c>
      <c r="L16" s="58" t="str">
        <f>IF(Teruletszamitas!$D16&lt;&gt;"",Teruletszamitas!$D16,"")</f>
        <v/>
      </c>
      <c r="M16" s="59" t="str">
        <f>Teruletszamitas!$E16</f>
        <v/>
      </c>
      <c r="N16" s="59" t="str">
        <f>Teruletszamitas!$F16</f>
        <v/>
      </c>
      <c r="O16" s="60" t="str">
        <f>Teruletszamitas!$G16</f>
        <v/>
      </c>
      <c r="P16" s="61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7.25" customHeight="1" x14ac:dyDescent="0.3">
      <c r="A17" s="57">
        <f>Teruletszamitas!A17</f>
        <v>13</v>
      </c>
      <c r="B17" s="28" t="str">
        <f>IF(Teruletszamitas!$B17&lt;&gt;"",Teruletszamitas!B17,"")</f>
        <v/>
      </c>
      <c r="C17" s="28" t="str">
        <f>IF(Teruletszamitas!$C17&lt;&gt;"",Teruletszamitas!$C17,"")</f>
        <v/>
      </c>
      <c r="D17" s="58" t="str">
        <f>IF(Teruletszamitas!$D17&lt;&gt;"",Teruletszamitas!$D17,"")</f>
        <v/>
      </c>
      <c r="E17" s="59" t="str">
        <f>Teruletszamitas!$E17</f>
        <v/>
      </c>
      <c r="F17" s="59" t="str">
        <f>IF(Teruletszamitas!$H17="","",Teruletszamitas!$H17/100)</f>
        <v/>
      </c>
      <c r="G17" s="60" t="str">
        <f>Teruletszamitas!$G17</f>
        <v/>
      </c>
      <c r="H17" s="61"/>
      <c r="I17" s="57">
        <v>13</v>
      </c>
      <c r="J17" s="28" t="str">
        <f>IF(Teruletszamitas!$B17&lt;&gt;"",Teruletszamitas!$B17,"")</f>
        <v/>
      </c>
      <c r="K17" s="28" t="str">
        <f>IF(Teruletszamitas!$C17&lt;&gt;"",Teruletszamitas!$C17,"")</f>
        <v/>
      </c>
      <c r="L17" s="58" t="str">
        <f>IF(Teruletszamitas!$D17&lt;&gt;"",Teruletszamitas!$D17,"")</f>
        <v/>
      </c>
      <c r="M17" s="59" t="str">
        <f>Teruletszamitas!$E17</f>
        <v/>
      </c>
      <c r="N17" s="59" t="str">
        <f>Teruletszamitas!$F17</f>
        <v/>
      </c>
      <c r="O17" s="60" t="str">
        <f>Teruletszamitas!$G17</f>
        <v/>
      </c>
      <c r="P17" s="61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7.25" customHeight="1" x14ac:dyDescent="0.3">
      <c r="A18" s="57">
        <f>Teruletszamitas!A18</f>
        <v>14</v>
      </c>
      <c r="B18" s="28" t="str">
        <f>IF(Teruletszamitas!$B18&lt;&gt;"",Teruletszamitas!B18,"")</f>
        <v/>
      </c>
      <c r="C18" s="28" t="str">
        <f>IF(Teruletszamitas!$C18&lt;&gt;"",Teruletszamitas!$C18,"")</f>
        <v/>
      </c>
      <c r="D18" s="58" t="str">
        <f>IF(Teruletszamitas!$D18&lt;&gt;"",Teruletszamitas!$D18,"")</f>
        <v/>
      </c>
      <c r="E18" s="59" t="str">
        <f>Teruletszamitas!$E18</f>
        <v/>
      </c>
      <c r="F18" s="59" t="str">
        <f>IF(Teruletszamitas!$H18="","",Teruletszamitas!$H18/100)</f>
        <v/>
      </c>
      <c r="G18" s="60" t="str">
        <f>Teruletszamitas!$G18</f>
        <v/>
      </c>
      <c r="H18" s="61"/>
      <c r="I18" s="57">
        <v>14</v>
      </c>
      <c r="J18" s="28" t="str">
        <f>IF(Teruletszamitas!$B18&lt;&gt;"",Teruletszamitas!$B18,"")</f>
        <v/>
      </c>
      <c r="K18" s="28" t="str">
        <f>IF(Teruletszamitas!$C18&lt;&gt;"",Teruletszamitas!$C18,"")</f>
        <v/>
      </c>
      <c r="L18" s="58" t="str">
        <f>IF(Teruletszamitas!$D18&lt;&gt;"",Teruletszamitas!$D18,"")</f>
        <v/>
      </c>
      <c r="M18" s="59" t="str">
        <f>Teruletszamitas!$E18</f>
        <v/>
      </c>
      <c r="N18" s="59" t="str">
        <f>Teruletszamitas!$F18</f>
        <v/>
      </c>
      <c r="O18" s="60" t="str">
        <f>Teruletszamitas!$G18</f>
        <v/>
      </c>
      <c r="P18" s="61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7.25" customHeight="1" x14ac:dyDescent="0.3">
      <c r="A19" s="57">
        <f>Teruletszamitas!A19</f>
        <v>15</v>
      </c>
      <c r="B19" s="28" t="str">
        <f>IF(Teruletszamitas!$B19&lt;&gt;"",Teruletszamitas!B19,"")</f>
        <v/>
      </c>
      <c r="C19" s="28" t="str">
        <f>IF(Teruletszamitas!$C19&lt;&gt;"",Teruletszamitas!$C19,"")</f>
        <v/>
      </c>
      <c r="D19" s="58" t="str">
        <f>IF(Teruletszamitas!$D19&lt;&gt;"",Teruletszamitas!$D19,"")</f>
        <v/>
      </c>
      <c r="E19" s="59" t="str">
        <f>Teruletszamitas!$E19</f>
        <v/>
      </c>
      <c r="F19" s="59" t="str">
        <f>IF(Teruletszamitas!$H19="","",Teruletszamitas!$H19/100)</f>
        <v/>
      </c>
      <c r="G19" s="60" t="str">
        <f>Teruletszamitas!$G19</f>
        <v/>
      </c>
      <c r="H19" s="61"/>
      <c r="I19" s="57">
        <v>15</v>
      </c>
      <c r="J19" s="28" t="str">
        <f>IF(Teruletszamitas!$B19&lt;&gt;"",Teruletszamitas!$B19,"")</f>
        <v/>
      </c>
      <c r="K19" s="28" t="str">
        <f>IF(Teruletszamitas!$C19&lt;&gt;"",Teruletszamitas!$C19,"")</f>
        <v/>
      </c>
      <c r="L19" s="58" t="str">
        <f>IF(Teruletszamitas!$D19&lt;&gt;"",Teruletszamitas!$D19,"")</f>
        <v/>
      </c>
      <c r="M19" s="59" t="str">
        <f>Teruletszamitas!$E19</f>
        <v/>
      </c>
      <c r="N19" s="59" t="str">
        <f>Teruletszamitas!$F19</f>
        <v/>
      </c>
      <c r="O19" s="60" t="str">
        <f>Teruletszamitas!$G19</f>
        <v/>
      </c>
      <c r="P19" s="61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7.25" customHeight="1" x14ac:dyDescent="0.3">
      <c r="A20" s="57">
        <f>Teruletszamitas!A20</f>
        <v>16</v>
      </c>
      <c r="B20" s="28" t="str">
        <f>IF(Teruletszamitas!$B20&lt;&gt;"",Teruletszamitas!B20,"")</f>
        <v/>
      </c>
      <c r="C20" s="28" t="str">
        <f>IF(Teruletszamitas!$C20&lt;&gt;"",Teruletszamitas!$C20,"")</f>
        <v/>
      </c>
      <c r="D20" s="58" t="str">
        <f>IF(Teruletszamitas!$D20&lt;&gt;"",Teruletszamitas!$D20,"")</f>
        <v/>
      </c>
      <c r="E20" s="59" t="str">
        <f>Teruletszamitas!$E20</f>
        <v/>
      </c>
      <c r="F20" s="59" t="str">
        <f>IF(Teruletszamitas!$H20="","",Teruletszamitas!$H20/100)</f>
        <v/>
      </c>
      <c r="G20" s="60" t="str">
        <f>Teruletszamitas!$G20</f>
        <v/>
      </c>
      <c r="H20" s="61"/>
      <c r="I20" s="57">
        <v>16</v>
      </c>
      <c r="J20" s="28" t="str">
        <f>IF(Teruletszamitas!$B20&lt;&gt;"",Teruletszamitas!$B20,"")</f>
        <v/>
      </c>
      <c r="K20" s="28" t="str">
        <f>IF(Teruletszamitas!$C20&lt;&gt;"",Teruletszamitas!$C20,"")</f>
        <v/>
      </c>
      <c r="L20" s="58" t="str">
        <f>IF(Teruletszamitas!$D20&lt;&gt;"",Teruletszamitas!$D20,"")</f>
        <v/>
      </c>
      <c r="M20" s="59" t="str">
        <f>Teruletszamitas!$E20</f>
        <v/>
      </c>
      <c r="N20" s="59" t="str">
        <f>Teruletszamitas!$F20</f>
        <v/>
      </c>
      <c r="O20" s="60" t="str">
        <f>Teruletszamitas!$G20</f>
        <v/>
      </c>
      <c r="P20" s="61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7.25" customHeight="1" x14ac:dyDescent="0.3">
      <c r="A21" s="57">
        <f>Teruletszamitas!A21</f>
        <v>17</v>
      </c>
      <c r="B21" s="28" t="str">
        <f>IF(Teruletszamitas!$B21&lt;&gt;"",Teruletszamitas!B21,"")</f>
        <v/>
      </c>
      <c r="C21" s="28" t="str">
        <f>IF(Teruletszamitas!$C21&lt;&gt;"",Teruletszamitas!$C21,"")</f>
        <v/>
      </c>
      <c r="D21" s="58" t="str">
        <f>IF(Teruletszamitas!$D21&lt;&gt;"",Teruletszamitas!$D21,"")</f>
        <v/>
      </c>
      <c r="E21" s="59" t="str">
        <f>Teruletszamitas!$E21</f>
        <v/>
      </c>
      <c r="F21" s="59" t="str">
        <f>IF(Teruletszamitas!$H21="","",Teruletszamitas!$H21/100)</f>
        <v/>
      </c>
      <c r="G21" s="60" t="str">
        <f>Teruletszamitas!$G21</f>
        <v/>
      </c>
      <c r="H21" s="61"/>
      <c r="I21" s="57">
        <v>17</v>
      </c>
      <c r="J21" s="28" t="str">
        <f>IF(Teruletszamitas!$B21&lt;&gt;"",Teruletszamitas!$B21,"")</f>
        <v/>
      </c>
      <c r="K21" s="28" t="str">
        <f>IF(Teruletszamitas!$C21&lt;&gt;"",Teruletszamitas!$C21,"")</f>
        <v/>
      </c>
      <c r="L21" s="58" t="str">
        <f>IF(Teruletszamitas!$D21&lt;&gt;"",Teruletszamitas!$D21,"")</f>
        <v/>
      </c>
      <c r="M21" s="59" t="str">
        <f>Teruletszamitas!$E21</f>
        <v/>
      </c>
      <c r="N21" s="59" t="str">
        <f>Teruletszamitas!$F21</f>
        <v/>
      </c>
      <c r="O21" s="60" t="str">
        <f>Teruletszamitas!$G21</f>
        <v/>
      </c>
      <c r="P21" s="61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7.25" customHeight="1" x14ac:dyDescent="0.3">
      <c r="A22" s="57">
        <f>Teruletszamitas!A22</f>
        <v>18</v>
      </c>
      <c r="B22" s="28" t="str">
        <f>IF(Teruletszamitas!$B22&lt;&gt;"",Teruletszamitas!B22,"")</f>
        <v/>
      </c>
      <c r="C22" s="28" t="str">
        <f>IF(Teruletszamitas!$C22&lt;&gt;"",Teruletszamitas!$C22,"")</f>
        <v/>
      </c>
      <c r="D22" s="58" t="str">
        <f>IF(Teruletszamitas!$D22&lt;&gt;"",Teruletszamitas!$D22,"")</f>
        <v/>
      </c>
      <c r="E22" s="59" t="str">
        <f>Teruletszamitas!$E22</f>
        <v/>
      </c>
      <c r="F22" s="59" t="str">
        <f>IF(Teruletszamitas!$H22="","",Teruletszamitas!$H22/100)</f>
        <v/>
      </c>
      <c r="G22" s="60" t="str">
        <f>Teruletszamitas!$G22</f>
        <v/>
      </c>
      <c r="H22" s="61"/>
      <c r="I22" s="57">
        <v>18</v>
      </c>
      <c r="J22" s="28" t="str">
        <f>IF(Teruletszamitas!$B22&lt;&gt;"",Teruletszamitas!$B22,"")</f>
        <v/>
      </c>
      <c r="K22" s="28" t="str">
        <f>IF(Teruletszamitas!$C22&lt;&gt;"",Teruletszamitas!$C22,"")</f>
        <v/>
      </c>
      <c r="L22" s="58" t="str">
        <f>IF(Teruletszamitas!$D22&lt;&gt;"",Teruletszamitas!$D22,"")</f>
        <v/>
      </c>
      <c r="M22" s="59" t="str">
        <f>Teruletszamitas!$E22</f>
        <v/>
      </c>
      <c r="N22" s="59" t="str">
        <f>Teruletszamitas!$F22</f>
        <v/>
      </c>
      <c r="O22" s="60" t="str">
        <f>Teruletszamitas!$G22</f>
        <v/>
      </c>
      <c r="P22" s="61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7.25" customHeight="1" x14ac:dyDescent="0.3">
      <c r="A23" s="57">
        <f>Teruletszamitas!A23</f>
        <v>19</v>
      </c>
      <c r="B23" s="28" t="str">
        <f>IF(Teruletszamitas!$B23&lt;&gt;"",Teruletszamitas!B23,"")</f>
        <v/>
      </c>
      <c r="C23" s="28" t="str">
        <f>IF(Teruletszamitas!$C23&lt;&gt;"",Teruletszamitas!$C23,"")</f>
        <v/>
      </c>
      <c r="D23" s="58" t="str">
        <f>IF(Teruletszamitas!$D23&lt;&gt;"",Teruletszamitas!$D23,"")</f>
        <v/>
      </c>
      <c r="E23" s="59" t="str">
        <f>Teruletszamitas!$E23</f>
        <v/>
      </c>
      <c r="F23" s="59" t="str">
        <f>IF(Teruletszamitas!$H23="","",Teruletszamitas!$H23/100)</f>
        <v/>
      </c>
      <c r="G23" s="60" t="str">
        <f>Teruletszamitas!$G23</f>
        <v/>
      </c>
      <c r="H23" s="61"/>
      <c r="I23" s="57">
        <v>19</v>
      </c>
      <c r="J23" s="28" t="str">
        <f>IF(Teruletszamitas!$B23&lt;&gt;"",Teruletszamitas!$B23,"")</f>
        <v/>
      </c>
      <c r="K23" s="28" t="str">
        <f>IF(Teruletszamitas!$C23&lt;&gt;"",Teruletszamitas!$C23,"")</f>
        <v/>
      </c>
      <c r="L23" s="58" t="str">
        <f>IF(Teruletszamitas!$D23&lt;&gt;"",Teruletszamitas!$D23,"")</f>
        <v/>
      </c>
      <c r="M23" s="59" t="str">
        <f>Teruletszamitas!$E23</f>
        <v/>
      </c>
      <c r="N23" s="59" t="str">
        <f>Teruletszamitas!$F23</f>
        <v/>
      </c>
      <c r="O23" s="60" t="str">
        <f>Teruletszamitas!$G23</f>
        <v/>
      </c>
      <c r="P23" s="61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7.25" customHeight="1" x14ac:dyDescent="0.3">
      <c r="A24" s="57">
        <f>Teruletszamitas!A24</f>
        <v>20</v>
      </c>
      <c r="B24" s="28" t="str">
        <f>IF(Teruletszamitas!$B24&lt;&gt;"",Teruletszamitas!B24,"")</f>
        <v/>
      </c>
      <c r="C24" s="28" t="str">
        <f>IF(Teruletszamitas!$C24&lt;&gt;"",Teruletszamitas!$C24,"")</f>
        <v/>
      </c>
      <c r="D24" s="58" t="str">
        <f>IF(Teruletszamitas!$D24&lt;&gt;"",Teruletszamitas!$D24,"")</f>
        <v/>
      </c>
      <c r="E24" s="59" t="str">
        <f>Teruletszamitas!$E24</f>
        <v/>
      </c>
      <c r="F24" s="59" t="str">
        <f>IF(Teruletszamitas!$H24="","",Teruletszamitas!$H24/100)</f>
        <v/>
      </c>
      <c r="G24" s="60" t="str">
        <f>Teruletszamitas!$G24</f>
        <v/>
      </c>
      <c r="H24" s="61"/>
      <c r="I24" s="57">
        <v>20</v>
      </c>
      <c r="J24" s="28" t="str">
        <f>IF(Teruletszamitas!$B24&lt;&gt;"",Teruletszamitas!$B24,"")</f>
        <v/>
      </c>
      <c r="K24" s="28" t="str">
        <f>IF(Teruletszamitas!$C24&lt;&gt;"",Teruletszamitas!$C24,"")</f>
        <v/>
      </c>
      <c r="L24" s="58" t="str">
        <f>IF(Teruletszamitas!$D24&lt;&gt;"",Teruletszamitas!$D24,"")</f>
        <v/>
      </c>
      <c r="M24" s="59" t="str">
        <f>Teruletszamitas!$E24</f>
        <v/>
      </c>
      <c r="N24" s="59" t="str">
        <f>Teruletszamitas!$F24</f>
        <v/>
      </c>
      <c r="O24" s="60" t="str">
        <f>Teruletszamitas!$G24</f>
        <v/>
      </c>
      <c r="P24" s="61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4.25" customHeight="1" x14ac:dyDescent="0.3">
      <c r="A25" s="62"/>
      <c r="B25" s="62"/>
      <c r="C25" s="63" t="str">
        <f>Teruletszamitas!C25</f>
        <v>Össz:</v>
      </c>
      <c r="D25" s="64">
        <f>Teruletszamitas!D25</f>
        <v>4</v>
      </c>
      <c r="E25" s="60" t="e">
        <f ca="1">Teruletszamitas!E25</f>
        <v>#NAME?</v>
      </c>
      <c r="F25" s="65">
        <f>IF(Teruletszamitas!$H25="","",Teruletszamitas!$H25/100)</f>
        <v>46.091999999999999</v>
      </c>
      <c r="G25" s="60" t="e">
        <f ca="1">Teruletszamitas!G25</f>
        <v>#NAME?</v>
      </c>
      <c r="H25" s="61"/>
      <c r="I25" s="62"/>
      <c r="J25" s="62"/>
      <c r="K25" s="66" t="str">
        <f t="shared" ref="K25:M25" si="0">C25</f>
        <v>Össz:</v>
      </c>
      <c r="L25" s="67">
        <f t="shared" si="0"/>
        <v>4</v>
      </c>
      <c r="M25" s="68" t="e">
        <f t="shared" ca="1" si="0"/>
        <v>#NAME?</v>
      </c>
      <c r="N25" s="68" t="e">
        <f ca="1">Teruletszamitas!F25</f>
        <v>#NAME?</v>
      </c>
      <c r="O25" s="68" t="e">
        <f ca="1">G25</f>
        <v>#NAME?</v>
      </c>
      <c r="P25" s="61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5" customHeight="1" x14ac:dyDescent="0.3">
      <c r="A26" s="195"/>
      <c r="B26" s="182"/>
      <c r="C26" s="182"/>
      <c r="D26" s="182"/>
      <c r="E26" s="182"/>
      <c r="F26" s="182"/>
      <c r="G26" s="183"/>
      <c r="H26" s="69"/>
      <c r="I26" s="195"/>
      <c r="J26" s="182"/>
      <c r="K26" s="182"/>
      <c r="L26" s="182"/>
      <c r="M26" s="182"/>
      <c r="N26" s="182"/>
      <c r="O26" s="183"/>
      <c r="P26" s="69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3" customHeight="1" x14ac:dyDescent="0.3">
      <c r="A27" s="69"/>
      <c r="B27" s="69"/>
      <c r="C27" s="69"/>
      <c r="D27" s="70"/>
      <c r="E27" s="71"/>
      <c r="F27" s="71"/>
      <c r="G27" s="72"/>
      <c r="H27" s="69"/>
      <c r="I27" s="69"/>
      <c r="J27" s="69"/>
      <c r="K27" s="69"/>
      <c r="L27" s="70"/>
      <c r="M27" s="71"/>
      <c r="N27" s="71"/>
      <c r="O27" s="72"/>
      <c r="P27" s="69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5" customHeight="1" x14ac:dyDescent="0.3">
      <c r="A28" s="69"/>
      <c r="B28" s="46"/>
      <c r="C28" s="200"/>
      <c r="D28" s="183"/>
      <c r="E28" s="196">
        <f>Teruletszamitas!H28</f>
        <v>2166</v>
      </c>
      <c r="F28" s="182"/>
      <c r="G28" s="183"/>
      <c r="H28" s="69"/>
      <c r="I28" s="69"/>
      <c r="J28" s="46"/>
      <c r="K28" s="200"/>
      <c r="L28" s="183"/>
      <c r="M28" s="196">
        <f>Teruletszamitas!H28</f>
        <v>2166</v>
      </c>
      <c r="N28" s="182"/>
      <c r="O28" s="183"/>
      <c r="P28" s="69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4.25" customHeight="1" x14ac:dyDescent="0.3">
      <c r="A29" s="69"/>
      <c r="B29" s="201"/>
      <c r="C29" s="183"/>
      <c r="D29" s="73"/>
      <c r="E29" s="74"/>
      <c r="F29" s="201"/>
      <c r="G29" s="183"/>
      <c r="H29" s="69"/>
      <c r="I29" s="69"/>
      <c r="J29" s="201"/>
      <c r="K29" s="183"/>
      <c r="L29" s="73"/>
      <c r="M29" s="74"/>
      <c r="N29" s="201"/>
      <c r="O29" s="183"/>
      <c r="P29" s="69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4.2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4.2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4.2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4.2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4.2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4.25" customHeight="1" x14ac:dyDescent="0.3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4.25" customHeight="1" x14ac:dyDescent="0.3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4.25" customHeight="1" x14ac:dyDescent="0.3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4.25" customHeight="1" x14ac:dyDescent="0.3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4.2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4.2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4.2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4.2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4.2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4.2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4.2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4.2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4.2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4.2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4.2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4.2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4.2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4.2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4.2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4.2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4.2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4.2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4.2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4.2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4.2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4.2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4.2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4.2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4.2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4.2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4.2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4.2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4.2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4.2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4.2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4.2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4.2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4.2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4.2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4.2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4.2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4.2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4.2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4.2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4.2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4.2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4.2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4.2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4.2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4.2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4.2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4.2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4.2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4.2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4.2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4.2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4.2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4.2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4.2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4.2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4.2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4.2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4.2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4.2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4.2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4.2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4.2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4.2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4.2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4.2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4.2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4.2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4.2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4.2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4.2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4.2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4.2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4.2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4.2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4.2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4.2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4.2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4.2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4.2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4.2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4.2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4.2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4.2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4.2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4.2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4.2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4.2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4.2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4.2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4.2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4.2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4.2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4.2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4.2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4.2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4.2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4.2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4.2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4.2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4.2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4.2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4.2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4.2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4.2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4.2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4.2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4.2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4.2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4.2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4.2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4.2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4.2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4.2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4.2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4.2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4.2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4.2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4.2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4.2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4.2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4.2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4.2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4.2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4.2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4.2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4.2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4.2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4.2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4.2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4.2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4.2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4.2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4.2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4.2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4.2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4.2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4.2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4.2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4.2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4.2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4.2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4.2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4.2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4.2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4.2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4.2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4.2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4.2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4.2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4.2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4.2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4.2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4.2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4.2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4.2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4.2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4.2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4.2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4.2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4.2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4.2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4.2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4.2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4.2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4.2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4.2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4.2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4.2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4.2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4.2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4.2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4.2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4.2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4.2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4.2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4.2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4.2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4.2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4.2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4.2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4.2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4.2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4.2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4.2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4.2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4.2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4.2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4.2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4.2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4.2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4.2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4.2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4.2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4.2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4.2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4.2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4.2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4.2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4.2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4.2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4.2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4.2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4.2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4.2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4.2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4.2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4.2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4.2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4.2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4.2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4.2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4.2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4.2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4.2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4.2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4.2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4.2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4.2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4.2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4.2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4.2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4.2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4.2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4.2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4.2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4.2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4.2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4.2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4.2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4.2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4.2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4.2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4.2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4.2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4.2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4.2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4.2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4.2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4.2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4.2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4.2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4.2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4.2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4.2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4.2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4.2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4.2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4.2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4.2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4.2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4.2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4.2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4.2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4.2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4.2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4.2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4.2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4.2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4.2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4.2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4.2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4.2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4.2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4.2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4.2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4.2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4.2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4.2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4.2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4.2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4.2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4.2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4.2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4.2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4.2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4.2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4.2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4.2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4.2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4.2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4.2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4.2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4.2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4.2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4.2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4.2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4.2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4.2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4.2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4.2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4.2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4.2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4.2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4.2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4.2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4.2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4.2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4.2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4.2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4.2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4.2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4.2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4.2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4.2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4.2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4.2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4.2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4.2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4.2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4.2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4.2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4.2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4.2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4.2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4.2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4.2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4.2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4.2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4.2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4.2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4.2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4.2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4.2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4.2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4.2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4.2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4.2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4.2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4.2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4.2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4.2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4.2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4.2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4.2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4.2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4.2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4.2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4.2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4.2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4.2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4.2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4.2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4.2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4.2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4.2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4.2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4.2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4.2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4.2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4.2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4.2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4.2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4.2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4.2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4.2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4.2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4.2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4.2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4.2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4.2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4.2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4.2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4.2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4.2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4.2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4.2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4.2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4.2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4.2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4.2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4.2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4.2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4.2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4.2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4.2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4.2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4.2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4.2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4.2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4.2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4.2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4.2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4.2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4.2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4.2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4.2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4.2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4.2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4.2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4.2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4.2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4.2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4.2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4.2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4.2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4.2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4.2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4.2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4.2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4.2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4.2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4.2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4.2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4.2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4.2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4.2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4.2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4.2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4.2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4.2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4.2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4.2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4.2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4.2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4.2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4.2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4.2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4.2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4.2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4.2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4.2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4.2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4.2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4.2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4.2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4.2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4.2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4.2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4.2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4.2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4.2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4.2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4.2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4.2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4.2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4.2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4.2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4.2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4.2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4.2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4.2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4.2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4.2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4.2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4.2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4.2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4.2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4.2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4.2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4.2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4.2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4.2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4.2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4.2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4.2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4.2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4.2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4.2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4.2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4.2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4.2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4.2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4.2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4.2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4.2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4.2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4.2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4.2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4.2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4.2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4.2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4.2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4.2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4.2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4.2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4.2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4.2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4.2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4.2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4.2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4.2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4.2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4.2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4.2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4.2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4.2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4.2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4.2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4.2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4.2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4.2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4.2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4.2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4.2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4.2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4.2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4.2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4.2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4.2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4.2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4.2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4.2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4.2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4.2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4.2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4.2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4.2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4.2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4.2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4.2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4.2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4.2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4.2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4.2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4.2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4.2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4.2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4.2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4.2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4.2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4.2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4.2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4.2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4.2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4.2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4.2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4.2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4.2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4.2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4.2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4.2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4.2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4.2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4.2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4.2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4.2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4.2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4.2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4.2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4.2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4.2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4.2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4.2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4.2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4.2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4.2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4.2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4.2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4.2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4.2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4.2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4.2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4.2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4.2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4.2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4.2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4.2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4.2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4.2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4.2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4.2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4.2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4.2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4.2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4.2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4.2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4.2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4.2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4.2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4.2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4.2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4.2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4.2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4.2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4.2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4.2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4.2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4.2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4.2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4.2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4.2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4.2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4.2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4.2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4.2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4.2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4.2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4.2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4.2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4.2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4.2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4.2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4.2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4.2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4.2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4.2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4.2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4.2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4.2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4.2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4.2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4.2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4.2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4.2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4.2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4.2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4.2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4.2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4.2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4.2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4.2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4.2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4.2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4.2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4.2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4.2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4.2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4.2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4.2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4.2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4.2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4.2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4.2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4.2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4.2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4.2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4.2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4.2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4.2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4.2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4.2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4.2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4.2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4.2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4.2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4.2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4.2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4.2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4.2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4.2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4.2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4.2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4.2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4.2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4.2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4.2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4.2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4.2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4.2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4.2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4.2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4.2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4.2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4.2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4.2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4.2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4.2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4.2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4.2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4.2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4.2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4.2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4.2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4.2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4.2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4.2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4.2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4.2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4.2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4.2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4.2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4.2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4.2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4.2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4.2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4.2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4.2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4.2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4.2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4.2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4.2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4.2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4.2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4.2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4.2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4.2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4.2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4.2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4.2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4.2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4.2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4.2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4.2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4.2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4.2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4.2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4.2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4.2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4.2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4.2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4.2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4.2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4.2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4.2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4.2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4.2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4.2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4.2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4.2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4.2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4.2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4.2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4.2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4.2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4.2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4.2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4.2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4.2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4.2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4.2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4.2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4.2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4.2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4.2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4.2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4.2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4.2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4.2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4.2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4.2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4.2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4.2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4.2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4.2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4.2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4.2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4.2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4.2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4.2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4.2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4.2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4.2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4.2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4.2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4.2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4.2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4.2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4.2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4.2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4.2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4.2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4.2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4.2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4.2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4.2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4.2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4.2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4.2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4.2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4.2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4.2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4.2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4.2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4.2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4.2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4.2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4.2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4.2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4.2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4.2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4.2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4.2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4.2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4.2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4.2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4.2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4.2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4.2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4.2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4.2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4.2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4.2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4.2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4.2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4.2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4.2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4.2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4.2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4.2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4.2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4.2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4.2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4.2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4.2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4.2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4.2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4.2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4.2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4.2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4.2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4.2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4.2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4.2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4.2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4.2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4.2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4.2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4.2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4.2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4.2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4.2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4.2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4.2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4.2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4.2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4.2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4.2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4.2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4.2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4.2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4.2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4.2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4.2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4.2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4.2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4.2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4.2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4.2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4.2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4.2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4.2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4.2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4.2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4.2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4.2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4.2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4.2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4.2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4.2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4.2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4.2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4.2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4.2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4.2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4.2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4.2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4.2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4.2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4.2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4.2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4.2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4.2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4.2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4.2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4.2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4.2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4.2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4.2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4.2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4.2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4.2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4.2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4.2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4.2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4.2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4.2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4.2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4.2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4.2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4.2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4.2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4.2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4.2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4.2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4.2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4.2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4.2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4.2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4.2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4.2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4.2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4.2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4.2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4.2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4.2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4.2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4.2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4.2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4.2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4.2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4.2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4.2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4.2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4.2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4.2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4.2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4.2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4.2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4.2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4.2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4.2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4.2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4.2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4.2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4.2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4.2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4.2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4.2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4.2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4.2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4.2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4.2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4.2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4.2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4.2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4.2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4.2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4.2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4.2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4.2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4.2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4.2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4.2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4.2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4.2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4.2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4.2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4.2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4.2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4.2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4.2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4.2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4.2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4.2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4.2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4.2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4.2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4.2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4.2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4.2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4.2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4.2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4.2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4.2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4.2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4.2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4.2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4.2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4.2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4.2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4.2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4.2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4.2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4.2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4.2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4.2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4.2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4.2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4.2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4.2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4.2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19">
    <mergeCell ref="B29:C29"/>
    <mergeCell ref="F29:G29"/>
    <mergeCell ref="J29:K29"/>
    <mergeCell ref="N29:O29"/>
    <mergeCell ref="C1:D1"/>
    <mergeCell ref="G1:H1"/>
    <mergeCell ref="K1:L1"/>
    <mergeCell ref="O1:P1"/>
    <mergeCell ref="F2:G2"/>
    <mergeCell ref="L2:M2"/>
    <mergeCell ref="N2:O2"/>
    <mergeCell ref="B3:G3"/>
    <mergeCell ref="J3:O3"/>
    <mergeCell ref="A26:G26"/>
    <mergeCell ref="I26:O26"/>
    <mergeCell ref="E28:G28"/>
    <mergeCell ref="K28:L28"/>
    <mergeCell ref="M28:O28"/>
    <mergeCell ref="C28:D28"/>
  </mergeCells>
  <dataValidations count="2">
    <dataValidation type="decimal" operator="notEqual" allowBlank="1" showInputMessage="1" showErrorMessage="1" prompt="Hibás számformátum - Csak tizedes szám lehet ebben a cellában." sqref="B5:C24 J5:K24" xr:uid="{00000000-0002-0000-0400-000000000000}">
      <formula1>0</formula1>
    </dataValidation>
    <dataValidation type="decimal" operator="notEqual" allowBlank="1" showInputMessage="1" showErrorMessage="1" prompt="Hibás számformátum - Csak egész szám lehet ebben a cellában." sqref="D5:D24 L5:L24" xr:uid="{00000000-0002-0000-0400-000001000000}">
      <formula1>0</formula1>
    </dataValidation>
  </dataValidations>
  <pageMargins left="0.7" right="0.15748031496062992" top="0.74803149606299213" bottom="0.74803149606299213" header="0" footer="0"/>
  <pageSetup paperSize="9" orientation="landscape"/>
  <headerFooter>
    <oddFooter>&amp;LNyomtatás időpontja: &amp;D - &amp;T&amp;RNyomtatás időpontja: &amp;D -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9" ht="14.25" customHeight="1" x14ac:dyDescent="0.3">
      <c r="A1" s="1">
        <v>1</v>
      </c>
      <c r="B1" s="75">
        <v>100</v>
      </c>
      <c r="C1" s="75">
        <v>100</v>
      </c>
      <c r="D1" s="76">
        <v>1</v>
      </c>
      <c r="E1" s="77">
        <v>1</v>
      </c>
      <c r="F1" s="77">
        <v>0</v>
      </c>
      <c r="G1" s="77">
        <v>1</v>
      </c>
      <c r="H1" s="77">
        <v>400</v>
      </c>
      <c r="I1" s="77">
        <v>127</v>
      </c>
    </row>
    <row r="2" spans="1:9" ht="14.25" customHeight="1" x14ac:dyDescent="0.3">
      <c r="A2" s="1">
        <v>2</v>
      </c>
      <c r="B2" s="75">
        <v>200</v>
      </c>
      <c r="C2" s="75">
        <v>20</v>
      </c>
      <c r="D2" s="76">
        <v>2</v>
      </c>
      <c r="E2" s="77">
        <v>0.8</v>
      </c>
      <c r="F2" s="77">
        <v>0</v>
      </c>
      <c r="G2" s="77">
        <v>0.8</v>
      </c>
      <c r="H2" s="77">
        <v>880</v>
      </c>
      <c r="I2" s="77">
        <v>101.6</v>
      </c>
    </row>
    <row r="3" spans="1:9" ht="14.25" customHeight="1" x14ac:dyDescent="0.3">
      <c r="A3" s="1">
        <v>2</v>
      </c>
      <c r="B3" s="75">
        <v>200</v>
      </c>
      <c r="C3" s="75">
        <v>20</v>
      </c>
      <c r="D3" s="76">
        <v>2</v>
      </c>
      <c r="E3" s="77">
        <v>0.8</v>
      </c>
      <c r="F3" s="77">
        <v>0</v>
      </c>
      <c r="G3" s="77">
        <v>0.8</v>
      </c>
      <c r="H3" s="77">
        <v>880</v>
      </c>
      <c r="I3" s="77">
        <v>101.6</v>
      </c>
    </row>
    <row r="4" spans="1:9" ht="14.25" customHeight="1" x14ac:dyDescent="0.3">
      <c r="A4" s="1">
        <v>3</v>
      </c>
      <c r="B4" s="75">
        <v>300</v>
      </c>
      <c r="C4" s="75">
        <v>25</v>
      </c>
      <c r="D4" s="76">
        <v>2</v>
      </c>
      <c r="E4" s="77">
        <v>1.5</v>
      </c>
      <c r="F4" s="77">
        <v>0</v>
      </c>
      <c r="G4" s="77">
        <v>1.5</v>
      </c>
      <c r="H4" s="77">
        <v>1300</v>
      </c>
      <c r="I4" s="77">
        <v>190.5</v>
      </c>
    </row>
    <row r="5" spans="1:9" ht="14.25" customHeight="1" x14ac:dyDescent="0.3">
      <c r="A5" s="1">
        <v>3</v>
      </c>
      <c r="B5" s="75">
        <v>300</v>
      </c>
      <c r="C5" s="75">
        <v>25</v>
      </c>
      <c r="D5" s="76">
        <v>2</v>
      </c>
      <c r="E5" s="77">
        <v>1.5</v>
      </c>
      <c r="F5" s="77">
        <v>0</v>
      </c>
      <c r="G5" s="77">
        <v>1.5</v>
      </c>
      <c r="H5" s="77">
        <v>1300</v>
      </c>
      <c r="I5" s="77">
        <v>190.5</v>
      </c>
    </row>
    <row r="6" spans="1:9" ht="14.25" customHeight="1" x14ac:dyDescent="0.3">
      <c r="A6" s="1">
        <v>4</v>
      </c>
      <c r="B6" s="75">
        <v>50</v>
      </c>
      <c r="C6" s="75">
        <v>40</v>
      </c>
      <c r="D6" s="76">
        <v>1</v>
      </c>
      <c r="E6" s="77">
        <v>0.2</v>
      </c>
      <c r="F6" s="77">
        <v>0.04</v>
      </c>
      <c r="G6" s="77">
        <v>0.24000000000000002</v>
      </c>
      <c r="H6" s="77">
        <v>180</v>
      </c>
      <c r="I6" s="77">
        <v>30.48</v>
      </c>
    </row>
    <row r="7" spans="1:9" ht="14.25" customHeight="1" x14ac:dyDescent="0.3"/>
    <row r="8" spans="1:9" ht="14.25" customHeight="1" x14ac:dyDescent="0.3"/>
    <row r="9" spans="1:9" ht="14.25" customHeight="1" x14ac:dyDescent="0.3"/>
    <row r="10" spans="1:9" ht="14.25" customHeight="1" x14ac:dyDescent="0.3"/>
    <row r="11" spans="1:9" ht="14.25" customHeight="1" x14ac:dyDescent="0.3"/>
    <row r="12" spans="1:9" ht="14.25" customHeight="1" x14ac:dyDescent="0.3"/>
    <row r="13" spans="1:9" ht="14.25" customHeight="1" x14ac:dyDescent="0.3"/>
    <row r="14" spans="1:9" ht="14.25" customHeight="1" x14ac:dyDescent="0.3"/>
    <row r="15" spans="1:9" ht="14.25" customHeight="1" x14ac:dyDescent="0.3"/>
    <row r="16" spans="1:9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" ht="14.25" customHeight="1" x14ac:dyDescent="0.3">
      <c r="A1" s="78">
        <v>2173</v>
      </c>
    </row>
    <row r="2" spans="1:1" ht="14.25" customHeight="1" x14ac:dyDescent="0.3"/>
    <row r="3" spans="1:1" ht="14.25" customHeight="1" x14ac:dyDescent="0.3"/>
    <row r="4" spans="1:1" ht="14.25" customHeight="1" x14ac:dyDescent="0.3"/>
    <row r="5" spans="1:1" ht="14.25" customHeight="1" x14ac:dyDescent="0.3"/>
    <row r="6" spans="1:1" ht="14.25" customHeight="1" x14ac:dyDescent="0.3"/>
    <row r="7" spans="1:1" ht="14.25" customHeight="1" x14ac:dyDescent="0.3"/>
    <row r="8" spans="1:1" ht="14.25" customHeight="1" x14ac:dyDescent="0.3"/>
    <row r="9" spans="1:1" ht="14.25" customHeight="1" x14ac:dyDescent="0.3"/>
    <row r="10" spans="1:1" ht="14.25" customHeight="1" x14ac:dyDescent="0.3"/>
    <row r="11" spans="1:1" ht="14.25" customHeight="1" x14ac:dyDescent="0.3"/>
    <row r="12" spans="1:1" ht="14.25" customHeight="1" x14ac:dyDescent="0.3"/>
    <row r="13" spans="1:1" ht="14.25" customHeight="1" x14ac:dyDescent="0.3"/>
    <row r="14" spans="1:1" ht="14.25" customHeight="1" x14ac:dyDescent="0.3"/>
    <row r="15" spans="1:1" ht="14.25" customHeight="1" x14ac:dyDescent="0.3"/>
    <row r="16" spans="1:1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2"/>
  <dimension ref="A1:Z1000"/>
  <sheetViews>
    <sheetView workbookViewId="0"/>
  </sheetViews>
  <sheetFormatPr defaultColWidth="14.44140625" defaultRowHeight="15" customHeight="1" outlineLevelCol="1" x14ac:dyDescent="0.3"/>
  <cols>
    <col min="1" max="1" width="36.33203125" customWidth="1"/>
    <col min="2" max="2" width="54.33203125" customWidth="1"/>
    <col min="3" max="3" width="14.5546875" hidden="1" customWidth="1" outlineLevel="1"/>
    <col min="4" max="4" width="12.44140625" customWidth="1" collapsed="1"/>
    <col min="5" max="5" width="7.44140625" customWidth="1"/>
    <col min="6" max="6" width="13.5546875" hidden="1" customWidth="1" outlineLevel="1"/>
    <col min="7" max="7" width="7.6640625" hidden="1" customWidth="1" outlineLevel="1"/>
    <col min="8" max="8" width="13.33203125" customWidth="1"/>
    <col min="9" max="9" width="4.88671875" customWidth="1"/>
    <col min="10" max="10" width="14.44140625" customWidth="1"/>
    <col min="11" max="11" width="8.6640625" customWidth="1"/>
    <col min="12" max="12" width="0.6640625" customWidth="1"/>
    <col min="13" max="13" width="8.6640625" customWidth="1"/>
    <col min="14" max="14" width="36.6640625" customWidth="1"/>
    <col min="15" max="15" width="4" customWidth="1"/>
    <col min="16" max="16" width="4" hidden="1" customWidth="1"/>
    <col min="17" max="17" width="2.109375" hidden="1" customWidth="1"/>
    <col min="18" max="18" width="3.44140625" hidden="1" customWidth="1"/>
    <col min="19" max="19" width="10.109375" customWidth="1"/>
    <col min="20" max="20" width="9.109375" customWidth="1"/>
    <col min="21" max="21" width="10.6640625" customWidth="1"/>
    <col min="22" max="26" width="8.6640625" customWidth="1"/>
  </cols>
  <sheetData>
    <row r="1" spans="1:26" ht="29.25" customHeight="1" x14ac:dyDescent="0.3">
      <c r="A1" s="5" t="s">
        <v>139</v>
      </c>
      <c r="B1" s="5" t="s">
        <v>140</v>
      </c>
      <c r="C1" s="5" t="s">
        <v>141</v>
      </c>
      <c r="D1" s="5" t="s">
        <v>89</v>
      </c>
      <c r="E1" s="5" t="s">
        <v>142</v>
      </c>
      <c r="F1" s="5" t="s">
        <v>143</v>
      </c>
      <c r="G1" s="5" t="s">
        <v>144</v>
      </c>
      <c r="H1" s="1" t="s">
        <v>91</v>
      </c>
      <c r="I1" s="5" t="s">
        <v>145</v>
      </c>
      <c r="J1" s="5" t="s">
        <v>79</v>
      </c>
      <c r="N1" s="79" t="s">
        <v>146</v>
      </c>
      <c r="O1" s="80"/>
      <c r="P1" s="81"/>
      <c r="Q1" s="81"/>
      <c r="R1" s="81"/>
      <c r="S1" s="82" t="s">
        <v>147</v>
      </c>
      <c r="T1" s="83" t="s">
        <v>148</v>
      </c>
      <c r="U1" s="82" t="s">
        <v>149</v>
      </c>
    </row>
    <row r="2" spans="1:26" ht="14.25" customHeight="1" x14ac:dyDescent="0.35">
      <c r="A2" s="84" t="s">
        <v>102</v>
      </c>
      <c r="B2" s="85" t="str">
        <f t="shared" ref="B2:B256" ca="1" si="0">VLOOKUP(A2,TermekKod_data,2,FALSE)</f>
        <v>Float 4mm-Low-e 4mm termó</v>
      </c>
      <c r="C2" s="86"/>
      <c r="D2" s="87" t="str">
        <f t="shared" ref="D2:D256" ca="1" si="1">VLOOKUP($A2,TermekKod_data,8,0)</f>
        <v>177.00</v>
      </c>
      <c r="E2" s="86" t="s">
        <v>150</v>
      </c>
      <c r="F2" s="86"/>
      <c r="G2" s="86"/>
      <c r="H2" s="87" t="str">
        <f t="shared" ref="H2:H256" ca="1" si="2">VLOOKUP($A2,TermekKod_data,9,0)</f>
        <v>151.00</v>
      </c>
      <c r="I2" s="86" t="s">
        <v>150</v>
      </c>
      <c r="J2" s="1" t="str">
        <f t="shared" ref="J2:J256" ca="1" si="3">VLOOKUP(A2,TermekKod_data,3,FALSE)</f>
        <v>Duplex</v>
      </c>
      <c r="M2" s="47"/>
      <c r="N2" s="88" t="s">
        <v>151</v>
      </c>
      <c r="O2" s="87" t="str">
        <f t="shared" ref="O2:O117" ca="1" si="4">VLOOKUP($A2,TermekKod_data,9,0)</f>
        <v>151.00</v>
      </c>
      <c r="P2" s="89">
        <f t="shared" ref="P2:P125" ca="1" si="5">SUM(O2-(O2*9/115))</f>
        <v>139.18260869565216</v>
      </c>
      <c r="Q2" s="90"/>
      <c r="R2" s="90"/>
      <c r="S2" s="91">
        <f t="shared" ref="S2:S125" ca="1" si="6">SUM(T2-(T2*19/119))</f>
        <v>23.392035074899525</v>
      </c>
      <c r="T2" s="91">
        <f t="shared" ref="T2:T125" ca="1" si="7">SUM(P2/5)</f>
        <v>27.836521739130433</v>
      </c>
      <c r="U2" s="92">
        <f t="shared" ref="U2:U125" ca="1" si="8">SUM(P2)</f>
        <v>139.18260869565216</v>
      </c>
      <c r="V2" s="93"/>
    </row>
    <row r="3" spans="1:26" ht="14.25" customHeight="1" x14ac:dyDescent="0.3">
      <c r="A3" s="90" t="s">
        <v>152</v>
      </c>
      <c r="B3" s="94" t="str">
        <f t="shared" ca="1" si="0"/>
        <v>Float 4mm-Float 4mm termó</v>
      </c>
      <c r="C3" s="90"/>
      <c r="D3" s="87" t="str">
        <f t="shared" ca="1" si="1"/>
        <v>166.00</v>
      </c>
      <c r="E3" s="90" t="s">
        <v>153</v>
      </c>
      <c r="F3" s="90"/>
      <c r="G3" s="90"/>
      <c r="H3" s="87" t="str">
        <f t="shared" ca="1" si="2"/>
        <v>142.00</v>
      </c>
      <c r="I3" s="90" t="s">
        <v>153</v>
      </c>
      <c r="J3" s="47" t="str">
        <f t="shared" ca="1" si="3"/>
        <v>Duplex</v>
      </c>
      <c r="K3" s="47"/>
      <c r="L3" s="47"/>
      <c r="M3" s="47"/>
      <c r="N3" s="90" t="s">
        <v>154</v>
      </c>
      <c r="O3" s="87" t="str">
        <f t="shared" ca="1" si="4"/>
        <v>142.00</v>
      </c>
      <c r="P3" s="89">
        <f t="shared" ca="1" si="5"/>
        <v>130.88695652173914</v>
      </c>
      <c r="Q3" s="90"/>
      <c r="R3" s="90"/>
      <c r="S3" s="91">
        <f t="shared" ca="1" si="6"/>
        <v>21.997807818779687</v>
      </c>
      <c r="T3" s="91">
        <f t="shared" ca="1" si="7"/>
        <v>26.177391304347829</v>
      </c>
      <c r="U3" s="92">
        <f t="shared" ca="1" si="8"/>
        <v>130.88695652173914</v>
      </c>
      <c r="V3" s="93"/>
      <c r="W3" s="47"/>
      <c r="X3" s="47"/>
      <c r="Y3" s="47"/>
      <c r="Z3" s="47"/>
    </row>
    <row r="4" spans="1:26" ht="14.25" customHeight="1" x14ac:dyDescent="0.35">
      <c r="A4" s="84" t="s">
        <v>155</v>
      </c>
      <c r="B4" s="94" t="str">
        <f t="shared" ca="1" si="0"/>
        <v>Float 6mm-Low-e 4mm termó</v>
      </c>
      <c r="C4" s="86"/>
      <c r="D4" s="87" t="str">
        <f t="shared" ca="1" si="1"/>
        <v>237.00</v>
      </c>
      <c r="E4" s="86" t="s">
        <v>150</v>
      </c>
      <c r="F4" s="86"/>
      <c r="G4" s="86"/>
      <c r="H4" s="87" t="str">
        <f t="shared" ca="1" si="2"/>
        <v>202.00</v>
      </c>
      <c r="I4" s="86" t="s">
        <v>150</v>
      </c>
      <c r="J4" s="1" t="str">
        <f t="shared" ca="1" si="3"/>
        <v>Duplex</v>
      </c>
      <c r="M4" s="47"/>
      <c r="N4" s="88" t="s">
        <v>155</v>
      </c>
      <c r="O4" s="87" t="str">
        <f t="shared" ca="1" si="4"/>
        <v>202.00</v>
      </c>
      <c r="P4" s="89">
        <f t="shared" ca="1" si="5"/>
        <v>186.19130434782608</v>
      </c>
      <c r="Q4" s="90"/>
      <c r="R4" s="90"/>
      <c r="S4" s="91">
        <f t="shared" ca="1" si="6"/>
        <v>31.292656192911949</v>
      </c>
      <c r="T4" s="91">
        <f t="shared" ca="1" si="7"/>
        <v>37.238260869565217</v>
      </c>
      <c r="U4" s="92">
        <f t="shared" ca="1" si="8"/>
        <v>186.19130434782608</v>
      </c>
      <c r="V4" s="93"/>
    </row>
    <row r="5" spans="1:26" ht="14.25" customHeight="1" x14ac:dyDescent="0.35">
      <c r="A5" s="84" t="s">
        <v>156</v>
      </c>
      <c r="B5" s="85" t="str">
        <f t="shared" ca="1" si="0"/>
        <v>Reflexios 4mm-Low-e 4mm termó</v>
      </c>
      <c r="C5" s="86"/>
      <c r="D5" s="87" t="str">
        <f t="shared" ca="1" si="1"/>
        <v>294.00</v>
      </c>
      <c r="E5" s="86" t="s">
        <v>150</v>
      </c>
      <c r="F5" s="86"/>
      <c r="G5" s="86"/>
      <c r="H5" s="87" t="str">
        <f t="shared" ca="1" si="2"/>
        <v>250.00</v>
      </c>
      <c r="I5" s="86" t="s">
        <v>150</v>
      </c>
      <c r="J5" s="1" t="str">
        <f t="shared" ca="1" si="3"/>
        <v>Duplex</v>
      </c>
      <c r="M5" s="47"/>
      <c r="N5" s="88" t="s">
        <v>156</v>
      </c>
      <c r="O5" s="87" t="str">
        <f t="shared" ca="1" si="4"/>
        <v>250.00</v>
      </c>
      <c r="P5" s="89">
        <f t="shared" ca="1" si="5"/>
        <v>230.43478260869566</v>
      </c>
      <c r="Q5" s="90"/>
      <c r="R5" s="90"/>
      <c r="S5" s="91">
        <f t="shared" ca="1" si="6"/>
        <v>38.728534892217759</v>
      </c>
      <c r="T5" s="91">
        <f t="shared" ca="1" si="7"/>
        <v>46.086956521739133</v>
      </c>
      <c r="U5" s="92">
        <f t="shared" ca="1" si="8"/>
        <v>230.43478260869566</v>
      </c>
      <c r="V5" s="93"/>
    </row>
    <row r="6" spans="1:26" ht="14.25" customHeight="1" x14ac:dyDescent="0.35">
      <c r="A6" s="84" t="s">
        <v>157</v>
      </c>
      <c r="B6" s="85" t="str">
        <f t="shared" ca="1" si="0"/>
        <v>Duplex 3.1.3.-Low-e 4mm termó</v>
      </c>
      <c r="C6" s="86"/>
      <c r="D6" s="87" t="str">
        <f t="shared" ca="1" si="1"/>
        <v>286.00</v>
      </c>
      <c r="E6" s="86" t="s">
        <v>150</v>
      </c>
      <c r="F6" s="86"/>
      <c r="G6" s="86"/>
      <c r="H6" s="87" t="str">
        <f t="shared" ca="1" si="2"/>
        <v>244.00</v>
      </c>
      <c r="I6" s="86" t="s">
        <v>150</v>
      </c>
      <c r="J6" s="1" t="str">
        <f t="shared" ca="1" si="3"/>
        <v>Duplex</v>
      </c>
      <c r="M6" s="47"/>
      <c r="N6" s="88" t="s">
        <v>157</v>
      </c>
      <c r="O6" s="87" t="str">
        <f t="shared" ca="1" si="4"/>
        <v>244.00</v>
      </c>
      <c r="P6" s="89">
        <f t="shared" ca="1" si="5"/>
        <v>224.90434782608696</v>
      </c>
      <c r="Q6" s="90"/>
      <c r="R6" s="90"/>
      <c r="S6" s="91">
        <f t="shared" ca="1" si="6"/>
        <v>37.799050054804525</v>
      </c>
      <c r="T6" s="91">
        <f t="shared" ca="1" si="7"/>
        <v>44.98086956521739</v>
      </c>
      <c r="U6" s="92">
        <f t="shared" ca="1" si="8"/>
        <v>224.90434782608696</v>
      </c>
      <c r="V6" s="93"/>
    </row>
    <row r="7" spans="1:26" ht="14.25" customHeight="1" x14ac:dyDescent="0.35">
      <c r="A7" s="84" t="s">
        <v>158</v>
      </c>
      <c r="B7" s="85" t="str">
        <f t="shared" ca="1" si="0"/>
        <v>Float 4mm-Float 4mm-Float 4mm termó</v>
      </c>
      <c r="C7" s="86"/>
      <c r="D7" s="87" t="str">
        <f t="shared" ca="1" si="1"/>
        <v>340.00</v>
      </c>
      <c r="E7" s="86" t="s">
        <v>150</v>
      </c>
      <c r="F7" s="86"/>
      <c r="G7" s="86"/>
      <c r="H7" s="87" t="str">
        <f t="shared" ca="1" si="2"/>
        <v>289.00</v>
      </c>
      <c r="I7" s="86" t="s">
        <v>150</v>
      </c>
      <c r="J7" s="1" t="str">
        <f t="shared" ca="1" si="3"/>
        <v>Triplex</v>
      </c>
      <c r="M7" s="47"/>
      <c r="N7" s="88" t="s">
        <v>158</v>
      </c>
      <c r="O7" s="87" t="str">
        <f t="shared" ca="1" si="4"/>
        <v>289.00</v>
      </c>
      <c r="P7" s="89">
        <f t="shared" ca="1" si="5"/>
        <v>266.38260869565215</v>
      </c>
      <c r="Q7" s="90"/>
      <c r="R7" s="90"/>
      <c r="S7" s="91">
        <f t="shared" ca="1" si="6"/>
        <v>44.770186335403722</v>
      </c>
      <c r="T7" s="91">
        <f t="shared" ca="1" si="7"/>
        <v>53.27652173913043</v>
      </c>
      <c r="U7" s="92">
        <f t="shared" ca="1" si="8"/>
        <v>266.38260869565215</v>
      </c>
      <c r="V7" s="93"/>
    </row>
    <row r="8" spans="1:26" ht="14.25" customHeight="1" x14ac:dyDescent="0.35">
      <c r="A8" s="84" t="s">
        <v>159</v>
      </c>
      <c r="B8" s="85" t="str">
        <f t="shared" ca="1" si="0"/>
        <v>Low-e 4mm-Float 4mm-Low-e 4mm termó</v>
      </c>
      <c r="C8" s="86"/>
      <c r="D8" s="87" t="str">
        <f t="shared" ca="1" si="1"/>
        <v>295.00</v>
      </c>
      <c r="E8" s="86" t="s">
        <v>150</v>
      </c>
      <c r="F8" s="86"/>
      <c r="G8" s="86"/>
      <c r="H8" s="87" t="str">
        <f t="shared" ca="1" si="2"/>
        <v>251.00</v>
      </c>
      <c r="I8" s="86" t="s">
        <v>150</v>
      </c>
      <c r="J8" s="1" t="str">
        <f t="shared" ca="1" si="3"/>
        <v>Triplex</v>
      </c>
      <c r="M8" s="47"/>
      <c r="N8" s="88" t="s">
        <v>160</v>
      </c>
      <c r="O8" s="87" t="str">
        <f t="shared" ca="1" si="4"/>
        <v>251.00</v>
      </c>
      <c r="P8" s="89">
        <f t="shared" ca="1" si="5"/>
        <v>231.35652173913044</v>
      </c>
      <c r="Q8" s="90"/>
      <c r="R8" s="90"/>
      <c r="S8" s="91">
        <f t="shared" ca="1" si="6"/>
        <v>38.883449031786625</v>
      </c>
      <c r="T8" s="91">
        <f t="shared" ca="1" si="7"/>
        <v>46.271304347826089</v>
      </c>
      <c r="U8" s="92">
        <f t="shared" ca="1" si="8"/>
        <v>231.35652173913044</v>
      </c>
      <c r="V8" s="93"/>
    </row>
    <row r="9" spans="1:26" ht="14.25" customHeight="1" x14ac:dyDescent="0.35">
      <c r="A9" s="84" t="s">
        <v>161</v>
      </c>
      <c r="B9" s="85" t="str">
        <f t="shared" ca="1" si="0"/>
        <v>Homokfujt 4mm-Low-e 4mm termó</v>
      </c>
      <c r="C9" s="86"/>
      <c r="D9" s="87" t="str">
        <f t="shared" ca="1" si="1"/>
        <v>247.00</v>
      </c>
      <c r="E9" s="86" t="s">
        <v>150</v>
      </c>
      <c r="F9" s="86"/>
      <c r="G9" s="86"/>
      <c r="H9" s="87" t="str">
        <f t="shared" ca="1" si="2"/>
        <v>210.00</v>
      </c>
      <c r="I9" s="86" t="s">
        <v>150</v>
      </c>
      <c r="J9" s="1" t="str">
        <f t="shared" ca="1" si="3"/>
        <v>Duplex</v>
      </c>
      <c r="M9" s="47"/>
      <c r="N9" s="88" t="s">
        <v>161</v>
      </c>
      <c r="O9" s="87" t="str">
        <f t="shared" ca="1" si="4"/>
        <v>210.00</v>
      </c>
      <c r="P9" s="89">
        <f t="shared" ca="1" si="5"/>
        <v>193.56521739130434</v>
      </c>
      <c r="Q9" s="90"/>
      <c r="R9" s="90"/>
      <c r="S9" s="91">
        <f t="shared" ca="1" si="6"/>
        <v>32.531969309462916</v>
      </c>
      <c r="T9" s="91">
        <f t="shared" ca="1" si="7"/>
        <v>38.713043478260872</v>
      </c>
      <c r="U9" s="92">
        <f t="shared" ca="1" si="8"/>
        <v>193.56521739130434</v>
      </c>
      <c r="V9" s="93"/>
    </row>
    <row r="10" spans="1:26" ht="14.25" customHeight="1" x14ac:dyDescent="0.3">
      <c r="A10" s="95" t="s">
        <v>162</v>
      </c>
      <c r="B10" s="85" t="str">
        <f t="shared" ca="1" si="0"/>
        <v>Duplakockas-Low-e 4mm termó</v>
      </c>
      <c r="C10" s="86"/>
      <c r="D10" s="87" t="str">
        <f t="shared" ca="1" si="1"/>
        <v>272.00</v>
      </c>
      <c r="E10" s="86" t="s">
        <v>150</v>
      </c>
      <c r="F10" s="86"/>
      <c r="G10" s="86"/>
      <c r="H10" s="87" t="str">
        <f t="shared" ca="1" si="2"/>
        <v>232.00</v>
      </c>
      <c r="I10" s="86" t="s">
        <v>150</v>
      </c>
      <c r="J10" s="1" t="str">
        <f t="shared" ca="1" si="3"/>
        <v>Duplex</v>
      </c>
      <c r="M10" s="47"/>
      <c r="N10" s="96" t="s">
        <v>162</v>
      </c>
      <c r="O10" s="87" t="str">
        <f t="shared" ca="1" si="4"/>
        <v>232.00</v>
      </c>
      <c r="P10" s="89">
        <f t="shared" ca="1" si="5"/>
        <v>213.84347826086957</v>
      </c>
      <c r="Q10" s="90"/>
      <c r="R10" s="90"/>
      <c r="S10" s="91">
        <f t="shared" ca="1" si="6"/>
        <v>35.940080379978085</v>
      </c>
      <c r="T10" s="91">
        <f t="shared" ca="1" si="7"/>
        <v>42.768695652173918</v>
      </c>
      <c r="U10" s="92">
        <f t="shared" ca="1" si="8"/>
        <v>213.84347826086957</v>
      </c>
      <c r="V10" s="93"/>
    </row>
    <row r="11" spans="1:26" ht="14.25" customHeight="1" x14ac:dyDescent="0.3">
      <c r="A11" s="95" t="s">
        <v>163</v>
      </c>
      <c r="B11" s="85" t="str">
        <f t="shared" ca="1" si="0"/>
        <v>Satin bronz-Low-e 4mm termó</v>
      </c>
      <c r="C11" s="86"/>
      <c r="D11" s="87" t="str">
        <f t="shared" ca="1" si="1"/>
        <v>263.00</v>
      </c>
      <c r="E11" s="86" t="s">
        <v>150</v>
      </c>
      <c r="F11" s="86"/>
      <c r="G11" s="86"/>
      <c r="H11" s="87" t="str">
        <f t="shared" ca="1" si="2"/>
        <v>224.00</v>
      </c>
      <c r="I11" s="86" t="s">
        <v>150</v>
      </c>
      <c r="J11" s="1" t="str">
        <f t="shared" ca="1" si="3"/>
        <v>Duplex</v>
      </c>
      <c r="M11" s="47"/>
      <c r="N11" s="96" t="s">
        <v>163</v>
      </c>
      <c r="O11" s="87" t="str">
        <f t="shared" ca="1" si="4"/>
        <v>224.00</v>
      </c>
      <c r="P11" s="89">
        <f t="shared" ca="1" si="5"/>
        <v>206.46956521739131</v>
      </c>
      <c r="Q11" s="90"/>
      <c r="R11" s="90"/>
      <c r="S11" s="91">
        <f t="shared" ca="1" si="6"/>
        <v>34.70076726342711</v>
      </c>
      <c r="T11" s="91">
        <f t="shared" ca="1" si="7"/>
        <v>41.293913043478263</v>
      </c>
      <c r="U11" s="92">
        <f t="shared" ca="1" si="8"/>
        <v>206.46956521739131</v>
      </c>
      <c r="V11" s="93"/>
    </row>
    <row r="12" spans="1:26" ht="14.25" customHeight="1" x14ac:dyDescent="0.3">
      <c r="A12" s="95" t="s">
        <v>164</v>
      </c>
      <c r="B12" s="85" t="str">
        <f t="shared" ca="1" si="0"/>
        <v>Fustos 4mm-Low-e 4mm termó</v>
      </c>
      <c r="C12" s="86"/>
      <c r="D12" s="87" t="str">
        <f t="shared" ca="1" si="1"/>
        <v>285.00</v>
      </c>
      <c r="E12" s="86" t="s">
        <v>150</v>
      </c>
      <c r="F12" s="86"/>
      <c r="G12" s="86"/>
      <c r="H12" s="87" t="str">
        <f t="shared" ca="1" si="2"/>
        <v>243.00</v>
      </c>
      <c r="I12" s="86" t="s">
        <v>150</v>
      </c>
      <c r="J12" s="1" t="str">
        <f t="shared" ca="1" si="3"/>
        <v>Duplex</v>
      </c>
      <c r="M12" s="47"/>
      <c r="N12" s="96" t="s">
        <v>164</v>
      </c>
      <c r="O12" s="87" t="str">
        <f t="shared" ca="1" si="4"/>
        <v>243.00</v>
      </c>
      <c r="P12" s="89">
        <f t="shared" ca="1" si="5"/>
        <v>223.98260869565217</v>
      </c>
      <c r="Q12" s="90"/>
      <c r="R12" s="90"/>
      <c r="S12" s="91">
        <f t="shared" ca="1" si="6"/>
        <v>37.644135915235658</v>
      </c>
      <c r="T12" s="91">
        <f t="shared" ca="1" si="7"/>
        <v>44.796521739130434</v>
      </c>
      <c r="U12" s="92">
        <f t="shared" ca="1" si="8"/>
        <v>223.98260869565217</v>
      </c>
      <c r="V12" s="93"/>
    </row>
    <row r="13" spans="1:26" ht="14.25" customHeight="1" x14ac:dyDescent="0.35">
      <c r="A13" s="84" t="s">
        <v>165</v>
      </c>
      <c r="B13" s="85" t="str">
        <f t="shared" ca="1" si="0"/>
        <v>Tukor 4mm-Tukor 4mm termó</v>
      </c>
      <c r="C13" s="86"/>
      <c r="D13" s="87" t="str">
        <f t="shared" ca="1" si="1"/>
        <v>353.00</v>
      </c>
      <c r="E13" s="86" t="s">
        <v>150</v>
      </c>
      <c r="F13" s="86"/>
      <c r="G13" s="86"/>
      <c r="H13" s="87" t="str">
        <f t="shared" ca="1" si="2"/>
        <v>301.00</v>
      </c>
      <c r="I13" s="86" t="s">
        <v>150</v>
      </c>
      <c r="J13" s="1" t="str">
        <f t="shared" ca="1" si="3"/>
        <v>Duplex</v>
      </c>
      <c r="M13" s="47"/>
      <c r="N13" s="88" t="s">
        <v>165</v>
      </c>
      <c r="O13" s="87" t="str">
        <f t="shared" ca="1" si="4"/>
        <v>301.00</v>
      </c>
      <c r="P13" s="89">
        <f t="shared" ca="1" si="5"/>
        <v>277.44347826086954</v>
      </c>
      <c r="Q13" s="90"/>
      <c r="R13" s="90"/>
      <c r="S13" s="91">
        <f t="shared" ca="1" si="6"/>
        <v>46.629156010230176</v>
      </c>
      <c r="T13" s="91">
        <f t="shared" ca="1" si="7"/>
        <v>55.488695652173909</v>
      </c>
      <c r="U13" s="92">
        <f t="shared" ca="1" si="8"/>
        <v>277.44347826086954</v>
      </c>
      <c r="V13" s="93"/>
    </row>
    <row r="14" spans="1:26" ht="14.25" customHeight="1" x14ac:dyDescent="0.35">
      <c r="A14" s="84" t="s">
        <v>166</v>
      </c>
      <c r="B14" s="85" t="str">
        <f t="shared" ca="1" si="0"/>
        <v>Float 4mm-Float 4mm-Low-e 4mm termó</v>
      </c>
      <c r="C14" s="86"/>
      <c r="D14" s="87" t="str">
        <f t="shared" ca="1" si="1"/>
        <v>295.00</v>
      </c>
      <c r="E14" s="86" t="s">
        <v>150</v>
      </c>
      <c r="F14" s="86"/>
      <c r="G14" s="86"/>
      <c r="H14" s="87" t="str">
        <f t="shared" ca="1" si="2"/>
        <v>251.00</v>
      </c>
      <c r="I14" s="86" t="s">
        <v>150</v>
      </c>
      <c r="J14" s="1" t="str">
        <f t="shared" ca="1" si="3"/>
        <v>Triplex</v>
      </c>
      <c r="M14" s="47"/>
      <c r="N14" s="88" t="s">
        <v>166</v>
      </c>
      <c r="O14" s="87" t="str">
        <f t="shared" ca="1" si="4"/>
        <v>251.00</v>
      </c>
      <c r="P14" s="89">
        <f t="shared" ca="1" si="5"/>
        <v>231.35652173913044</v>
      </c>
      <c r="Q14" s="90"/>
      <c r="R14" s="90"/>
      <c r="S14" s="91">
        <f t="shared" ca="1" si="6"/>
        <v>38.883449031786625</v>
      </c>
      <c r="T14" s="91">
        <f t="shared" ca="1" si="7"/>
        <v>46.271304347826089</v>
      </c>
      <c r="U14" s="92">
        <f t="shared" ca="1" si="8"/>
        <v>231.35652173913044</v>
      </c>
      <c r="V14" s="93"/>
    </row>
    <row r="15" spans="1:26" ht="14.25" customHeight="1" x14ac:dyDescent="0.35">
      <c r="A15" s="84" t="s">
        <v>159</v>
      </c>
      <c r="B15" s="85" t="str">
        <f t="shared" ca="1" si="0"/>
        <v>Low-e 4mm-Float 4mm-Low-e 4mm termó</v>
      </c>
      <c r="C15" s="86"/>
      <c r="D15" s="87" t="str">
        <f t="shared" ca="1" si="1"/>
        <v>295.00</v>
      </c>
      <c r="E15" s="86" t="s">
        <v>150</v>
      </c>
      <c r="F15" s="86"/>
      <c r="G15" s="86"/>
      <c r="H15" s="87" t="str">
        <f t="shared" ca="1" si="2"/>
        <v>251.00</v>
      </c>
      <c r="I15" s="86" t="s">
        <v>150</v>
      </c>
      <c r="J15" s="1" t="str">
        <f t="shared" ca="1" si="3"/>
        <v>Triplex</v>
      </c>
      <c r="M15" s="47"/>
      <c r="N15" s="88" t="s">
        <v>160</v>
      </c>
      <c r="O15" s="87" t="str">
        <f t="shared" ca="1" si="4"/>
        <v>251.00</v>
      </c>
      <c r="P15" s="89">
        <f t="shared" ca="1" si="5"/>
        <v>231.35652173913044</v>
      </c>
      <c r="Q15" s="90"/>
      <c r="R15" s="90"/>
      <c r="S15" s="91">
        <f t="shared" ca="1" si="6"/>
        <v>38.883449031786625</v>
      </c>
      <c r="T15" s="91">
        <f t="shared" ca="1" si="7"/>
        <v>46.271304347826089</v>
      </c>
      <c r="U15" s="92">
        <f t="shared" ca="1" si="8"/>
        <v>231.35652173913044</v>
      </c>
      <c r="V15" s="93"/>
    </row>
    <row r="16" spans="1:26" ht="14.25" customHeight="1" x14ac:dyDescent="0.35">
      <c r="A16" s="84" t="s">
        <v>167</v>
      </c>
      <c r="B16" s="85" t="str">
        <f t="shared" ca="1" si="0"/>
        <v>Duplex 3.1.3.-Low-e 4mm-Low-e 4mm termó</v>
      </c>
      <c r="C16" s="86"/>
      <c r="D16" s="87" t="str">
        <f t="shared" ca="1" si="1"/>
        <v>439.00</v>
      </c>
      <c r="E16" s="86" t="s">
        <v>150</v>
      </c>
      <c r="F16" s="86"/>
      <c r="G16" s="86"/>
      <c r="H16" s="87" t="str">
        <f t="shared" ca="1" si="2"/>
        <v>374.00</v>
      </c>
      <c r="I16" s="86" t="s">
        <v>150</v>
      </c>
      <c r="J16" s="1" t="str">
        <f t="shared" ca="1" si="3"/>
        <v>Triplex</v>
      </c>
      <c r="M16" s="47"/>
      <c r="N16" s="88" t="s">
        <v>167</v>
      </c>
      <c r="O16" s="87" t="str">
        <f t="shared" ca="1" si="4"/>
        <v>374.00</v>
      </c>
      <c r="P16" s="89">
        <f t="shared" ca="1" si="5"/>
        <v>344.73043478260871</v>
      </c>
      <c r="Q16" s="90"/>
      <c r="R16" s="90"/>
      <c r="S16" s="91">
        <f t="shared" ca="1" si="6"/>
        <v>57.937888198757761</v>
      </c>
      <c r="T16" s="91">
        <f t="shared" ca="1" si="7"/>
        <v>68.946086956521739</v>
      </c>
      <c r="U16" s="92">
        <f t="shared" ca="1" si="8"/>
        <v>344.73043478260871</v>
      </c>
      <c r="V16" s="93"/>
    </row>
    <row r="17" spans="1:26" ht="14.25" customHeight="1" x14ac:dyDescent="0.35">
      <c r="A17" s="84" t="s">
        <v>168</v>
      </c>
      <c r="B17" s="85" t="str">
        <f t="shared" ca="1" si="0"/>
        <v>Duplex 3.1.3.-4 evszakos-Low-e 4mm termó</v>
      </c>
      <c r="C17" s="86"/>
      <c r="D17" s="87" t="str">
        <f t="shared" ca="1" si="1"/>
        <v>433.00</v>
      </c>
      <c r="E17" s="86" t="s">
        <v>150</v>
      </c>
      <c r="F17" s="86"/>
      <c r="G17" s="86"/>
      <c r="H17" s="87" t="str">
        <f t="shared" ca="1" si="2"/>
        <v>369.00</v>
      </c>
      <c r="I17" s="86" t="s">
        <v>150</v>
      </c>
      <c r="J17" s="1" t="str">
        <f t="shared" ca="1" si="3"/>
        <v>Triplex</v>
      </c>
      <c r="M17" s="47"/>
      <c r="N17" s="88" t="s">
        <v>168</v>
      </c>
      <c r="O17" s="87" t="str">
        <f t="shared" ca="1" si="4"/>
        <v>369.00</v>
      </c>
      <c r="P17" s="89">
        <f t="shared" ca="1" si="5"/>
        <v>340.12173913043478</v>
      </c>
      <c r="Q17" s="90"/>
      <c r="R17" s="90"/>
      <c r="S17" s="91">
        <f t="shared" ca="1" si="6"/>
        <v>57.163317500913408</v>
      </c>
      <c r="T17" s="91">
        <f t="shared" ca="1" si="7"/>
        <v>68.024347826086952</v>
      </c>
      <c r="U17" s="92">
        <f t="shared" ca="1" si="8"/>
        <v>340.12173913043478</v>
      </c>
      <c r="V17" s="93"/>
    </row>
    <row r="18" spans="1:26" ht="14.25" customHeight="1" x14ac:dyDescent="0.35">
      <c r="A18" s="84" t="s">
        <v>169</v>
      </c>
      <c r="B18" s="85" t="str">
        <f t="shared" ca="1" si="0"/>
        <v>Float 3mm-Float 3mm termó</v>
      </c>
      <c r="C18" s="86"/>
      <c r="D18" s="87" t="str">
        <f t="shared" ca="1" si="1"/>
        <v>205.00</v>
      </c>
      <c r="E18" s="86" t="s">
        <v>150</v>
      </c>
      <c r="F18" s="86"/>
      <c r="G18" s="86"/>
      <c r="H18" s="87" t="str">
        <f t="shared" ca="1" si="2"/>
        <v>175.00</v>
      </c>
      <c r="I18" s="86" t="s">
        <v>150</v>
      </c>
      <c r="J18" s="1" t="str">
        <f t="shared" ca="1" si="3"/>
        <v>Duplex</v>
      </c>
      <c r="M18" s="47"/>
      <c r="N18" s="88" t="s">
        <v>169</v>
      </c>
      <c r="O18" s="87" t="str">
        <f t="shared" ca="1" si="4"/>
        <v>175.00</v>
      </c>
      <c r="P18" s="89">
        <f t="shared" ca="1" si="5"/>
        <v>161.30434782608697</v>
      </c>
      <c r="Q18" s="90"/>
      <c r="R18" s="90"/>
      <c r="S18" s="91">
        <f t="shared" ca="1" si="6"/>
        <v>27.10997442455243</v>
      </c>
      <c r="T18" s="91">
        <f t="shared" ca="1" si="7"/>
        <v>32.260869565217391</v>
      </c>
      <c r="U18" s="92">
        <f t="shared" ca="1" si="8"/>
        <v>161.30434782608697</v>
      </c>
      <c r="V18" s="93"/>
    </row>
    <row r="19" spans="1:26" ht="14.25" customHeight="1" x14ac:dyDescent="0.35">
      <c r="A19" s="84" t="s">
        <v>170</v>
      </c>
      <c r="B19" s="85" t="str">
        <f t="shared" ca="1" si="0"/>
        <v>4 evszakos-Low-e 4mm-Low-e 4mm termó</v>
      </c>
      <c r="C19" s="86"/>
      <c r="D19" s="87" t="str">
        <f t="shared" ca="1" si="1"/>
        <v>300.00</v>
      </c>
      <c r="E19" s="86" t="s">
        <v>150</v>
      </c>
      <c r="F19" s="86"/>
      <c r="G19" s="86"/>
      <c r="H19" s="87" t="str">
        <f t="shared" ca="1" si="2"/>
        <v>255.00</v>
      </c>
      <c r="I19" s="86" t="s">
        <v>150</v>
      </c>
      <c r="J19" s="1" t="str">
        <f t="shared" ca="1" si="3"/>
        <v>Triplex</v>
      </c>
      <c r="M19" s="47"/>
      <c r="N19" s="88" t="s">
        <v>170</v>
      </c>
      <c r="O19" s="87" t="str">
        <f t="shared" ca="1" si="4"/>
        <v>255.00</v>
      </c>
      <c r="P19" s="89">
        <f t="shared" ca="1" si="5"/>
        <v>235.04347826086956</v>
      </c>
      <c r="Q19" s="90"/>
      <c r="R19" s="90"/>
      <c r="S19" s="91">
        <f t="shared" ca="1" si="6"/>
        <v>39.503105590062113</v>
      </c>
      <c r="T19" s="91">
        <f t="shared" ca="1" si="7"/>
        <v>47.008695652173913</v>
      </c>
      <c r="U19" s="92">
        <f t="shared" ca="1" si="8"/>
        <v>235.04347826086956</v>
      </c>
      <c r="V19" s="93"/>
    </row>
    <row r="20" spans="1:26" ht="14.25" customHeight="1" x14ac:dyDescent="0.35">
      <c r="A20" s="84" t="s">
        <v>171</v>
      </c>
      <c r="B20" s="85" t="str">
        <f t="shared" ca="1" si="0"/>
        <v>4 evszakos-Low-e 4mm termó</v>
      </c>
      <c r="C20" s="86"/>
      <c r="D20" s="87" t="str">
        <f t="shared" ca="1" si="1"/>
        <v>195.00</v>
      </c>
      <c r="E20" s="86" t="s">
        <v>150</v>
      </c>
      <c r="F20" s="86"/>
      <c r="G20" s="86"/>
      <c r="H20" s="87" t="str">
        <f t="shared" ca="1" si="2"/>
        <v>166.00</v>
      </c>
      <c r="I20" s="86" t="s">
        <v>150</v>
      </c>
      <c r="J20" s="1" t="str">
        <f t="shared" ca="1" si="3"/>
        <v>Duplex</v>
      </c>
      <c r="M20" s="47"/>
      <c r="N20" s="88" t="s">
        <v>171</v>
      </c>
      <c r="O20" s="87" t="str">
        <f t="shared" ca="1" si="4"/>
        <v>166.00</v>
      </c>
      <c r="P20" s="89">
        <f t="shared" ca="1" si="5"/>
        <v>153.00869565217391</v>
      </c>
      <c r="Q20" s="90"/>
      <c r="R20" s="90"/>
      <c r="S20" s="91">
        <f t="shared" ca="1" si="6"/>
        <v>25.715747168432593</v>
      </c>
      <c r="T20" s="91">
        <f t="shared" ca="1" si="7"/>
        <v>30.601739130434783</v>
      </c>
      <c r="U20" s="92">
        <f t="shared" ca="1" si="8"/>
        <v>153.00869565217391</v>
      </c>
      <c r="V20" s="93"/>
    </row>
    <row r="21" spans="1:26" ht="14.25" customHeight="1" x14ac:dyDescent="0.35">
      <c r="A21" s="84" t="s">
        <v>172</v>
      </c>
      <c r="B21" s="85" t="str">
        <f t="shared" ca="1" si="0"/>
        <v>4 evszakos-Float 4mm-Low-e 4mm termó</v>
      </c>
      <c r="C21" s="86"/>
      <c r="D21" s="87" t="str">
        <f t="shared" ca="1" si="1"/>
        <v>278.00</v>
      </c>
      <c r="E21" s="86" t="s">
        <v>150</v>
      </c>
      <c r="F21" s="86"/>
      <c r="G21" s="86"/>
      <c r="H21" s="87" t="str">
        <f t="shared" ca="1" si="2"/>
        <v>237.00</v>
      </c>
      <c r="I21" s="86" t="s">
        <v>150</v>
      </c>
      <c r="J21" s="1" t="str">
        <f t="shared" ca="1" si="3"/>
        <v>Triplex</v>
      </c>
      <c r="M21" s="47"/>
      <c r="N21" s="88" t="s">
        <v>172</v>
      </c>
      <c r="O21" s="87" t="str">
        <f t="shared" ca="1" si="4"/>
        <v>237.00</v>
      </c>
      <c r="P21" s="89">
        <f t="shared" ca="1" si="5"/>
        <v>218.45217391304348</v>
      </c>
      <c r="Q21" s="90"/>
      <c r="R21" s="90"/>
      <c r="S21" s="91">
        <f t="shared" ca="1" si="6"/>
        <v>36.714651077822438</v>
      </c>
      <c r="T21" s="91">
        <f t="shared" ca="1" si="7"/>
        <v>43.690434782608698</v>
      </c>
      <c r="U21" s="92">
        <f t="shared" ca="1" si="8"/>
        <v>218.45217391304348</v>
      </c>
      <c r="V21" s="93"/>
    </row>
    <row r="22" spans="1:26" ht="14.25" customHeight="1" x14ac:dyDescent="0.35">
      <c r="A22" s="88" t="s">
        <v>173</v>
      </c>
      <c r="B22" s="85" t="str">
        <f t="shared" ca="1" si="0"/>
        <v>Homokfujt 4mm-Low-e 4mm-Low-e 4mm termó</v>
      </c>
      <c r="C22" s="90"/>
      <c r="D22" s="87" t="str">
        <f t="shared" ca="1" si="1"/>
        <v>380.00</v>
      </c>
      <c r="E22" s="90" t="s">
        <v>153</v>
      </c>
      <c r="F22" s="90"/>
      <c r="G22" s="90"/>
      <c r="H22" s="87" t="str">
        <f t="shared" ca="1" si="2"/>
        <v>323.00</v>
      </c>
      <c r="I22" s="90" t="s">
        <v>153</v>
      </c>
      <c r="J22" s="47" t="str">
        <f t="shared" ca="1" si="3"/>
        <v>Triplex</v>
      </c>
      <c r="K22" s="47"/>
      <c r="L22" s="47"/>
      <c r="M22" s="47"/>
      <c r="N22" s="88" t="s">
        <v>173</v>
      </c>
      <c r="O22" s="87" t="str">
        <f t="shared" ca="1" si="4"/>
        <v>323.00</v>
      </c>
      <c r="P22" s="89">
        <f t="shared" ca="1" si="5"/>
        <v>297.7217391304348</v>
      </c>
      <c r="Q22" s="90"/>
      <c r="R22" s="90"/>
      <c r="S22" s="91">
        <f t="shared" ca="1" si="6"/>
        <v>50.037267080745352</v>
      </c>
      <c r="T22" s="91">
        <f t="shared" ca="1" si="7"/>
        <v>59.544347826086963</v>
      </c>
      <c r="U22" s="92">
        <f t="shared" ca="1" si="8"/>
        <v>297.7217391304348</v>
      </c>
      <c r="V22" s="93"/>
      <c r="W22" s="47"/>
      <c r="X22" s="47"/>
      <c r="Y22" s="47"/>
      <c r="Z22" s="47"/>
    </row>
    <row r="23" spans="1:26" ht="14.25" customHeight="1" x14ac:dyDescent="0.3">
      <c r="A23" s="90" t="s">
        <v>174</v>
      </c>
      <c r="B23" s="94" t="str">
        <f t="shared" ca="1" si="0"/>
        <v>Mintas uveg aprokockas-Float 4mm termó</v>
      </c>
      <c r="C23" s="90"/>
      <c r="D23" s="87" t="str">
        <f t="shared" ca="1" si="1"/>
        <v>250.00</v>
      </c>
      <c r="E23" s="90" t="s">
        <v>153</v>
      </c>
      <c r="F23" s="90"/>
      <c r="G23" s="90"/>
      <c r="H23" s="87" t="str">
        <f t="shared" ca="1" si="2"/>
        <v>213.00</v>
      </c>
      <c r="I23" s="90" t="s">
        <v>153</v>
      </c>
      <c r="J23" s="47" t="str">
        <f t="shared" ca="1" si="3"/>
        <v>Duplex</v>
      </c>
      <c r="K23" s="47"/>
      <c r="L23" s="47"/>
      <c r="M23" s="47"/>
      <c r="N23" s="90" t="s">
        <v>174</v>
      </c>
      <c r="O23" s="87" t="str">
        <f t="shared" ca="1" si="4"/>
        <v>213.00</v>
      </c>
      <c r="P23" s="89">
        <f t="shared" ca="1" si="5"/>
        <v>196.33043478260871</v>
      </c>
      <c r="Q23" s="90"/>
      <c r="R23" s="90"/>
      <c r="S23" s="91">
        <f t="shared" ca="1" si="6"/>
        <v>32.996711728169529</v>
      </c>
      <c r="T23" s="91">
        <f t="shared" ca="1" si="7"/>
        <v>39.26608695652174</v>
      </c>
      <c r="U23" s="92">
        <f t="shared" ca="1" si="8"/>
        <v>196.33043478260871</v>
      </c>
      <c r="V23" s="93"/>
      <c r="W23" s="47"/>
      <c r="X23" s="47"/>
      <c r="Y23" s="47"/>
      <c r="Z23" s="47"/>
    </row>
    <row r="24" spans="1:26" ht="14.25" customHeight="1" x14ac:dyDescent="0.3">
      <c r="A24" s="90" t="s">
        <v>175</v>
      </c>
      <c r="B24" s="94" t="str">
        <f t="shared" ca="1" si="0"/>
        <v>Tukor 4mm-Savmarta barna tuskes termó</v>
      </c>
      <c r="C24" s="90"/>
      <c r="D24" s="87" t="str">
        <f t="shared" ca="1" si="1"/>
        <v>395.00</v>
      </c>
      <c r="E24" s="90" t="s">
        <v>153</v>
      </c>
      <c r="F24" s="90"/>
      <c r="G24" s="90"/>
      <c r="H24" s="87" t="str">
        <f t="shared" ca="1" si="2"/>
        <v>336.00</v>
      </c>
      <c r="I24" s="90" t="s">
        <v>153</v>
      </c>
      <c r="J24" s="47" t="str">
        <f t="shared" ca="1" si="3"/>
        <v>Duplex</v>
      </c>
      <c r="K24" s="47"/>
      <c r="L24" s="47"/>
      <c r="M24" s="47"/>
      <c r="N24" s="90" t="s">
        <v>175</v>
      </c>
      <c r="O24" s="87" t="str">
        <f t="shared" ca="1" si="4"/>
        <v>336.00</v>
      </c>
      <c r="P24" s="89">
        <f t="shared" ca="1" si="5"/>
        <v>309.70434782608697</v>
      </c>
      <c r="Q24" s="90"/>
      <c r="R24" s="90"/>
      <c r="S24" s="91">
        <f t="shared" ca="1" si="6"/>
        <v>52.051150895140673</v>
      </c>
      <c r="T24" s="91">
        <f t="shared" ca="1" si="7"/>
        <v>61.940869565217398</v>
      </c>
      <c r="U24" s="92">
        <f t="shared" ca="1" si="8"/>
        <v>309.70434782608697</v>
      </c>
      <c r="V24" s="93"/>
      <c r="W24" s="47"/>
      <c r="X24" s="47"/>
      <c r="Y24" s="47"/>
      <c r="Z24" s="47"/>
    </row>
    <row r="25" spans="1:26" ht="14.25" customHeight="1" x14ac:dyDescent="0.3">
      <c r="A25" s="90" t="s">
        <v>176</v>
      </c>
      <c r="B25" s="94" t="str">
        <f t="shared" ca="1" si="0"/>
        <v>Duplex 3.1.3.-Duplex 3.1.3.-Float 6mm termó</v>
      </c>
      <c r="C25" s="90"/>
      <c r="D25" s="87" t="str">
        <f t="shared" ca="1" si="1"/>
        <v>456.00</v>
      </c>
      <c r="E25" s="90" t="s">
        <v>153</v>
      </c>
      <c r="F25" s="90"/>
      <c r="G25" s="90"/>
      <c r="H25" s="87" t="str">
        <f t="shared" ca="1" si="2"/>
        <v>388.00</v>
      </c>
      <c r="I25" s="90" t="s">
        <v>153</v>
      </c>
      <c r="J25" s="47" t="str">
        <f t="shared" ca="1" si="3"/>
        <v>Triplex</v>
      </c>
      <c r="K25" s="47"/>
      <c r="L25" s="47"/>
      <c r="M25" s="47"/>
      <c r="N25" s="90" t="s">
        <v>176</v>
      </c>
      <c r="O25" s="87" t="str">
        <f t="shared" ca="1" si="4"/>
        <v>388.00</v>
      </c>
      <c r="P25" s="89">
        <f t="shared" ca="1" si="5"/>
        <v>357.63478260869567</v>
      </c>
      <c r="Q25" s="90"/>
      <c r="R25" s="90"/>
      <c r="S25" s="91">
        <f t="shared" ca="1" si="6"/>
        <v>60.106686152721963</v>
      </c>
      <c r="T25" s="91">
        <f t="shared" ca="1" si="7"/>
        <v>71.526956521739137</v>
      </c>
      <c r="U25" s="92">
        <f t="shared" ca="1" si="8"/>
        <v>357.63478260869567</v>
      </c>
      <c r="V25" s="93"/>
      <c r="W25" s="47"/>
      <c r="X25" s="47"/>
      <c r="Y25" s="47"/>
      <c r="Z25" s="47"/>
    </row>
    <row r="26" spans="1:26" ht="19.5" customHeight="1" x14ac:dyDescent="0.3">
      <c r="A26" s="90" t="s">
        <v>177</v>
      </c>
      <c r="B26" s="94" t="str">
        <f t="shared" ca="1" si="0"/>
        <v>Duplex 3.1.3.-Float 4mm-Low-e 4mm termó</v>
      </c>
      <c r="C26" s="90"/>
      <c r="D26" s="87" t="str">
        <f t="shared" ca="1" si="1"/>
        <v>417.00</v>
      </c>
      <c r="E26" s="90" t="s">
        <v>153</v>
      </c>
      <c r="F26" s="90"/>
      <c r="G26" s="90"/>
      <c r="H26" s="87" t="str">
        <f t="shared" ca="1" si="2"/>
        <v>355.00</v>
      </c>
      <c r="I26" s="90" t="s">
        <v>153</v>
      </c>
      <c r="J26" s="47" t="str">
        <f t="shared" ca="1" si="3"/>
        <v>Triplex</v>
      </c>
      <c r="K26" s="47"/>
      <c r="L26" s="47"/>
      <c r="M26" s="47"/>
      <c r="N26" s="90" t="s">
        <v>177</v>
      </c>
      <c r="O26" s="87" t="str">
        <f t="shared" ca="1" si="4"/>
        <v>355.00</v>
      </c>
      <c r="P26" s="89">
        <f t="shared" ca="1" si="5"/>
        <v>327.21739130434781</v>
      </c>
      <c r="Q26" s="90"/>
      <c r="R26" s="90"/>
      <c r="S26" s="91">
        <f t="shared" ca="1" si="6"/>
        <v>54.994519546949221</v>
      </c>
      <c r="T26" s="91">
        <f t="shared" ca="1" si="7"/>
        <v>65.443478260869568</v>
      </c>
      <c r="U26" s="92">
        <f t="shared" ca="1" si="8"/>
        <v>327.21739130434781</v>
      </c>
      <c r="V26" s="93"/>
      <c r="W26" s="47"/>
      <c r="X26" s="47"/>
      <c r="Y26" s="47"/>
      <c r="Z26" s="47"/>
    </row>
    <row r="27" spans="1:26" ht="19.5" customHeight="1" x14ac:dyDescent="0.3">
      <c r="A27" s="90" t="s">
        <v>178</v>
      </c>
      <c r="B27" s="94" t="str">
        <f t="shared" ca="1" si="0"/>
        <v>Mintas uveg delta 2-Low-e 4mm termó</v>
      </c>
      <c r="C27" s="90"/>
      <c r="D27" s="87" t="str">
        <f t="shared" ca="1" si="1"/>
        <v>272.00</v>
      </c>
      <c r="E27" s="90" t="s">
        <v>153</v>
      </c>
      <c r="F27" s="90"/>
      <c r="G27" s="90"/>
      <c r="H27" s="87" t="str">
        <f t="shared" ca="1" si="2"/>
        <v>232.00</v>
      </c>
      <c r="I27" s="90" t="s">
        <v>153</v>
      </c>
      <c r="J27" s="47" t="str">
        <f t="shared" ca="1" si="3"/>
        <v>Duplex</v>
      </c>
      <c r="K27" s="47"/>
      <c r="L27" s="47"/>
      <c r="M27" s="47"/>
      <c r="N27" s="90" t="s">
        <v>178</v>
      </c>
      <c r="O27" s="87" t="str">
        <f t="shared" ca="1" si="4"/>
        <v>232.00</v>
      </c>
      <c r="P27" s="89">
        <f t="shared" ca="1" si="5"/>
        <v>213.84347826086957</v>
      </c>
      <c r="Q27" s="90"/>
      <c r="R27" s="90"/>
      <c r="S27" s="91">
        <f t="shared" ca="1" si="6"/>
        <v>35.940080379978085</v>
      </c>
      <c r="T27" s="91">
        <f t="shared" ca="1" si="7"/>
        <v>42.768695652173918</v>
      </c>
      <c r="U27" s="92">
        <f t="shared" ca="1" si="8"/>
        <v>213.84347826086957</v>
      </c>
      <c r="V27" s="93"/>
      <c r="W27" s="47"/>
      <c r="X27" s="47"/>
      <c r="Y27" s="47"/>
      <c r="Z27" s="47"/>
    </row>
    <row r="28" spans="1:26" ht="19.5" customHeight="1" x14ac:dyDescent="0.3">
      <c r="A28" s="90" t="s">
        <v>179</v>
      </c>
      <c r="B28" s="94" t="str">
        <f t="shared" ca="1" si="0"/>
        <v>Barna csincsilla-Low-e 4mm-Low-e 4mm termó</v>
      </c>
      <c r="C28" s="90"/>
      <c r="D28" s="87" t="str">
        <f t="shared" ca="1" si="1"/>
        <v>460.00</v>
      </c>
      <c r="E28" s="90" t="s">
        <v>153</v>
      </c>
      <c r="F28" s="90"/>
      <c r="G28" s="90"/>
      <c r="H28" s="87" t="str">
        <f t="shared" ca="1" si="2"/>
        <v>391.00</v>
      </c>
      <c r="I28" s="90" t="s">
        <v>153</v>
      </c>
      <c r="J28" s="47" t="str">
        <f t="shared" ca="1" si="3"/>
        <v>Triplex</v>
      </c>
      <c r="K28" s="47"/>
      <c r="L28" s="47"/>
      <c r="M28" s="47"/>
      <c r="N28" s="90" t="s">
        <v>179</v>
      </c>
      <c r="O28" s="87" t="str">
        <f t="shared" ca="1" si="4"/>
        <v>391.00</v>
      </c>
      <c r="P28" s="89">
        <f t="shared" ca="1" si="5"/>
        <v>360.4</v>
      </c>
      <c r="Q28" s="90"/>
      <c r="R28" s="90"/>
      <c r="S28" s="91">
        <f t="shared" ca="1" si="6"/>
        <v>60.571428571428569</v>
      </c>
      <c r="T28" s="91">
        <f t="shared" ca="1" si="7"/>
        <v>72.08</v>
      </c>
      <c r="U28" s="92">
        <f t="shared" ca="1" si="8"/>
        <v>360.4</v>
      </c>
      <c r="V28" s="93"/>
      <c r="W28" s="47"/>
      <c r="X28" s="47"/>
      <c r="Y28" s="47"/>
      <c r="Z28" s="47"/>
    </row>
    <row r="29" spans="1:26" ht="19.5" customHeight="1" x14ac:dyDescent="0.3">
      <c r="A29" s="90" t="s">
        <v>180</v>
      </c>
      <c r="B29" s="94" t="str">
        <f t="shared" ca="1" si="0"/>
        <v>Barna delta 2-Low-e 4mm termó</v>
      </c>
      <c r="C29" s="90"/>
      <c r="D29" s="87" t="str">
        <f t="shared" ca="1" si="1"/>
        <v>307.00</v>
      </c>
      <c r="E29" s="90" t="s">
        <v>153</v>
      </c>
      <c r="F29" s="90"/>
      <c r="G29" s="90"/>
      <c r="H29" s="87" t="str">
        <f t="shared" ca="1" si="2"/>
        <v>261.00</v>
      </c>
      <c r="I29" s="90" t="s">
        <v>153</v>
      </c>
      <c r="J29" s="47" t="str">
        <f t="shared" ca="1" si="3"/>
        <v>Duplex</v>
      </c>
      <c r="K29" s="47"/>
      <c r="L29" s="47"/>
      <c r="M29" s="47"/>
      <c r="N29" s="90" t="s">
        <v>180</v>
      </c>
      <c r="O29" s="87" t="str">
        <f t="shared" ca="1" si="4"/>
        <v>261.00</v>
      </c>
      <c r="P29" s="89">
        <f t="shared" ca="1" si="5"/>
        <v>240.57391304347826</v>
      </c>
      <c r="Q29" s="90"/>
      <c r="R29" s="90"/>
      <c r="S29" s="91">
        <f t="shared" ca="1" si="6"/>
        <v>40.432590427475333</v>
      </c>
      <c r="T29" s="91">
        <f t="shared" ca="1" si="7"/>
        <v>48.114782608695648</v>
      </c>
      <c r="U29" s="92">
        <f t="shared" ca="1" si="8"/>
        <v>240.57391304347826</v>
      </c>
      <c r="V29" s="93"/>
      <c r="W29" s="47"/>
      <c r="X29" s="47"/>
      <c r="Y29" s="47"/>
      <c r="Z29" s="47"/>
    </row>
    <row r="30" spans="1:26" ht="19.5" customHeight="1" x14ac:dyDescent="0.3">
      <c r="A30" s="90" t="s">
        <v>181</v>
      </c>
      <c r="B30" s="94" t="str">
        <f t="shared" ca="1" si="0"/>
        <v>Barna fatorzs-Low-e 4mm termó</v>
      </c>
      <c r="C30" s="90"/>
      <c r="D30" s="87" t="str">
        <f t="shared" ca="1" si="1"/>
        <v>307.00</v>
      </c>
      <c r="E30" s="90" t="s">
        <v>153</v>
      </c>
      <c r="F30" s="90"/>
      <c r="G30" s="90"/>
      <c r="H30" s="87" t="str">
        <f t="shared" ca="1" si="2"/>
        <v>261.00</v>
      </c>
      <c r="I30" s="90" t="s">
        <v>153</v>
      </c>
      <c r="J30" s="47" t="str">
        <f t="shared" ca="1" si="3"/>
        <v>Duplex</v>
      </c>
      <c r="K30" s="47"/>
      <c r="L30" s="47"/>
      <c r="M30" s="47"/>
      <c r="N30" s="90" t="s">
        <v>181</v>
      </c>
      <c r="O30" s="87" t="str">
        <f t="shared" ca="1" si="4"/>
        <v>261.00</v>
      </c>
      <c r="P30" s="89">
        <f t="shared" ca="1" si="5"/>
        <v>240.57391304347826</v>
      </c>
      <c r="Q30" s="90"/>
      <c r="R30" s="90"/>
      <c r="S30" s="91">
        <f t="shared" ca="1" si="6"/>
        <v>40.432590427475333</v>
      </c>
      <c r="T30" s="91">
        <f t="shared" ca="1" si="7"/>
        <v>48.114782608695648</v>
      </c>
      <c r="U30" s="92">
        <f t="shared" ca="1" si="8"/>
        <v>240.57391304347826</v>
      </c>
      <c r="V30" s="93"/>
      <c r="W30" s="47"/>
      <c r="X30" s="47"/>
      <c r="Y30" s="47"/>
      <c r="Z30" s="47"/>
    </row>
    <row r="31" spans="1:26" ht="19.5" customHeight="1" x14ac:dyDescent="0.3">
      <c r="A31" s="90" t="s">
        <v>182</v>
      </c>
      <c r="B31" s="94" t="str">
        <f t="shared" ca="1" si="0"/>
        <v>Mintas uveg feher fatorzs-Low-e 4mm termó</v>
      </c>
      <c r="C31" s="90"/>
      <c r="D31" s="87" t="str">
        <f t="shared" ca="1" si="1"/>
        <v>295.00</v>
      </c>
      <c r="E31" s="90" t="s">
        <v>153</v>
      </c>
      <c r="F31" s="90"/>
      <c r="G31" s="90"/>
      <c r="H31" s="87" t="str">
        <f t="shared" ca="1" si="2"/>
        <v>251.00</v>
      </c>
      <c r="I31" s="90" t="s">
        <v>153</v>
      </c>
      <c r="J31" s="47" t="str">
        <f t="shared" ca="1" si="3"/>
        <v>Duplex</v>
      </c>
      <c r="K31" s="47"/>
      <c r="L31" s="47"/>
      <c r="M31" s="47"/>
      <c r="N31" s="90" t="s">
        <v>182</v>
      </c>
      <c r="O31" s="87" t="str">
        <f t="shared" ca="1" si="4"/>
        <v>251.00</v>
      </c>
      <c r="P31" s="89">
        <f t="shared" ca="1" si="5"/>
        <v>231.35652173913044</v>
      </c>
      <c r="Q31" s="90"/>
      <c r="R31" s="90"/>
      <c r="S31" s="91">
        <f t="shared" ca="1" si="6"/>
        <v>38.883449031786625</v>
      </c>
      <c r="T31" s="91">
        <f t="shared" ca="1" si="7"/>
        <v>46.271304347826089</v>
      </c>
      <c r="U31" s="92">
        <f t="shared" ca="1" si="8"/>
        <v>231.35652173913044</v>
      </c>
      <c r="V31" s="93"/>
      <c r="W31" s="47"/>
      <c r="X31" s="47"/>
      <c r="Y31" s="47"/>
      <c r="Z31" s="47"/>
    </row>
    <row r="32" spans="1:26" ht="19.5" customHeight="1" x14ac:dyDescent="0.3">
      <c r="A32" s="90" t="s">
        <v>183</v>
      </c>
      <c r="B32" s="94" t="str">
        <f t="shared" ca="1" si="0"/>
        <v>Tukor 4mm-Barna csincsilla termó</v>
      </c>
      <c r="C32" s="90"/>
      <c r="D32" s="87" t="str">
        <f t="shared" ca="1" si="1"/>
        <v>357.00</v>
      </c>
      <c r="E32" s="90" t="s">
        <v>153</v>
      </c>
      <c r="F32" s="90"/>
      <c r="G32" s="90"/>
      <c r="H32" s="87" t="str">
        <f t="shared" ca="1" si="2"/>
        <v>304.00</v>
      </c>
      <c r="I32" s="90" t="s">
        <v>153</v>
      </c>
      <c r="J32" s="47" t="str">
        <f t="shared" ca="1" si="3"/>
        <v>Duplex</v>
      </c>
      <c r="K32" s="47"/>
      <c r="L32" s="47"/>
      <c r="M32" s="47"/>
      <c r="N32" s="90" t="s">
        <v>183</v>
      </c>
      <c r="O32" s="87" t="str">
        <f t="shared" ca="1" si="4"/>
        <v>304.00</v>
      </c>
      <c r="P32" s="89">
        <f t="shared" ca="1" si="5"/>
        <v>280.2086956521739</v>
      </c>
      <c r="Q32" s="90"/>
      <c r="R32" s="90"/>
      <c r="S32" s="91">
        <f t="shared" ca="1" si="6"/>
        <v>47.093898428936789</v>
      </c>
      <c r="T32" s="91">
        <f t="shared" ca="1" si="7"/>
        <v>56.041739130434777</v>
      </c>
      <c r="U32" s="92">
        <f t="shared" ca="1" si="8"/>
        <v>280.2086956521739</v>
      </c>
      <c r="V32" s="93"/>
      <c r="W32" s="47"/>
      <c r="X32" s="47"/>
      <c r="Y32" s="47"/>
      <c r="Z32" s="47"/>
    </row>
    <row r="33" spans="1:26" ht="19.5" customHeight="1" x14ac:dyDescent="0.3">
      <c r="A33" s="90" t="s">
        <v>184</v>
      </c>
      <c r="B33" s="94" t="str">
        <f t="shared" ca="1" si="0"/>
        <v>Savmarta barna tuskes-Low-e 4mm termó</v>
      </c>
      <c r="C33" s="90"/>
      <c r="D33" s="87" t="str">
        <f t="shared" ca="1" si="1"/>
        <v>324.00</v>
      </c>
      <c r="E33" s="90" t="s">
        <v>153</v>
      </c>
      <c r="F33" s="90"/>
      <c r="G33" s="90"/>
      <c r="H33" s="87" t="str">
        <f t="shared" ca="1" si="2"/>
        <v>276.00</v>
      </c>
      <c r="I33" s="90" t="s">
        <v>153</v>
      </c>
      <c r="J33" s="47" t="str">
        <f t="shared" ca="1" si="3"/>
        <v>Duplex</v>
      </c>
      <c r="K33" s="47"/>
      <c r="L33" s="47"/>
      <c r="M33" s="47"/>
      <c r="N33" s="90" t="s">
        <v>184</v>
      </c>
      <c r="O33" s="87" t="str">
        <f t="shared" ca="1" si="4"/>
        <v>276.00</v>
      </c>
      <c r="P33" s="89">
        <f t="shared" ca="1" si="5"/>
        <v>254.4</v>
      </c>
      <c r="Q33" s="90"/>
      <c r="R33" s="90"/>
      <c r="S33" s="91">
        <f t="shared" ca="1" si="6"/>
        <v>42.756302521008408</v>
      </c>
      <c r="T33" s="91">
        <f t="shared" ca="1" si="7"/>
        <v>50.88</v>
      </c>
      <c r="U33" s="92">
        <f t="shared" ca="1" si="8"/>
        <v>254.4</v>
      </c>
      <c r="V33" s="93"/>
      <c r="W33" s="47"/>
      <c r="X33" s="47"/>
      <c r="Y33" s="47"/>
      <c r="Z33" s="47"/>
    </row>
    <row r="34" spans="1:26" ht="19.5" customHeight="1" x14ac:dyDescent="0.3">
      <c r="A34" s="90" t="s">
        <v>185</v>
      </c>
      <c r="B34" s="94" t="str">
        <f t="shared" ca="1" si="0"/>
        <v>Float 8mm-Low-e 4mm termó</v>
      </c>
      <c r="C34" s="90"/>
      <c r="D34" s="87" t="str">
        <f t="shared" ca="1" si="1"/>
        <v>275.00</v>
      </c>
      <c r="E34" s="90" t="s">
        <v>153</v>
      </c>
      <c r="F34" s="90"/>
      <c r="G34" s="90"/>
      <c r="H34" s="87" t="str">
        <f t="shared" ca="1" si="2"/>
        <v>234.00</v>
      </c>
      <c r="I34" s="90" t="s">
        <v>153</v>
      </c>
      <c r="J34" s="47" t="str">
        <f t="shared" ca="1" si="3"/>
        <v>Duplex</v>
      </c>
      <c r="K34" s="47"/>
      <c r="L34" s="47"/>
      <c r="M34" s="47"/>
      <c r="N34" s="90" t="s">
        <v>185</v>
      </c>
      <c r="O34" s="87" t="str">
        <f t="shared" ca="1" si="4"/>
        <v>234.00</v>
      </c>
      <c r="P34" s="89">
        <f t="shared" ca="1" si="5"/>
        <v>215.68695652173912</v>
      </c>
      <c r="Q34" s="90"/>
      <c r="R34" s="90"/>
      <c r="S34" s="91">
        <f t="shared" ca="1" si="6"/>
        <v>36.249908659115817</v>
      </c>
      <c r="T34" s="91">
        <f t="shared" ca="1" si="7"/>
        <v>43.137391304347823</v>
      </c>
      <c r="U34" s="92">
        <f t="shared" ca="1" si="8"/>
        <v>215.68695652173912</v>
      </c>
      <c r="V34" s="93"/>
      <c r="W34" s="47"/>
      <c r="X34" s="47"/>
      <c r="Y34" s="47"/>
      <c r="Z34" s="47"/>
    </row>
    <row r="35" spans="1:26" ht="19.5" customHeight="1" x14ac:dyDescent="0.3">
      <c r="A35" s="90" t="s">
        <v>186</v>
      </c>
      <c r="B35" s="94" t="str">
        <f t="shared" ca="1" si="0"/>
        <v>Feher screen-Low-e 4mm termó</v>
      </c>
      <c r="C35" s="90"/>
      <c r="D35" s="87" t="str">
        <f t="shared" ca="1" si="1"/>
        <v>250.00</v>
      </c>
      <c r="E35" s="90" t="s">
        <v>153</v>
      </c>
      <c r="F35" s="90"/>
      <c r="G35" s="90"/>
      <c r="H35" s="87" t="str">
        <f t="shared" ca="1" si="2"/>
        <v>213.00</v>
      </c>
      <c r="I35" s="90" t="s">
        <v>153</v>
      </c>
      <c r="J35" s="47" t="str">
        <f t="shared" ca="1" si="3"/>
        <v>Duplex</v>
      </c>
      <c r="K35" s="47"/>
      <c r="L35" s="47"/>
      <c r="M35" s="47"/>
      <c r="N35" s="90" t="s">
        <v>186</v>
      </c>
      <c r="O35" s="87" t="str">
        <f t="shared" ca="1" si="4"/>
        <v>213.00</v>
      </c>
      <c r="P35" s="89">
        <f t="shared" ca="1" si="5"/>
        <v>196.33043478260871</v>
      </c>
      <c r="Q35" s="90"/>
      <c r="R35" s="90"/>
      <c r="S35" s="91">
        <f t="shared" ca="1" si="6"/>
        <v>32.996711728169529</v>
      </c>
      <c r="T35" s="91">
        <f t="shared" ca="1" si="7"/>
        <v>39.26608695652174</v>
      </c>
      <c r="U35" s="92">
        <f t="shared" ca="1" si="8"/>
        <v>196.33043478260871</v>
      </c>
      <c r="V35" s="93"/>
      <c r="W35" s="47"/>
      <c r="X35" s="47"/>
      <c r="Y35" s="47"/>
      <c r="Z35" s="47"/>
    </row>
    <row r="36" spans="1:26" ht="19.5" customHeight="1" x14ac:dyDescent="0.3">
      <c r="A36" s="90" t="s">
        <v>187</v>
      </c>
      <c r="B36" s="94" t="str">
        <f t="shared" ca="1" si="0"/>
        <v>Mintas uveg delta 2-Float 4mm termó</v>
      </c>
      <c r="C36" s="90"/>
      <c r="D36" s="87" t="str">
        <f t="shared" ca="1" si="1"/>
        <v>250.00</v>
      </c>
      <c r="E36" s="90" t="s">
        <v>153</v>
      </c>
      <c r="F36" s="90"/>
      <c r="G36" s="90"/>
      <c r="H36" s="87" t="str">
        <f t="shared" ca="1" si="2"/>
        <v>213.00</v>
      </c>
      <c r="I36" s="90" t="s">
        <v>153</v>
      </c>
      <c r="J36" s="47" t="str">
        <f t="shared" ca="1" si="3"/>
        <v>Duplex</v>
      </c>
      <c r="K36" s="47"/>
      <c r="L36" s="47"/>
      <c r="M36" s="47"/>
      <c r="N36" s="90" t="s">
        <v>187</v>
      </c>
      <c r="O36" s="87" t="str">
        <f t="shared" ca="1" si="4"/>
        <v>213.00</v>
      </c>
      <c r="P36" s="89">
        <f t="shared" ca="1" si="5"/>
        <v>196.33043478260871</v>
      </c>
      <c r="Q36" s="90"/>
      <c r="R36" s="90"/>
      <c r="S36" s="91">
        <f t="shared" ca="1" si="6"/>
        <v>32.996711728169529</v>
      </c>
      <c r="T36" s="91">
        <f t="shared" ca="1" si="7"/>
        <v>39.26608695652174</v>
      </c>
      <c r="U36" s="92">
        <f t="shared" ca="1" si="8"/>
        <v>196.33043478260871</v>
      </c>
      <c r="V36" s="93"/>
      <c r="W36" s="47"/>
      <c r="X36" s="47"/>
      <c r="Y36" s="47"/>
      <c r="Z36" s="47"/>
    </row>
    <row r="37" spans="1:26" ht="19.5" customHeight="1" x14ac:dyDescent="0.3">
      <c r="A37" s="90" t="s">
        <v>188</v>
      </c>
      <c r="B37" s="94" t="str">
        <f t="shared" ca="1" si="0"/>
        <v>Float 6mm-Low-e 4mm-Low-e 4mm termó</v>
      </c>
      <c r="C37" s="90"/>
      <c r="D37" s="87" t="str">
        <f t="shared" ca="1" si="1"/>
        <v>390.00</v>
      </c>
      <c r="E37" s="90" t="s">
        <v>153</v>
      </c>
      <c r="F37" s="90"/>
      <c r="G37" s="90"/>
      <c r="H37" s="87" t="str">
        <f t="shared" ca="1" si="2"/>
        <v>332.00</v>
      </c>
      <c r="I37" s="90" t="s">
        <v>153</v>
      </c>
      <c r="J37" s="47" t="str">
        <f t="shared" ca="1" si="3"/>
        <v>Triplex</v>
      </c>
      <c r="K37" s="47"/>
      <c r="L37" s="47"/>
      <c r="M37" s="47"/>
      <c r="N37" s="90" t="s">
        <v>188</v>
      </c>
      <c r="O37" s="87" t="str">
        <f t="shared" ca="1" si="4"/>
        <v>332.00</v>
      </c>
      <c r="P37" s="89">
        <f t="shared" ca="1" si="5"/>
        <v>306.01739130434783</v>
      </c>
      <c r="Q37" s="90"/>
      <c r="R37" s="90"/>
      <c r="S37" s="91">
        <f t="shared" ca="1" si="6"/>
        <v>51.431494336865185</v>
      </c>
      <c r="T37" s="91">
        <f t="shared" ca="1" si="7"/>
        <v>61.203478260869566</v>
      </c>
      <c r="U37" s="92">
        <f t="shared" ca="1" si="8"/>
        <v>306.01739130434783</v>
      </c>
      <c r="V37" s="93"/>
      <c r="W37" s="47"/>
      <c r="X37" s="47"/>
      <c r="Y37" s="47"/>
      <c r="Z37" s="47"/>
    </row>
    <row r="38" spans="1:26" ht="19.5" customHeight="1" x14ac:dyDescent="0.3">
      <c r="A38" s="90" t="s">
        <v>189</v>
      </c>
      <c r="B38" s="94" t="str">
        <f t="shared" ca="1" si="0"/>
        <v>Feher screen-Float 4mm-Low-e 4mm termó</v>
      </c>
      <c r="C38" s="90"/>
      <c r="D38" s="87" t="str">
        <f t="shared" ca="1" si="1"/>
        <v>396.00</v>
      </c>
      <c r="E38" s="90" t="s">
        <v>153</v>
      </c>
      <c r="F38" s="90"/>
      <c r="G38" s="90"/>
      <c r="H38" s="87" t="str">
        <f t="shared" ca="1" si="2"/>
        <v>337.00</v>
      </c>
      <c r="I38" s="90" t="s">
        <v>153</v>
      </c>
      <c r="J38" s="47" t="str">
        <f t="shared" ca="1" si="3"/>
        <v>Triplex</v>
      </c>
      <c r="K38" s="47"/>
      <c r="L38" s="47"/>
      <c r="M38" s="47"/>
      <c r="N38" s="90" t="s">
        <v>189</v>
      </c>
      <c r="O38" s="87" t="str">
        <f t="shared" ca="1" si="4"/>
        <v>337.00</v>
      </c>
      <c r="P38" s="89">
        <f t="shared" ca="1" si="5"/>
        <v>310.62608695652176</v>
      </c>
      <c r="Q38" s="90"/>
      <c r="R38" s="90"/>
      <c r="S38" s="91">
        <f t="shared" ca="1" si="6"/>
        <v>52.206065034709539</v>
      </c>
      <c r="T38" s="91">
        <f t="shared" ca="1" si="7"/>
        <v>62.125217391304353</v>
      </c>
      <c r="U38" s="92">
        <f t="shared" ca="1" si="8"/>
        <v>310.62608695652176</v>
      </c>
      <c r="V38" s="93"/>
      <c r="W38" s="47"/>
      <c r="X38" s="47"/>
      <c r="Y38" s="47"/>
      <c r="Z38" s="47"/>
    </row>
    <row r="39" spans="1:26" ht="19.5" customHeight="1" x14ac:dyDescent="0.3">
      <c r="A39" s="90" t="s">
        <v>190</v>
      </c>
      <c r="B39" s="94" t="str">
        <f t="shared" ca="1" si="0"/>
        <v>Mintas uveg feher fatorzs-Float 4mm termó</v>
      </c>
      <c r="C39" s="90"/>
      <c r="D39" s="87" t="str">
        <f t="shared" ca="1" si="1"/>
        <v>273.00</v>
      </c>
      <c r="E39" s="90" t="s">
        <v>153</v>
      </c>
      <c r="F39" s="90"/>
      <c r="G39" s="90"/>
      <c r="H39" s="87" t="str">
        <f t="shared" ca="1" si="2"/>
        <v>233.00</v>
      </c>
      <c r="I39" s="90" t="s">
        <v>153</v>
      </c>
      <c r="J39" s="47" t="str">
        <f t="shared" ca="1" si="3"/>
        <v>Duplex</v>
      </c>
      <c r="K39" s="47"/>
      <c r="L39" s="47"/>
      <c r="M39" s="47"/>
      <c r="N39" s="90" t="s">
        <v>190</v>
      </c>
      <c r="O39" s="87" t="str">
        <f t="shared" ca="1" si="4"/>
        <v>233.00</v>
      </c>
      <c r="P39" s="89">
        <f t="shared" ca="1" si="5"/>
        <v>214.76521739130436</v>
      </c>
      <c r="Q39" s="90"/>
      <c r="R39" s="90"/>
      <c r="S39" s="91">
        <f t="shared" ca="1" si="6"/>
        <v>36.094994519546951</v>
      </c>
      <c r="T39" s="91">
        <f t="shared" ca="1" si="7"/>
        <v>42.953043478260874</v>
      </c>
      <c r="U39" s="92">
        <f t="shared" ca="1" si="8"/>
        <v>214.76521739130436</v>
      </c>
      <c r="V39" s="93"/>
      <c r="W39" s="47"/>
      <c r="X39" s="47"/>
      <c r="Y39" s="47"/>
      <c r="Z39" s="47"/>
    </row>
    <row r="40" spans="1:26" ht="19.5" customHeight="1" x14ac:dyDescent="0.3">
      <c r="A40" s="90" t="s">
        <v>191</v>
      </c>
      <c r="B40" s="94" t="str">
        <f t="shared" ca="1" si="0"/>
        <v>Homokfujt 4mm-Float 4mm termó</v>
      </c>
      <c r="C40" s="90"/>
      <c r="D40" s="87" t="str">
        <f t="shared" ca="1" si="1"/>
        <v>225.00</v>
      </c>
      <c r="E40" s="90" t="s">
        <v>153</v>
      </c>
      <c r="F40" s="90"/>
      <c r="G40" s="90"/>
      <c r="H40" s="87" t="str">
        <f t="shared" ca="1" si="2"/>
        <v>192.00</v>
      </c>
      <c r="I40" s="90" t="s">
        <v>153</v>
      </c>
      <c r="J40" s="47" t="str">
        <f t="shared" ca="1" si="3"/>
        <v>Duplex</v>
      </c>
      <c r="K40" s="47"/>
      <c r="L40" s="47"/>
      <c r="M40" s="47"/>
      <c r="N40" s="90" t="s">
        <v>191</v>
      </c>
      <c r="O40" s="87" t="str">
        <f t="shared" ca="1" si="4"/>
        <v>192.00</v>
      </c>
      <c r="P40" s="89">
        <f t="shared" ca="1" si="5"/>
        <v>176.97391304347826</v>
      </c>
      <c r="Q40" s="90"/>
      <c r="R40" s="90"/>
      <c r="S40" s="91">
        <f t="shared" ca="1" si="6"/>
        <v>29.743514797223234</v>
      </c>
      <c r="T40" s="91">
        <f t="shared" ca="1" si="7"/>
        <v>35.39478260869565</v>
      </c>
      <c r="U40" s="92">
        <f t="shared" ca="1" si="8"/>
        <v>176.97391304347826</v>
      </c>
      <c r="V40" s="93"/>
      <c r="W40" s="47"/>
      <c r="X40" s="47"/>
      <c r="Y40" s="47"/>
      <c r="Z40" s="47"/>
    </row>
    <row r="41" spans="1:26" ht="19.5" customHeight="1" x14ac:dyDescent="0.3">
      <c r="A41" s="90" t="s">
        <v>192</v>
      </c>
      <c r="B41" s="94" t="str">
        <f t="shared" ca="1" si="0"/>
        <v>Mintas uveg aprokockas-Low-e 4mm termó</v>
      </c>
      <c r="C41" s="90"/>
      <c r="D41" s="87" t="str">
        <f t="shared" ca="1" si="1"/>
        <v>272.00</v>
      </c>
      <c r="E41" s="90" t="s">
        <v>153</v>
      </c>
      <c r="F41" s="90"/>
      <c r="G41" s="90"/>
      <c r="H41" s="87" t="str">
        <f t="shared" ca="1" si="2"/>
        <v>232.00</v>
      </c>
      <c r="I41" s="90" t="s">
        <v>153</v>
      </c>
      <c r="J41" s="47" t="str">
        <f t="shared" ca="1" si="3"/>
        <v>Duplex</v>
      </c>
      <c r="K41" s="47"/>
      <c r="L41" s="47"/>
      <c r="M41" s="47"/>
      <c r="N41" s="90" t="s">
        <v>192</v>
      </c>
      <c r="O41" s="87" t="str">
        <f t="shared" ca="1" si="4"/>
        <v>232.00</v>
      </c>
      <c r="P41" s="89">
        <f t="shared" ca="1" si="5"/>
        <v>213.84347826086957</v>
      </c>
      <c r="Q41" s="90"/>
      <c r="R41" s="90"/>
      <c r="S41" s="91">
        <f t="shared" ca="1" si="6"/>
        <v>35.940080379978085</v>
      </c>
      <c r="T41" s="91">
        <f t="shared" ca="1" si="7"/>
        <v>42.768695652173918</v>
      </c>
      <c r="U41" s="92">
        <f t="shared" ca="1" si="8"/>
        <v>213.84347826086957</v>
      </c>
      <c r="V41" s="93"/>
      <c r="W41" s="47"/>
      <c r="X41" s="47"/>
      <c r="Y41" s="47"/>
      <c r="Z41" s="47"/>
    </row>
    <row r="42" spans="1:26" ht="19.5" customHeight="1" x14ac:dyDescent="0.3">
      <c r="A42" s="90" t="s">
        <v>193</v>
      </c>
      <c r="B42" s="94" t="str">
        <f t="shared" ca="1" si="0"/>
        <v>Reflexios 4mm-Low-e 4mm-Low-e 4mm termó</v>
      </c>
      <c r="C42" s="90"/>
      <c r="D42" s="87" t="str">
        <f t="shared" ca="1" si="1"/>
        <v>447.00</v>
      </c>
      <c r="E42" s="90" t="s">
        <v>153</v>
      </c>
      <c r="F42" s="90"/>
      <c r="G42" s="90"/>
      <c r="H42" s="87" t="str">
        <f t="shared" ca="1" si="2"/>
        <v>380.00</v>
      </c>
      <c r="I42" s="90" t="s">
        <v>153</v>
      </c>
      <c r="J42" s="47" t="str">
        <f t="shared" ca="1" si="3"/>
        <v>Triplex</v>
      </c>
      <c r="K42" s="47"/>
      <c r="L42" s="47"/>
      <c r="M42" s="47"/>
      <c r="N42" s="90" t="s">
        <v>193</v>
      </c>
      <c r="O42" s="87" t="str">
        <f t="shared" ca="1" si="4"/>
        <v>380.00</v>
      </c>
      <c r="P42" s="89">
        <f t="shared" ca="1" si="5"/>
        <v>350.26086956521738</v>
      </c>
      <c r="Q42" s="90"/>
      <c r="R42" s="90"/>
      <c r="S42" s="91">
        <f t="shared" ca="1" si="6"/>
        <v>58.867373036170989</v>
      </c>
      <c r="T42" s="91">
        <f t="shared" ca="1" si="7"/>
        <v>70.052173913043475</v>
      </c>
      <c r="U42" s="92">
        <f t="shared" ca="1" si="8"/>
        <v>350.26086956521738</v>
      </c>
      <c r="V42" s="93"/>
      <c r="W42" s="47"/>
      <c r="X42" s="47"/>
      <c r="Y42" s="47"/>
      <c r="Z42" s="47"/>
    </row>
    <row r="43" spans="1:26" ht="19.5" customHeight="1" x14ac:dyDescent="0.3">
      <c r="A43" s="90" t="s">
        <v>194</v>
      </c>
      <c r="B43" s="94" t="str">
        <f t="shared" ca="1" si="0"/>
        <v>Savmarta feher tuskes-Low-e 4mm termó</v>
      </c>
      <c r="C43" s="90"/>
      <c r="D43" s="87" t="str">
        <f t="shared" ca="1" si="1"/>
        <v>295.00</v>
      </c>
      <c r="E43" s="90" t="s">
        <v>153</v>
      </c>
      <c r="F43" s="90"/>
      <c r="G43" s="90"/>
      <c r="H43" s="87" t="str">
        <f t="shared" ca="1" si="2"/>
        <v>251.00</v>
      </c>
      <c r="I43" s="90" t="s">
        <v>153</v>
      </c>
      <c r="J43" s="47" t="str">
        <f t="shared" ca="1" si="3"/>
        <v>Duplex</v>
      </c>
      <c r="K43" s="47"/>
      <c r="L43" s="47"/>
      <c r="M43" s="47"/>
      <c r="N43" s="90" t="s">
        <v>194</v>
      </c>
      <c r="O43" s="87" t="str">
        <f t="shared" ca="1" si="4"/>
        <v>251.00</v>
      </c>
      <c r="P43" s="89">
        <f t="shared" ca="1" si="5"/>
        <v>231.35652173913044</v>
      </c>
      <c r="Q43" s="90"/>
      <c r="R43" s="90"/>
      <c r="S43" s="91">
        <f t="shared" ca="1" si="6"/>
        <v>38.883449031786625</v>
      </c>
      <c r="T43" s="91">
        <f t="shared" ca="1" si="7"/>
        <v>46.271304347826089</v>
      </c>
      <c r="U43" s="92">
        <f t="shared" ca="1" si="8"/>
        <v>231.35652173913044</v>
      </c>
      <c r="V43" s="93"/>
      <c r="W43" s="47"/>
      <c r="X43" s="47"/>
      <c r="Y43" s="47"/>
      <c r="Z43" s="47"/>
    </row>
    <row r="44" spans="1:26" ht="19.5" customHeight="1" x14ac:dyDescent="0.3">
      <c r="A44" s="90" t="s">
        <v>195</v>
      </c>
      <c r="B44" s="94" t="str">
        <f t="shared" ca="1" si="0"/>
        <v>Barna csincsilla-Low-e 4mm termó</v>
      </c>
      <c r="C44" s="90"/>
      <c r="D44" s="87" t="str">
        <f t="shared" ca="1" si="1"/>
        <v>307.00</v>
      </c>
      <c r="E44" s="90" t="s">
        <v>153</v>
      </c>
      <c r="F44" s="90"/>
      <c r="G44" s="90"/>
      <c r="H44" s="87" t="str">
        <f t="shared" ca="1" si="2"/>
        <v>261.00</v>
      </c>
      <c r="I44" s="90" t="s">
        <v>153</v>
      </c>
      <c r="J44" s="47" t="str">
        <f t="shared" ca="1" si="3"/>
        <v>Duplex</v>
      </c>
      <c r="K44" s="47"/>
      <c r="L44" s="47"/>
      <c r="M44" s="47"/>
      <c r="N44" s="90" t="s">
        <v>195</v>
      </c>
      <c r="O44" s="87" t="str">
        <f t="shared" ca="1" si="4"/>
        <v>261.00</v>
      </c>
      <c r="P44" s="89">
        <f t="shared" ca="1" si="5"/>
        <v>240.57391304347826</v>
      </c>
      <c r="Q44" s="90"/>
      <c r="R44" s="90"/>
      <c r="S44" s="91">
        <f t="shared" ca="1" si="6"/>
        <v>40.432590427475333</v>
      </c>
      <c r="T44" s="91">
        <f t="shared" ca="1" si="7"/>
        <v>48.114782608695648</v>
      </c>
      <c r="U44" s="92">
        <f t="shared" ca="1" si="8"/>
        <v>240.57391304347826</v>
      </c>
      <c r="V44" s="93"/>
      <c r="W44" s="47"/>
      <c r="X44" s="47"/>
      <c r="Y44" s="47"/>
      <c r="Z44" s="47"/>
    </row>
    <row r="45" spans="1:26" ht="19.5" customHeight="1" x14ac:dyDescent="0.3">
      <c r="A45" s="90" t="s">
        <v>196</v>
      </c>
      <c r="B45" s="94" t="str">
        <f t="shared" ca="1" si="0"/>
        <v>Mintas uveg aprokockas-Float 4mm-Low-e 4mm termó</v>
      </c>
      <c r="C45" s="90"/>
      <c r="D45" s="87" t="str">
        <f t="shared" ca="1" si="1"/>
        <v>403.00</v>
      </c>
      <c r="E45" s="90" t="s">
        <v>153</v>
      </c>
      <c r="F45" s="90"/>
      <c r="G45" s="90"/>
      <c r="H45" s="87" t="str">
        <f t="shared" ca="1" si="2"/>
        <v>343.00</v>
      </c>
      <c r="I45" s="90" t="s">
        <v>153</v>
      </c>
      <c r="J45" s="47" t="str">
        <f t="shared" ca="1" si="3"/>
        <v>Triplex</v>
      </c>
      <c r="K45" s="47"/>
      <c r="L45" s="47"/>
      <c r="M45" s="47"/>
      <c r="N45" s="90" t="s">
        <v>196</v>
      </c>
      <c r="O45" s="87" t="str">
        <f t="shared" ca="1" si="4"/>
        <v>343.00</v>
      </c>
      <c r="P45" s="89">
        <f t="shared" ca="1" si="5"/>
        <v>316.15652173913043</v>
      </c>
      <c r="Q45" s="90"/>
      <c r="R45" s="90"/>
      <c r="S45" s="91">
        <f t="shared" ca="1" si="6"/>
        <v>53.135549872122759</v>
      </c>
      <c r="T45" s="91">
        <f t="shared" ca="1" si="7"/>
        <v>63.231304347826082</v>
      </c>
      <c r="U45" s="92">
        <f t="shared" ca="1" si="8"/>
        <v>316.15652173913043</v>
      </c>
      <c r="V45" s="93"/>
      <c r="W45" s="47"/>
      <c r="X45" s="47"/>
      <c r="Y45" s="47"/>
      <c r="Z45" s="47"/>
    </row>
    <row r="46" spans="1:26" ht="19.5" customHeight="1" x14ac:dyDescent="0.3">
      <c r="A46" s="90" t="s">
        <v>197</v>
      </c>
      <c r="B46" s="94" t="str">
        <f t="shared" ca="1" si="0"/>
        <v>Homokfujt 4mm-Float 4mm-Low-e 4mm termó</v>
      </c>
      <c r="C46" s="90"/>
      <c r="D46" s="87" t="str">
        <f t="shared" ca="1" si="1"/>
        <v>358.00</v>
      </c>
      <c r="E46" s="90" t="s">
        <v>153</v>
      </c>
      <c r="F46" s="90"/>
      <c r="G46" s="90"/>
      <c r="H46" s="87" t="str">
        <f t="shared" ca="1" si="2"/>
        <v>305.00</v>
      </c>
      <c r="I46" s="90" t="s">
        <v>153</v>
      </c>
      <c r="J46" s="47" t="str">
        <f t="shared" ca="1" si="3"/>
        <v>Triplex</v>
      </c>
      <c r="K46" s="47"/>
      <c r="L46" s="47"/>
      <c r="M46" s="47"/>
      <c r="N46" s="90" t="s">
        <v>197</v>
      </c>
      <c r="O46" s="87" t="str">
        <f t="shared" ca="1" si="4"/>
        <v>305.00</v>
      </c>
      <c r="P46" s="89">
        <f t="shared" ca="1" si="5"/>
        <v>281.13043478260869</v>
      </c>
      <c r="Q46" s="90"/>
      <c r="R46" s="90"/>
      <c r="S46" s="91">
        <f t="shared" ca="1" si="6"/>
        <v>47.248812568505663</v>
      </c>
      <c r="T46" s="91">
        <f t="shared" ca="1" si="7"/>
        <v>56.22608695652174</v>
      </c>
      <c r="U46" s="92">
        <f t="shared" ca="1" si="8"/>
        <v>281.13043478260869</v>
      </c>
      <c r="V46" s="93"/>
      <c r="W46" s="47"/>
      <c r="X46" s="47"/>
      <c r="Y46" s="47"/>
      <c r="Z46" s="47"/>
    </row>
    <row r="47" spans="1:26" ht="19.5" customHeight="1" x14ac:dyDescent="0.3">
      <c r="A47" s="90" t="s">
        <v>198</v>
      </c>
      <c r="B47" s="94" t="str">
        <f t="shared" ca="1" si="0"/>
        <v>Savamarta barna tegla-Low-e 4mm termó</v>
      </c>
      <c r="C47" s="90"/>
      <c r="D47" s="87" t="str">
        <f t="shared" ca="1" si="1"/>
        <v>324.00</v>
      </c>
      <c r="E47" s="90" t="s">
        <v>153</v>
      </c>
      <c r="F47" s="90"/>
      <c r="G47" s="90"/>
      <c r="H47" s="87" t="str">
        <f t="shared" ca="1" si="2"/>
        <v>276.00</v>
      </c>
      <c r="I47" s="90" t="s">
        <v>153</v>
      </c>
      <c r="J47" s="47" t="str">
        <f t="shared" ca="1" si="3"/>
        <v>Duplex</v>
      </c>
      <c r="K47" s="47"/>
      <c r="L47" s="47"/>
      <c r="M47" s="47"/>
      <c r="N47" s="90" t="s">
        <v>198</v>
      </c>
      <c r="O47" s="87" t="str">
        <f t="shared" ca="1" si="4"/>
        <v>276.00</v>
      </c>
      <c r="P47" s="89">
        <f t="shared" ca="1" si="5"/>
        <v>254.4</v>
      </c>
      <c r="Q47" s="90"/>
      <c r="R47" s="90"/>
      <c r="S47" s="91">
        <f t="shared" ca="1" si="6"/>
        <v>42.756302521008408</v>
      </c>
      <c r="T47" s="91">
        <f t="shared" ca="1" si="7"/>
        <v>50.88</v>
      </c>
      <c r="U47" s="92">
        <f t="shared" ca="1" si="8"/>
        <v>254.4</v>
      </c>
      <c r="V47" s="93"/>
      <c r="W47" s="47"/>
      <c r="X47" s="47"/>
      <c r="Y47" s="47"/>
      <c r="Z47" s="47"/>
    </row>
    <row r="48" spans="1:26" ht="19.5" customHeight="1" x14ac:dyDescent="0.3">
      <c r="A48" s="90" t="s">
        <v>199</v>
      </c>
      <c r="B48" s="94" t="str">
        <f t="shared" ca="1" si="0"/>
        <v>Savmarta feher Tegla-Low-e 4mm termó</v>
      </c>
      <c r="C48" s="90"/>
      <c r="D48" s="87" t="str">
        <f t="shared" ca="1" si="1"/>
        <v>295.00</v>
      </c>
      <c r="E48" s="90" t="s">
        <v>153</v>
      </c>
      <c r="F48" s="90"/>
      <c r="G48" s="90"/>
      <c r="H48" s="87" t="str">
        <f t="shared" ca="1" si="2"/>
        <v>251.00</v>
      </c>
      <c r="I48" s="90" t="s">
        <v>153</v>
      </c>
      <c r="J48" s="47" t="str">
        <f t="shared" ca="1" si="3"/>
        <v>Duplex</v>
      </c>
      <c r="K48" s="47"/>
      <c r="L48" s="47"/>
      <c r="M48" s="47"/>
      <c r="N48" s="90" t="s">
        <v>199</v>
      </c>
      <c r="O48" s="87" t="str">
        <f t="shared" ca="1" si="4"/>
        <v>251.00</v>
      </c>
      <c r="P48" s="89">
        <f t="shared" ca="1" si="5"/>
        <v>231.35652173913044</v>
      </c>
      <c r="Q48" s="90"/>
      <c r="R48" s="90"/>
      <c r="S48" s="91">
        <f t="shared" ca="1" si="6"/>
        <v>38.883449031786625</v>
      </c>
      <c r="T48" s="91">
        <f t="shared" ca="1" si="7"/>
        <v>46.271304347826089</v>
      </c>
      <c r="U48" s="92">
        <f t="shared" ca="1" si="8"/>
        <v>231.35652173913044</v>
      </c>
      <c r="V48" s="93"/>
      <c r="W48" s="47"/>
      <c r="X48" s="47"/>
      <c r="Y48" s="47"/>
      <c r="Z48" s="47"/>
    </row>
    <row r="49" spans="1:26" ht="19.5" customHeight="1" x14ac:dyDescent="0.3">
      <c r="A49" s="90" t="s">
        <v>200</v>
      </c>
      <c r="B49" s="94" t="str">
        <f t="shared" ca="1" si="0"/>
        <v>Duplex 3.1.3.-Duplex 3.1.3. termó</v>
      </c>
      <c r="C49" s="90"/>
      <c r="D49" s="87" t="str">
        <f t="shared" ca="1" si="1"/>
        <v>319.00</v>
      </c>
      <c r="E49" s="90" t="s">
        <v>153</v>
      </c>
      <c r="F49" s="90"/>
      <c r="G49" s="90"/>
      <c r="H49" s="87" t="str">
        <f t="shared" ca="1" si="2"/>
        <v>272.00</v>
      </c>
      <c r="I49" s="90" t="s">
        <v>153</v>
      </c>
      <c r="J49" s="47" t="str">
        <f t="shared" ca="1" si="3"/>
        <v>Duplex</v>
      </c>
      <c r="K49" s="47"/>
      <c r="L49" s="47"/>
      <c r="M49" s="47"/>
      <c r="N49" s="90" t="s">
        <v>200</v>
      </c>
      <c r="O49" s="87" t="str">
        <f t="shared" ca="1" si="4"/>
        <v>272.00</v>
      </c>
      <c r="P49" s="89">
        <f t="shared" ca="1" si="5"/>
        <v>250.71304347826086</v>
      </c>
      <c r="Q49" s="90"/>
      <c r="R49" s="90"/>
      <c r="S49" s="91">
        <f t="shared" ca="1" si="6"/>
        <v>42.136645962732914</v>
      </c>
      <c r="T49" s="91">
        <f t="shared" ca="1" si="7"/>
        <v>50.142608695652171</v>
      </c>
      <c r="U49" s="92">
        <f t="shared" ca="1" si="8"/>
        <v>250.71304347826086</v>
      </c>
      <c r="V49" s="93"/>
      <c r="W49" s="47"/>
      <c r="X49" s="47"/>
      <c r="Y49" s="47"/>
      <c r="Z49" s="47"/>
    </row>
    <row r="50" spans="1:26" ht="19.5" customHeight="1" x14ac:dyDescent="0.3">
      <c r="A50" s="90" t="s">
        <v>201</v>
      </c>
      <c r="B50" s="94" t="str">
        <f t="shared" ca="1" si="0"/>
        <v>Barna delta 2-Tukor 4mm termó</v>
      </c>
      <c r="C50" s="90"/>
      <c r="D50" s="87" t="str">
        <f t="shared" ca="1" si="1"/>
        <v>357.00</v>
      </c>
      <c r="E50" s="90" t="s">
        <v>153</v>
      </c>
      <c r="F50" s="90"/>
      <c r="G50" s="90"/>
      <c r="H50" s="87" t="str">
        <f t="shared" ca="1" si="2"/>
        <v>304.00</v>
      </c>
      <c r="I50" s="90" t="s">
        <v>153</v>
      </c>
      <c r="J50" s="47" t="str">
        <f t="shared" ca="1" si="3"/>
        <v>Duplex</v>
      </c>
      <c r="K50" s="47"/>
      <c r="L50" s="47"/>
      <c r="M50" s="47"/>
      <c r="N50" s="90" t="s">
        <v>202</v>
      </c>
      <c r="O50" s="87" t="str">
        <f t="shared" ca="1" si="4"/>
        <v>304.00</v>
      </c>
      <c r="P50" s="89">
        <f t="shared" ca="1" si="5"/>
        <v>280.2086956521739</v>
      </c>
      <c r="Q50" s="90"/>
      <c r="R50" s="90"/>
      <c r="S50" s="91">
        <f t="shared" ca="1" si="6"/>
        <v>47.093898428936789</v>
      </c>
      <c r="T50" s="91">
        <f t="shared" ca="1" si="7"/>
        <v>56.041739130434777</v>
      </c>
      <c r="U50" s="92">
        <f t="shared" ca="1" si="8"/>
        <v>280.2086956521739</v>
      </c>
      <c r="V50" s="93"/>
      <c r="W50" s="47"/>
      <c r="X50" s="47"/>
      <c r="Y50" s="47"/>
      <c r="Z50" s="47"/>
    </row>
    <row r="51" spans="1:26" ht="19.5" customHeight="1" x14ac:dyDescent="0.3">
      <c r="A51" s="90" t="s">
        <v>203</v>
      </c>
      <c r="B51" s="94" t="str">
        <f t="shared" ca="1" si="0"/>
        <v>Reflexios 4mm-Savmarta barna tuskes termó</v>
      </c>
      <c r="C51" s="90"/>
      <c r="D51" s="87" t="str">
        <f t="shared" ca="1" si="1"/>
        <v>386.00</v>
      </c>
      <c r="E51" s="90" t="s">
        <v>153</v>
      </c>
      <c r="F51" s="90"/>
      <c r="G51" s="90"/>
      <c r="H51" s="87" t="str">
        <f t="shared" ca="1" si="2"/>
        <v>329.00</v>
      </c>
      <c r="I51" s="90" t="s">
        <v>153</v>
      </c>
      <c r="J51" s="47" t="str">
        <f t="shared" ca="1" si="3"/>
        <v>Duplex</v>
      </c>
      <c r="K51" s="47"/>
      <c r="L51" s="47"/>
      <c r="M51" s="47"/>
      <c r="N51" s="90" t="s">
        <v>203</v>
      </c>
      <c r="O51" s="87" t="str">
        <f t="shared" ca="1" si="4"/>
        <v>329.00</v>
      </c>
      <c r="P51" s="89">
        <f t="shared" ca="1" si="5"/>
        <v>303.25217391304346</v>
      </c>
      <c r="Q51" s="90"/>
      <c r="R51" s="90"/>
      <c r="S51" s="91">
        <f t="shared" ca="1" si="6"/>
        <v>50.966751918158565</v>
      </c>
      <c r="T51" s="91">
        <f t="shared" ca="1" si="7"/>
        <v>60.650434782608691</v>
      </c>
      <c r="U51" s="92">
        <f t="shared" ca="1" si="8"/>
        <v>303.25217391304346</v>
      </c>
      <c r="V51" s="93"/>
      <c r="W51" s="47"/>
      <c r="X51" s="47"/>
      <c r="Y51" s="47"/>
      <c r="Z51" s="47"/>
    </row>
    <row r="52" spans="1:26" ht="19.5" customHeight="1" x14ac:dyDescent="0.3">
      <c r="A52" s="90" t="s">
        <v>204</v>
      </c>
      <c r="B52" s="94" t="str">
        <f t="shared" ca="1" si="0"/>
        <v>Satin bronz-Satin bronz termó</v>
      </c>
      <c r="C52" s="90"/>
      <c r="D52" s="87" t="str">
        <f t="shared" ca="1" si="1"/>
        <v>303.00</v>
      </c>
      <c r="E52" s="90" t="s">
        <v>153</v>
      </c>
      <c r="F52" s="90"/>
      <c r="G52" s="90"/>
      <c r="H52" s="87" t="str">
        <f t="shared" ca="1" si="2"/>
        <v>258.00</v>
      </c>
      <c r="I52" s="90" t="s">
        <v>153</v>
      </c>
      <c r="J52" s="47" t="str">
        <f t="shared" ca="1" si="3"/>
        <v>Duplex</v>
      </c>
      <c r="K52" s="47"/>
      <c r="L52" s="47"/>
      <c r="M52" s="47"/>
      <c r="N52" s="90" t="s">
        <v>204</v>
      </c>
      <c r="O52" s="87" t="str">
        <f t="shared" ca="1" si="4"/>
        <v>258.00</v>
      </c>
      <c r="P52" s="89">
        <f t="shared" ca="1" si="5"/>
        <v>237.80869565217392</v>
      </c>
      <c r="Q52" s="90"/>
      <c r="R52" s="90"/>
      <c r="S52" s="91">
        <f t="shared" ca="1" si="6"/>
        <v>39.967848008768726</v>
      </c>
      <c r="T52" s="91">
        <f t="shared" ca="1" si="7"/>
        <v>47.561739130434788</v>
      </c>
      <c r="U52" s="92">
        <f t="shared" ca="1" si="8"/>
        <v>237.80869565217392</v>
      </c>
      <c r="V52" s="93"/>
      <c r="W52" s="47"/>
      <c r="X52" s="47"/>
      <c r="Y52" s="47"/>
      <c r="Z52" s="47"/>
    </row>
    <row r="53" spans="1:26" ht="19.5" customHeight="1" x14ac:dyDescent="0.3">
      <c r="A53" s="90" t="s">
        <v>205</v>
      </c>
      <c r="B53" s="94" t="str">
        <f t="shared" ca="1" si="0"/>
        <v>4 evszakos-Homokfujt 4mm-Low-e 4mm termó</v>
      </c>
      <c r="C53" s="90"/>
      <c r="D53" s="87" t="str">
        <f t="shared" ca="1" si="1"/>
        <v>424.00</v>
      </c>
      <c r="E53" s="90" t="s">
        <v>153</v>
      </c>
      <c r="F53" s="90"/>
      <c r="G53" s="90"/>
      <c r="H53" s="87" t="str">
        <f t="shared" ca="1" si="2"/>
        <v>361.00</v>
      </c>
      <c r="I53" s="90" t="s">
        <v>153</v>
      </c>
      <c r="J53" s="47" t="str">
        <f t="shared" ca="1" si="3"/>
        <v>Triplex</v>
      </c>
      <c r="K53" s="47"/>
      <c r="L53" s="47"/>
      <c r="M53" s="47"/>
      <c r="N53" s="90" t="s">
        <v>205</v>
      </c>
      <c r="O53" s="87" t="str">
        <f t="shared" ca="1" si="4"/>
        <v>361.00</v>
      </c>
      <c r="P53" s="89">
        <f t="shared" ca="1" si="5"/>
        <v>332.74782608695654</v>
      </c>
      <c r="Q53" s="90"/>
      <c r="R53" s="90"/>
      <c r="S53" s="91">
        <f t="shared" ca="1" si="6"/>
        <v>55.924004384362441</v>
      </c>
      <c r="T53" s="91">
        <f t="shared" ca="1" si="7"/>
        <v>66.549565217391304</v>
      </c>
      <c r="U53" s="92">
        <f t="shared" ca="1" si="8"/>
        <v>332.74782608695654</v>
      </c>
      <c r="V53" s="93"/>
      <c r="W53" s="47"/>
      <c r="X53" s="47"/>
      <c r="Y53" s="47"/>
      <c r="Z53" s="47"/>
    </row>
    <row r="54" spans="1:26" ht="19.5" customHeight="1" x14ac:dyDescent="0.3">
      <c r="A54" s="90" t="s">
        <v>206</v>
      </c>
      <c r="B54" s="94" t="str">
        <f t="shared" ca="1" si="0"/>
        <v>Float 6mm-Float 4mm termó</v>
      </c>
      <c r="C54" s="90"/>
      <c r="D54" s="87" t="str">
        <f t="shared" ca="1" si="1"/>
        <v>215.00</v>
      </c>
      <c r="E54" s="90" t="s">
        <v>153</v>
      </c>
      <c r="F54" s="90"/>
      <c r="G54" s="90"/>
      <c r="H54" s="87" t="str">
        <f t="shared" ca="1" si="2"/>
        <v>183.00</v>
      </c>
      <c r="I54" s="90" t="s">
        <v>153</v>
      </c>
      <c r="J54" s="47" t="str">
        <f t="shared" ca="1" si="3"/>
        <v>Duplex</v>
      </c>
      <c r="K54" s="47"/>
      <c r="L54" s="47"/>
      <c r="M54" s="47"/>
      <c r="N54" s="90" t="s">
        <v>206</v>
      </c>
      <c r="O54" s="87" t="str">
        <f t="shared" ca="1" si="4"/>
        <v>183.00</v>
      </c>
      <c r="P54" s="89">
        <f t="shared" ca="1" si="5"/>
        <v>168.67826086956521</v>
      </c>
      <c r="Q54" s="90"/>
      <c r="R54" s="90"/>
      <c r="S54" s="91">
        <f t="shared" ca="1" si="6"/>
        <v>28.349287541103394</v>
      </c>
      <c r="T54" s="91">
        <f t="shared" ca="1" si="7"/>
        <v>33.735652173913039</v>
      </c>
      <c r="U54" s="92">
        <f t="shared" ca="1" si="8"/>
        <v>168.67826086956521</v>
      </c>
      <c r="V54" s="93"/>
      <c r="W54" s="47"/>
      <c r="X54" s="47"/>
      <c r="Y54" s="47"/>
      <c r="Z54" s="47"/>
    </row>
    <row r="55" spans="1:26" ht="19.5" customHeight="1" x14ac:dyDescent="0.3">
      <c r="A55" s="90" t="s">
        <v>207</v>
      </c>
      <c r="B55" s="94" t="str">
        <f t="shared" ca="1" si="0"/>
        <v>Reflexios 4mm-Float 4mm termó</v>
      </c>
      <c r="C55" s="90"/>
      <c r="D55" s="87" t="str">
        <f t="shared" ca="1" si="1"/>
        <v>272.00</v>
      </c>
      <c r="E55" s="90" t="s">
        <v>153</v>
      </c>
      <c r="F55" s="90"/>
      <c r="G55" s="90"/>
      <c r="H55" s="87" t="str">
        <f t="shared" ca="1" si="2"/>
        <v>232.00</v>
      </c>
      <c r="I55" s="90" t="s">
        <v>153</v>
      </c>
      <c r="J55" s="47" t="str">
        <f t="shared" ca="1" si="3"/>
        <v>Duplex</v>
      </c>
      <c r="K55" s="47"/>
      <c r="L55" s="47"/>
      <c r="M55" s="47"/>
      <c r="N55" s="90" t="s">
        <v>207</v>
      </c>
      <c r="O55" s="87" t="str">
        <f t="shared" ca="1" si="4"/>
        <v>232.00</v>
      </c>
      <c r="P55" s="89">
        <f t="shared" ca="1" si="5"/>
        <v>213.84347826086957</v>
      </c>
      <c r="Q55" s="90"/>
      <c r="R55" s="90"/>
      <c r="S55" s="91">
        <f t="shared" ca="1" si="6"/>
        <v>35.940080379978085</v>
      </c>
      <c r="T55" s="91">
        <f t="shared" ca="1" si="7"/>
        <v>42.768695652173918</v>
      </c>
      <c r="U55" s="92">
        <f t="shared" ca="1" si="8"/>
        <v>213.84347826086957</v>
      </c>
      <c r="V55" s="93"/>
      <c r="W55" s="47"/>
      <c r="X55" s="47"/>
      <c r="Y55" s="47"/>
      <c r="Z55" s="47"/>
    </row>
    <row r="56" spans="1:26" ht="19.5" customHeight="1" x14ac:dyDescent="0.3">
      <c r="A56" s="90" t="s">
        <v>208</v>
      </c>
      <c r="B56" s="94" t="str">
        <f t="shared" ca="1" si="0"/>
        <v>Feher csincsilla-Low-e 4mm termó</v>
      </c>
      <c r="C56" s="90"/>
      <c r="D56" s="87" t="str">
        <f t="shared" ca="1" si="1"/>
        <v>272.00</v>
      </c>
      <c r="E56" s="90" t="s">
        <v>153</v>
      </c>
      <c r="F56" s="90"/>
      <c r="G56" s="90"/>
      <c r="H56" s="87" t="str">
        <f t="shared" ca="1" si="2"/>
        <v>232.00</v>
      </c>
      <c r="I56" s="90" t="s">
        <v>153</v>
      </c>
      <c r="J56" s="47" t="str">
        <f t="shared" ca="1" si="3"/>
        <v>Duplex</v>
      </c>
      <c r="K56" s="47"/>
      <c r="L56" s="47"/>
      <c r="M56" s="47"/>
      <c r="N56" s="90" t="s">
        <v>208</v>
      </c>
      <c r="O56" s="87" t="str">
        <f t="shared" ca="1" si="4"/>
        <v>232.00</v>
      </c>
      <c r="P56" s="89">
        <f t="shared" ca="1" si="5"/>
        <v>213.84347826086957</v>
      </c>
      <c r="Q56" s="90"/>
      <c r="R56" s="90"/>
      <c r="S56" s="91">
        <f t="shared" ca="1" si="6"/>
        <v>35.940080379978085</v>
      </c>
      <c r="T56" s="91">
        <f t="shared" ca="1" si="7"/>
        <v>42.768695652173918</v>
      </c>
      <c r="U56" s="92">
        <f t="shared" ca="1" si="8"/>
        <v>213.84347826086957</v>
      </c>
      <c r="V56" s="93"/>
      <c r="W56" s="47"/>
      <c r="X56" s="47"/>
      <c r="Y56" s="47"/>
      <c r="Z56" s="47"/>
    </row>
    <row r="57" spans="1:26" ht="19.5" customHeight="1" x14ac:dyDescent="0.3">
      <c r="A57" s="90" t="s">
        <v>209</v>
      </c>
      <c r="B57" s="94" t="str">
        <f t="shared" ca="1" si="0"/>
        <v>Savmarta feher tuskes-Float 4mm termó</v>
      </c>
      <c r="C57" s="90"/>
      <c r="D57" s="87" t="str">
        <f t="shared" ca="1" si="1"/>
        <v>273.00</v>
      </c>
      <c r="E57" s="90" t="s">
        <v>153</v>
      </c>
      <c r="F57" s="90"/>
      <c r="G57" s="90"/>
      <c r="H57" s="87" t="str">
        <f t="shared" ca="1" si="2"/>
        <v>233.00</v>
      </c>
      <c r="I57" s="90" t="s">
        <v>153</v>
      </c>
      <c r="J57" s="47" t="str">
        <f t="shared" ca="1" si="3"/>
        <v>Duplex</v>
      </c>
      <c r="K57" s="47"/>
      <c r="L57" s="47"/>
      <c r="M57" s="47"/>
      <c r="N57" s="90" t="s">
        <v>209</v>
      </c>
      <c r="O57" s="87" t="str">
        <f t="shared" ca="1" si="4"/>
        <v>233.00</v>
      </c>
      <c r="P57" s="89">
        <f t="shared" ca="1" si="5"/>
        <v>214.76521739130436</v>
      </c>
      <c r="Q57" s="90"/>
      <c r="R57" s="90"/>
      <c r="S57" s="91">
        <f t="shared" ca="1" si="6"/>
        <v>36.094994519546951</v>
      </c>
      <c r="T57" s="91">
        <f t="shared" ca="1" si="7"/>
        <v>42.953043478260874</v>
      </c>
      <c r="U57" s="92">
        <f t="shared" ca="1" si="8"/>
        <v>214.76521739130436</v>
      </c>
      <c r="V57" s="93"/>
      <c r="W57" s="47"/>
      <c r="X57" s="47"/>
      <c r="Y57" s="47"/>
      <c r="Z57" s="47"/>
    </row>
    <row r="58" spans="1:26" ht="19.5" customHeight="1" x14ac:dyDescent="0.3">
      <c r="A58" s="90" t="s">
        <v>210</v>
      </c>
      <c r="B58" s="94" t="str">
        <f t="shared" ca="1" si="0"/>
        <v>Savmarta barna tuskes-Float 4mm termó</v>
      </c>
      <c r="C58" s="90"/>
      <c r="D58" s="87" t="str">
        <f t="shared" ca="1" si="1"/>
        <v>302.00</v>
      </c>
      <c r="E58" s="90" t="s">
        <v>153</v>
      </c>
      <c r="F58" s="90"/>
      <c r="G58" s="90"/>
      <c r="H58" s="87" t="str">
        <f t="shared" ca="1" si="2"/>
        <v>257.00</v>
      </c>
      <c r="I58" s="90" t="s">
        <v>153</v>
      </c>
      <c r="J58" s="47" t="str">
        <f t="shared" ca="1" si="3"/>
        <v>Duplex</v>
      </c>
      <c r="K58" s="47"/>
      <c r="L58" s="47"/>
      <c r="M58" s="47"/>
      <c r="N58" s="90" t="s">
        <v>210</v>
      </c>
      <c r="O58" s="87" t="str">
        <f t="shared" ca="1" si="4"/>
        <v>257.00</v>
      </c>
      <c r="P58" s="89">
        <f t="shared" ca="1" si="5"/>
        <v>236.88695652173914</v>
      </c>
      <c r="Q58" s="90"/>
      <c r="R58" s="90"/>
      <c r="S58" s="91">
        <f t="shared" ca="1" si="6"/>
        <v>39.812933869199853</v>
      </c>
      <c r="T58" s="91">
        <f t="shared" ca="1" si="7"/>
        <v>47.377391304347825</v>
      </c>
      <c r="U58" s="92">
        <f t="shared" ca="1" si="8"/>
        <v>236.88695652173914</v>
      </c>
      <c r="V58" s="93"/>
      <c r="W58" s="47"/>
      <c r="X58" s="47"/>
      <c r="Y58" s="47"/>
      <c r="Z58" s="47"/>
    </row>
    <row r="59" spans="1:26" ht="19.5" customHeight="1" x14ac:dyDescent="0.3">
      <c r="A59" s="90" t="s">
        <v>211</v>
      </c>
      <c r="B59" s="94" t="str">
        <f t="shared" ca="1" si="0"/>
        <v>Savmarta barna hovirag-Low-e 4mm termó</v>
      </c>
      <c r="C59" s="90"/>
      <c r="D59" s="87" t="str">
        <f t="shared" ca="1" si="1"/>
        <v>324.00</v>
      </c>
      <c r="E59" s="90" t="s">
        <v>153</v>
      </c>
      <c r="F59" s="90"/>
      <c r="G59" s="90"/>
      <c r="H59" s="87" t="str">
        <f t="shared" ca="1" si="2"/>
        <v>276.00</v>
      </c>
      <c r="I59" s="90" t="s">
        <v>153</v>
      </c>
      <c r="J59" s="47" t="str">
        <f t="shared" ca="1" si="3"/>
        <v>Duplex</v>
      </c>
      <c r="K59" s="47"/>
      <c r="L59" s="47"/>
      <c r="M59" s="47"/>
      <c r="N59" s="90" t="s">
        <v>211</v>
      </c>
      <c r="O59" s="87" t="str">
        <f t="shared" ca="1" si="4"/>
        <v>276.00</v>
      </c>
      <c r="P59" s="89">
        <f t="shared" ca="1" si="5"/>
        <v>254.4</v>
      </c>
      <c r="Q59" s="90"/>
      <c r="R59" s="90"/>
      <c r="S59" s="91">
        <f t="shared" ca="1" si="6"/>
        <v>42.756302521008408</v>
      </c>
      <c r="T59" s="91">
        <f t="shared" ca="1" si="7"/>
        <v>50.88</v>
      </c>
      <c r="U59" s="92">
        <f t="shared" ca="1" si="8"/>
        <v>254.4</v>
      </c>
      <c r="V59" s="93"/>
      <c r="W59" s="47"/>
      <c r="X59" s="47"/>
      <c r="Y59" s="47"/>
      <c r="Z59" s="47"/>
    </row>
    <row r="60" spans="1:26" ht="19.5" customHeight="1" x14ac:dyDescent="0.3">
      <c r="A60" s="90" t="s">
        <v>212</v>
      </c>
      <c r="B60" s="94" t="str">
        <f t="shared" ca="1" si="0"/>
        <v>Duplex 3.1.3.-Homokfujt 4mm-Low-e 4mm termó</v>
      </c>
      <c r="C60" s="90"/>
      <c r="D60" s="87" t="str">
        <f t="shared" ca="1" si="1"/>
        <v>463.00</v>
      </c>
      <c r="E60" s="90" t="s">
        <v>153</v>
      </c>
      <c r="F60" s="90"/>
      <c r="G60" s="90"/>
      <c r="H60" s="87" t="str">
        <f t="shared" ca="1" si="2"/>
        <v>394.00</v>
      </c>
      <c r="I60" s="90" t="s">
        <v>153</v>
      </c>
      <c r="J60" s="47" t="str">
        <f t="shared" ca="1" si="3"/>
        <v>Triplex</v>
      </c>
      <c r="K60" s="47"/>
      <c r="L60" s="47"/>
      <c r="M60" s="47"/>
      <c r="N60" s="90" t="s">
        <v>212</v>
      </c>
      <c r="O60" s="87" t="str">
        <f t="shared" ca="1" si="4"/>
        <v>394.00</v>
      </c>
      <c r="P60" s="89">
        <f t="shared" ca="1" si="5"/>
        <v>363.16521739130434</v>
      </c>
      <c r="Q60" s="90"/>
      <c r="R60" s="90"/>
      <c r="S60" s="91">
        <f t="shared" ca="1" si="6"/>
        <v>61.03617099013519</v>
      </c>
      <c r="T60" s="91">
        <f t="shared" ca="1" si="7"/>
        <v>72.633043478260873</v>
      </c>
      <c r="U60" s="92">
        <f t="shared" ca="1" si="8"/>
        <v>363.16521739130434</v>
      </c>
      <c r="V60" s="93"/>
      <c r="W60" s="47"/>
      <c r="X60" s="47"/>
      <c r="Y60" s="47"/>
      <c r="Z60" s="47"/>
    </row>
    <row r="61" spans="1:26" ht="19.5" customHeight="1" x14ac:dyDescent="0.3">
      <c r="A61" s="90" t="s">
        <v>213</v>
      </c>
      <c r="B61" s="94" t="str">
        <f t="shared" ca="1" si="0"/>
        <v>Duplakockas-Float 4mm-Low-e 4mm termó</v>
      </c>
      <c r="C61" s="90"/>
      <c r="D61" s="87" t="str">
        <f t="shared" ca="1" si="1"/>
        <v>403.00</v>
      </c>
      <c r="E61" s="90" t="s">
        <v>153</v>
      </c>
      <c r="F61" s="90"/>
      <c r="G61" s="90"/>
      <c r="H61" s="87" t="str">
        <f t="shared" ca="1" si="2"/>
        <v>343.00</v>
      </c>
      <c r="I61" s="90" t="s">
        <v>153</v>
      </c>
      <c r="J61" s="47" t="str">
        <f t="shared" ca="1" si="3"/>
        <v>Triplex</v>
      </c>
      <c r="K61" s="47"/>
      <c r="L61" s="47"/>
      <c r="M61" s="47"/>
      <c r="N61" s="90" t="s">
        <v>213</v>
      </c>
      <c r="O61" s="87" t="str">
        <f t="shared" ca="1" si="4"/>
        <v>343.00</v>
      </c>
      <c r="P61" s="89">
        <f t="shared" ca="1" si="5"/>
        <v>316.15652173913043</v>
      </c>
      <c r="Q61" s="90"/>
      <c r="R61" s="90"/>
      <c r="S61" s="91">
        <f t="shared" ca="1" si="6"/>
        <v>53.135549872122759</v>
      </c>
      <c r="T61" s="91">
        <f t="shared" ca="1" si="7"/>
        <v>63.231304347826082</v>
      </c>
      <c r="U61" s="92">
        <f t="shared" ca="1" si="8"/>
        <v>316.15652173913043</v>
      </c>
      <c r="V61" s="93"/>
      <c r="W61" s="47"/>
      <c r="X61" s="47"/>
      <c r="Y61" s="47"/>
      <c r="Z61" s="47"/>
    </row>
    <row r="62" spans="1:26" ht="19.5" customHeight="1" x14ac:dyDescent="0.3">
      <c r="A62" s="90" t="s">
        <v>214</v>
      </c>
      <c r="B62" s="94" t="str">
        <f t="shared" ca="1" si="0"/>
        <v>Fustos 4mm-Mintas uveg feher fatorzs termó</v>
      </c>
      <c r="C62" s="90"/>
      <c r="D62" s="87" t="str">
        <f t="shared" ca="1" si="1"/>
        <v>327.00</v>
      </c>
      <c r="E62" s="90" t="s">
        <v>153</v>
      </c>
      <c r="F62" s="90"/>
      <c r="G62" s="90"/>
      <c r="H62" s="87" t="str">
        <f t="shared" ca="1" si="2"/>
        <v>278.00</v>
      </c>
      <c r="I62" s="90" t="s">
        <v>153</v>
      </c>
      <c r="J62" s="47" t="str">
        <f t="shared" ca="1" si="3"/>
        <v>Duplex</v>
      </c>
      <c r="K62" s="47"/>
      <c r="L62" s="47"/>
      <c r="M62" s="47"/>
      <c r="N62" s="90" t="s">
        <v>214</v>
      </c>
      <c r="O62" s="87" t="str">
        <f t="shared" ca="1" si="4"/>
        <v>278.00</v>
      </c>
      <c r="P62" s="89">
        <f t="shared" ca="1" si="5"/>
        <v>256.24347826086955</v>
      </c>
      <c r="Q62" s="90"/>
      <c r="R62" s="90"/>
      <c r="S62" s="91">
        <f t="shared" ca="1" si="6"/>
        <v>43.066130800146141</v>
      </c>
      <c r="T62" s="91">
        <f t="shared" ca="1" si="7"/>
        <v>51.248695652173907</v>
      </c>
      <c r="U62" s="92">
        <f t="shared" ca="1" si="8"/>
        <v>256.24347826086955</v>
      </c>
      <c r="V62" s="93"/>
      <c r="W62" s="47"/>
      <c r="X62" s="47"/>
      <c r="Y62" s="47"/>
      <c r="Z62" s="47"/>
    </row>
    <row r="63" spans="1:26" ht="19.5" customHeight="1" x14ac:dyDescent="0.3">
      <c r="A63" s="90" t="s">
        <v>215</v>
      </c>
      <c r="B63" s="94" t="str">
        <f t="shared" ca="1" si="0"/>
        <v>4 evszakos-Mintas uveg feher fatorzs-Low-e 4mm termó</v>
      </c>
      <c r="C63" s="90"/>
      <c r="D63" s="87" t="str">
        <f t="shared" ca="1" si="1"/>
        <v>442.00</v>
      </c>
      <c r="E63" s="90" t="s">
        <v>153</v>
      </c>
      <c r="F63" s="90"/>
      <c r="G63" s="90"/>
      <c r="H63" s="87" t="str">
        <f t="shared" ca="1" si="2"/>
        <v>376.00</v>
      </c>
      <c r="I63" s="90" t="s">
        <v>153</v>
      </c>
      <c r="J63" s="47" t="str">
        <f t="shared" ca="1" si="3"/>
        <v>Triplex</v>
      </c>
      <c r="K63" s="47"/>
      <c r="L63" s="47"/>
      <c r="M63" s="47"/>
      <c r="N63" s="90" t="s">
        <v>215</v>
      </c>
      <c r="O63" s="87" t="str">
        <f t="shared" ca="1" si="4"/>
        <v>376.00</v>
      </c>
      <c r="P63" s="89">
        <f t="shared" ca="1" si="5"/>
        <v>346.57391304347829</v>
      </c>
      <c r="Q63" s="90"/>
      <c r="R63" s="90"/>
      <c r="S63" s="91">
        <f t="shared" ca="1" si="6"/>
        <v>58.247716477895509</v>
      </c>
      <c r="T63" s="91">
        <f t="shared" ca="1" si="7"/>
        <v>69.314782608695651</v>
      </c>
      <c r="U63" s="92">
        <f t="shared" ca="1" si="8"/>
        <v>346.57391304347829</v>
      </c>
      <c r="V63" s="93"/>
      <c r="W63" s="47"/>
      <c r="X63" s="47"/>
      <c r="Y63" s="47"/>
      <c r="Z63" s="47"/>
    </row>
    <row r="64" spans="1:26" ht="19.5" customHeight="1" x14ac:dyDescent="0.3">
      <c r="A64" s="90" t="s">
        <v>216</v>
      </c>
      <c r="B64" s="94" t="str">
        <f t="shared" ca="1" si="0"/>
        <v>Float 6mm-Float 4mm-Float 4mm termó</v>
      </c>
      <c r="C64" s="90"/>
      <c r="D64" s="87" t="str">
        <f t="shared" ca="1" si="1"/>
        <v>346.00</v>
      </c>
      <c r="E64" s="90" t="s">
        <v>153</v>
      </c>
      <c r="F64" s="90"/>
      <c r="G64" s="90"/>
      <c r="H64" s="87" t="str">
        <f t="shared" ca="1" si="2"/>
        <v>295.00</v>
      </c>
      <c r="I64" s="90" t="s">
        <v>153</v>
      </c>
      <c r="J64" s="47" t="str">
        <f t="shared" ca="1" si="3"/>
        <v>Triplex</v>
      </c>
      <c r="K64" s="47"/>
      <c r="L64" s="47"/>
      <c r="M64" s="47"/>
      <c r="N64" s="90" t="s">
        <v>216</v>
      </c>
      <c r="O64" s="87" t="str">
        <f t="shared" ca="1" si="4"/>
        <v>295.00</v>
      </c>
      <c r="P64" s="89">
        <f t="shared" ca="1" si="5"/>
        <v>271.91304347826087</v>
      </c>
      <c r="Q64" s="90"/>
      <c r="R64" s="90"/>
      <c r="S64" s="91">
        <f t="shared" ca="1" si="6"/>
        <v>45.699671172816949</v>
      </c>
      <c r="T64" s="91">
        <f t="shared" ca="1" si="7"/>
        <v>54.382608695652173</v>
      </c>
      <c r="U64" s="92">
        <f t="shared" ca="1" si="8"/>
        <v>271.91304347826087</v>
      </c>
      <c r="V64" s="93"/>
      <c r="W64" s="47"/>
      <c r="X64" s="47"/>
      <c r="Y64" s="47"/>
      <c r="Z64" s="47"/>
    </row>
    <row r="65" spans="1:26" ht="19.5" customHeight="1" x14ac:dyDescent="0.3">
      <c r="A65" s="90" t="s">
        <v>217</v>
      </c>
      <c r="B65" s="94" t="str">
        <f t="shared" ca="1" si="0"/>
        <v>Barna fatorzs-Float 4mm termó</v>
      </c>
      <c r="C65" s="90"/>
      <c r="D65" s="87" t="str">
        <f t="shared" ca="1" si="1"/>
        <v>285.00</v>
      </c>
      <c r="E65" s="90" t="s">
        <v>153</v>
      </c>
      <c r="F65" s="90"/>
      <c r="G65" s="90"/>
      <c r="H65" s="87" t="str">
        <f t="shared" ca="1" si="2"/>
        <v>243.00</v>
      </c>
      <c r="I65" s="90" t="s">
        <v>153</v>
      </c>
      <c r="J65" s="47" t="str">
        <f t="shared" ca="1" si="3"/>
        <v>Duplex</v>
      </c>
      <c r="K65" s="47"/>
      <c r="L65" s="47"/>
      <c r="M65" s="47"/>
      <c r="N65" s="90" t="s">
        <v>217</v>
      </c>
      <c r="O65" s="87" t="str">
        <f t="shared" ca="1" si="4"/>
        <v>243.00</v>
      </c>
      <c r="P65" s="89">
        <f t="shared" ca="1" si="5"/>
        <v>223.98260869565217</v>
      </c>
      <c r="Q65" s="90"/>
      <c r="R65" s="90"/>
      <c r="S65" s="91">
        <f t="shared" ca="1" si="6"/>
        <v>37.644135915235658</v>
      </c>
      <c r="T65" s="91">
        <f t="shared" ca="1" si="7"/>
        <v>44.796521739130434</v>
      </c>
      <c r="U65" s="92">
        <f t="shared" ca="1" si="8"/>
        <v>223.98260869565217</v>
      </c>
      <c r="V65" s="93"/>
      <c r="W65" s="47"/>
      <c r="X65" s="47"/>
      <c r="Y65" s="47"/>
      <c r="Z65" s="47"/>
    </row>
    <row r="66" spans="1:26" ht="19.5" customHeight="1" x14ac:dyDescent="0.3">
      <c r="A66" s="90" t="s">
        <v>218</v>
      </c>
      <c r="B66" s="94" t="str">
        <f t="shared" ca="1" si="0"/>
        <v>4 evszakos-Savmarta feher Tegla-Low-e 4mm termó</v>
      </c>
      <c r="C66" s="90"/>
      <c r="D66" s="87" t="str">
        <f t="shared" ca="1" si="1"/>
        <v>442.00</v>
      </c>
      <c r="E66" s="90" t="s">
        <v>153</v>
      </c>
      <c r="F66" s="90"/>
      <c r="G66" s="90"/>
      <c r="H66" s="87" t="str">
        <f t="shared" ca="1" si="2"/>
        <v>376.00</v>
      </c>
      <c r="I66" s="90" t="s">
        <v>153</v>
      </c>
      <c r="J66" s="47" t="str">
        <f t="shared" ca="1" si="3"/>
        <v>Triplex</v>
      </c>
      <c r="K66" s="47"/>
      <c r="L66" s="47"/>
      <c r="M66" s="47"/>
      <c r="N66" s="90" t="s">
        <v>218</v>
      </c>
      <c r="O66" s="87" t="str">
        <f t="shared" ca="1" si="4"/>
        <v>376.00</v>
      </c>
      <c r="P66" s="89">
        <f t="shared" ca="1" si="5"/>
        <v>346.57391304347829</v>
      </c>
      <c r="Q66" s="90"/>
      <c r="R66" s="90"/>
      <c r="S66" s="91">
        <f t="shared" ca="1" si="6"/>
        <v>58.247716477895509</v>
      </c>
      <c r="T66" s="91">
        <f t="shared" ca="1" si="7"/>
        <v>69.314782608695651</v>
      </c>
      <c r="U66" s="92">
        <f t="shared" ca="1" si="8"/>
        <v>346.57391304347829</v>
      </c>
      <c r="V66" s="93"/>
      <c r="W66" s="47"/>
      <c r="X66" s="47"/>
      <c r="Y66" s="47"/>
      <c r="Z66" s="47"/>
    </row>
    <row r="67" spans="1:26" ht="19.5" customHeight="1" x14ac:dyDescent="0.3">
      <c r="A67" s="90" t="s">
        <v>219</v>
      </c>
      <c r="B67" s="94" t="str">
        <f t="shared" ca="1" si="0"/>
        <v>Reflexios 4mm-Float 4mm-Low-e 4mm termó</v>
      </c>
      <c r="C67" s="90"/>
      <c r="D67" s="87" t="str">
        <f t="shared" ca="1" si="1"/>
        <v>425.00</v>
      </c>
      <c r="E67" s="90" t="s">
        <v>153</v>
      </c>
      <c r="F67" s="90"/>
      <c r="G67" s="90"/>
      <c r="H67" s="87" t="str">
        <f t="shared" ca="1" si="2"/>
        <v>362.00</v>
      </c>
      <c r="I67" s="90" t="s">
        <v>153</v>
      </c>
      <c r="J67" s="47" t="str">
        <f t="shared" ca="1" si="3"/>
        <v>Triplex</v>
      </c>
      <c r="K67" s="47"/>
      <c r="L67" s="47"/>
      <c r="M67" s="47"/>
      <c r="N67" s="90" t="s">
        <v>219</v>
      </c>
      <c r="O67" s="87" t="str">
        <f t="shared" ca="1" si="4"/>
        <v>362.00</v>
      </c>
      <c r="P67" s="89">
        <f t="shared" ca="1" si="5"/>
        <v>333.66956521739132</v>
      </c>
      <c r="Q67" s="90"/>
      <c r="R67" s="90"/>
      <c r="S67" s="91">
        <f t="shared" ca="1" si="6"/>
        <v>56.078918523931321</v>
      </c>
      <c r="T67" s="91">
        <f t="shared" ca="1" si="7"/>
        <v>66.733913043478267</v>
      </c>
      <c r="U67" s="92">
        <f t="shared" ca="1" si="8"/>
        <v>333.66956521739132</v>
      </c>
      <c r="V67" s="93"/>
      <c r="W67" s="47"/>
      <c r="X67" s="47"/>
      <c r="Y67" s="47"/>
      <c r="Z67" s="47"/>
    </row>
    <row r="68" spans="1:26" ht="19.5" customHeight="1" x14ac:dyDescent="0.3">
      <c r="A68" s="90" t="s">
        <v>220</v>
      </c>
      <c r="B68" s="94" t="str">
        <f t="shared" ca="1" si="0"/>
        <v>Float 6mm-Float 4mm-Low-e 4mm termó</v>
      </c>
      <c r="C68" s="90"/>
      <c r="D68" s="87" t="str">
        <f t="shared" ca="1" si="1"/>
        <v>368.00</v>
      </c>
      <c r="E68" s="90" t="s">
        <v>153</v>
      </c>
      <c r="F68" s="90"/>
      <c r="G68" s="90"/>
      <c r="H68" s="87" t="str">
        <f t="shared" ca="1" si="2"/>
        <v>313.00</v>
      </c>
      <c r="I68" s="90" t="s">
        <v>153</v>
      </c>
      <c r="J68" s="47" t="str">
        <f t="shared" ca="1" si="3"/>
        <v>Triplex</v>
      </c>
      <c r="K68" s="47"/>
      <c r="L68" s="47"/>
      <c r="M68" s="47"/>
      <c r="N68" s="90" t="s">
        <v>220</v>
      </c>
      <c r="O68" s="87" t="str">
        <f t="shared" ca="1" si="4"/>
        <v>313.00</v>
      </c>
      <c r="P68" s="89">
        <f t="shared" ca="1" si="5"/>
        <v>288.50434782608693</v>
      </c>
      <c r="Q68" s="90"/>
      <c r="R68" s="90"/>
      <c r="S68" s="91">
        <f t="shared" ca="1" si="6"/>
        <v>48.48812568505663</v>
      </c>
      <c r="T68" s="91">
        <f t="shared" ca="1" si="7"/>
        <v>57.700869565217388</v>
      </c>
      <c r="U68" s="92">
        <f t="shared" ca="1" si="8"/>
        <v>288.50434782608693</v>
      </c>
      <c r="V68" s="93"/>
      <c r="W68" s="47"/>
      <c r="X68" s="47"/>
      <c r="Y68" s="47"/>
      <c r="Z68" s="47"/>
    </row>
    <row r="69" spans="1:26" ht="19.5" customHeight="1" x14ac:dyDescent="0.3">
      <c r="A69" s="90" t="s">
        <v>221</v>
      </c>
      <c r="B69" s="94" t="str">
        <f t="shared" ca="1" si="0"/>
        <v>4 evszakos-Low-e 4mm-Duplex 3.1.3. termó</v>
      </c>
      <c r="C69" s="90"/>
      <c r="D69" s="87" t="str">
        <f t="shared" ca="1" si="1"/>
        <v>433.00</v>
      </c>
      <c r="E69" s="90" t="s">
        <v>153</v>
      </c>
      <c r="F69" s="90"/>
      <c r="G69" s="90"/>
      <c r="H69" s="87" t="str">
        <f t="shared" ca="1" si="2"/>
        <v>369.00</v>
      </c>
      <c r="I69" s="90" t="s">
        <v>153</v>
      </c>
      <c r="J69" s="47" t="str">
        <f t="shared" ca="1" si="3"/>
        <v>Triplex</v>
      </c>
      <c r="K69" s="47"/>
      <c r="L69" s="47"/>
      <c r="M69" s="47"/>
      <c r="N69" s="90" t="s">
        <v>221</v>
      </c>
      <c r="O69" s="87" t="str">
        <f t="shared" ca="1" si="4"/>
        <v>369.00</v>
      </c>
      <c r="P69" s="89">
        <f t="shared" ca="1" si="5"/>
        <v>340.12173913043478</v>
      </c>
      <c r="Q69" s="90"/>
      <c r="R69" s="90"/>
      <c r="S69" s="91">
        <f t="shared" ca="1" si="6"/>
        <v>57.163317500913408</v>
      </c>
      <c r="T69" s="91">
        <f t="shared" ca="1" si="7"/>
        <v>68.024347826086952</v>
      </c>
      <c r="U69" s="92">
        <f t="shared" ca="1" si="8"/>
        <v>340.12173913043478</v>
      </c>
      <c r="V69" s="93"/>
      <c r="W69" s="47"/>
      <c r="X69" s="47"/>
      <c r="Y69" s="47"/>
      <c r="Z69" s="47"/>
    </row>
    <row r="70" spans="1:26" ht="19.5" customHeight="1" x14ac:dyDescent="0.3">
      <c r="A70" s="90" t="s">
        <v>222</v>
      </c>
      <c r="B70" s="94" t="str">
        <f t="shared" ca="1" si="0"/>
        <v>Savmarta feher Tegla-Float 4mm-Low-e 4mm termó</v>
      </c>
      <c r="C70" s="90"/>
      <c r="D70" s="87" t="str">
        <f t="shared" ca="1" si="1"/>
        <v>426.00</v>
      </c>
      <c r="E70" s="90" t="s">
        <v>153</v>
      </c>
      <c r="F70" s="90"/>
      <c r="G70" s="90"/>
      <c r="H70" s="87" t="str">
        <f t="shared" ca="1" si="2"/>
        <v>363.00</v>
      </c>
      <c r="I70" s="90" t="s">
        <v>153</v>
      </c>
      <c r="J70" s="47" t="str">
        <f t="shared" ca="1" si="3"/>
        <v>Triplex</v>
      </c>
      <c r="K70" s="47"/>
      <c r="L70" s="47"/>
      <c r="M70" s="47"/>
      <c r="N70" s="90" t="s">
        <v>222</v>
      </c>
      <c r="O70" s="87" t="str">
        <f t="shared" ca="1" si="4"/>
        <v>363.00</v>
      </c>
      <c r="P70" s="89">
        <f t="shared" ca="1" si="5"/>
        <v>334.59130434782611</v>
      </c>
      <c r="Q70" s="90"/>
      <c r="R70" s="90"/>
      <c r="S70" s="91">
        <f t="shared" ca="1" si="6"/>
        <v>56.233832663500181</v>
      </c>
      <c r="T70" s="91">
        <f t="shared" ca="1" si="7"/>
        <v>66.918260869565216</v>
      </c>
      <c r="U70" s="92">
        <f t="shared" ca="1" si="8"/>
        <v>334.59130434782611</v>
      </c>
      <c r="V70" s="93"/>
      <c r="W70" s="47"/>
      <c r="X70" s="47"/>
      <c r="Y70" s="47"/>
      <c r="Z70" s="47"/>
    </row>
    <row r="71" spans="1:26" ht="19.5" customHeight="1" x14ac:dyDescent="0.3">
      <c r="A71" s="90" t="s">
        <v>223</v>
      </c>
      <c r="B71" s="94" t="str">
        <f t="shared" ca="1" si="0"/>
        <v>Tukor 4mm-Barna fatorzs termó</v>
      </c>
      <c r="C71" s="90"/>
      <c r="D71" s="87" t="str">
        <f t="shared" ca="1" si="1"/>
        <v>357.00</v>
      </c>
      <c r="E71" s="90" t="s">
        <v>153</v>
      </c>
      <c r="F71" s="90"/>
      <c r="G71" s="90"/>
      <c r="H71" s="87" t="str">
        <f t="shared" ca="1" si="2"/>
        <v>304.00</v>
      </c>
      <c r="I71" s="90" t="s">
        <v>153</v>
      </c>
      <c r="J71" s="47" t="str">
        <f t="shared" ca="1" si="3"/>
        <v>Duplex</v>
      </c>
      <c r="K71" s="47"/>
      <c r="L71" s="47"/>
      <c r="M71" s="47"/>
      <c r="N71" s="90" t="s">
        <v>223</v>
      </c>
      <c r="O71" s="87" t="str">
        <f t="shared" ca="1" si="4"/>
        <v>304.00</v>
      </c>
      <c r="P71" s="89">
        <f t="shared" ca="1" si="5"/>
        <v>280.2086956521739</v>
      </c>
      <c r="Q71" s="90"/>
      <c r="R71" s="90"/>
      <c r="S71" s="91">
        <f t="shared" ca="1" si="6"/>
        <v>47.093898428936789</v>
      </c>
      <c r="T71" s="91">
        <f t="shared" ca="1" si="7"/>
        <v>56.041739130434777</v>
      </c>
      <c r="U71" s="92">
        <f t="shared" ca="1" si="8"/>
        <v>280.2086956521739</v>
      </c>
      <c r="V71" s="93"/>
      <c r="W71" s="47"/>
      <c r="X71" s="47"/>
      <c r="Y71" s="47"/>
      <c r="Z71" s="47"/>
    </row>
    <row r="72" spans="1:26" ht="19.5" customHeight="1" x14ac:dyDescent="0.3">
      <c r="A72" s="90" t="s">
        <v>224</v>
      </c>
      <c r="B72" s="94" t="str">
        <f t="shared" ca="1" si="0"/>
        <v>Barna delta 2-Float 4mm termó</v>
      </c>
      <c r="C72" s="90"/>
      <c r="D72" s="87" t="str">
        <f t="shared" ca="1" si="1"/>
        <v>285.00</v>
      </c>
      <c r="E72" s="90" t="s">
        <v>153</v>
      </c>
      <c r="F72" s="90"/>
      <c r="G72" s="90"/>
      <c r="H72" s="87" t="str">
        <f t="shared" ca="1" si="2"/>
        <v>243.00</v>
      </c>
      <c r="I72" s="90" t="s">
        <v>153</v>
      </c>
      <c r="J72" s="47" t="str">
        <f t="shared" ca="1" si="3"/>
        <v>Duplex</v>
      </c>
      <c r="K72" s="47"/>
      <c r="L72" s="47"/>
      <c r="M72" s="47"/>
      <c r="N72" s="90" t="s">
        <v>224</v>
      </c>
      <c r="O72" s="87" t="str">
        <f t="shared" ca="1" si="4"/>
        <v>243.00</v>
      </c>
      <c r="P72" s="89">
        <f t="shared" ca="1" si="5"/>
        <v>223.98260869565217</v>
      </c>
      <c r="Q72" s="90"/>
      <c r="R72" s="90"/>
      <c r="S72" s="91">
        <f t="shared" ca="1" si="6"/>
        <v>37.644135915235658</v>
      </c>
      <c r="T72" s="91">
        <f t="shared" ca="1" si="7"/>
        <v>44.796521739130434</v>
      </c>
      <c r="U72" s="92">
        <f t="shared" ca="1" si="8"/>
        <v>223.98260869565217</v>
      </c>
      <c r="V72" s="93"/>
      <c r="W72" s="47"/>
      <c r="X72" s="47"/>
      <c r="Y72" s="47"/>
      <c r="Z72" s="47"/>
    </row>
    <row r="73" spans="1:26" ht="19.5" customHeight="1" x14ac:dyDescent="0.3">
      <c r="A73" s="90" t="s">
        <v>225</v>
      </c>
      <c r="B73" s="94" t="str">
        <f t="shared" ca="1" si="0"/>
        <v>Fehér hóvirág-Low-e 4mm-Low-e 4mm termó</v>
      </c>
      <c r="C73" s="90"/>
      <c r="D73" s="87" t="str">
        <f t="shared" ca="1" si="1"/>
        <v>448.00</v>
      </c>
      <c r="E73" s="90" t="s">
        <v>153</v>
      </c>
      <c r="F73" s="90"/>
      <c r="G73" s="90"/>
      <c r="H73" s="87" t="str">
        <f t="shared" ca="1" si="2"/>
        <v>381.00</v>
      </c>
      <c r="I73" s="90" t="s">
        <v>153</v>
      </c>
      <c r="J73" s="47" t="str">
        <f t="shared" ca="1" si="3"/>
        <v>Triplex</v>
      </c>
      <c r="K73" s="47"/>
      <c r="L73" s="47"/>
      <c r="M73" s="47"/>
      <c r="N73" s="90" t="s">
        <v>225</v>
      </c>
      <c r="O73" s="87" t="str">
        <f t="shared" ca="1" si="4"/>
        <v>381.00</v>
      </c>
      <c r="P73" s="89">
        <f t="shared" ca="1" si="5"/>
        <v>351.18260869565216</v>
      </c>
      <c r="Q73" s="90"/>
      <c r="R73" s="90"/>
      <c r="S73" s="91">
        <f t="shared" ca="1" si="6"/>
        <v>59.022287175739862</v>
      </c>
      <c r="T73" s="91">
        <f t="shared" ca="1" si="7"/>
        <v>70.236521739130438</v>
      </c>
      <c r="U73" s="92">
        <f t="shared" ca="1" si="8"/>
        <v>351.18260869565216</v>
      </c>
      <c r="V73" s="93"/>
      <c r="W73" s="47"/>
      <c r="X73" s="47"/>
      <c r="Y73" s="47"/>
      <c r="Z73" s="47"/>
    </row>
    <row r="74" spans="1:26" ht="19.5" customHeight="1" x14ac:dyDescent="0.3">
      <c r="A74" s="90" t="s">
        <v>226</v>
      </c>
      <c r="B74" s="94" t="str">
        <f t="shared" ca="1" si="0"/>
        <v>4 evszakos-Float 4mm-Duplex 3.1.3. termó</v>
      </c>
      <c r="C74" s="90"/>
      <c r="D74" s="87" t="str">
        <f t="shared" ca="1" si="1"/>
        <v>411.00</v>
      </c>
      <c r="E74" s="90" t="s">
        <v>153</v>
      </c>
      <c r="F74" s="90"/>
      <c r="G74" s="90"/>
      <c r="H74" s="87" t="str">
        <f t="shared" ca="1" si="2"/>
        <v>350.00</v>
      </c>
      <c r="I74" s="90" t="s">
        <v>153</v>
      </c>
      <c r="J74" s="47" t="str">
        <f t="shared" ca="1" si="3"/>
        <v>Triplex</v>
      </c>
      <c r="K74" s="47"/>
      <c r="L74" s="47"/>
      <c r="M74" s="47"/>
      <c r="N74" s="90" t="s">
        <v>226</v>
      </c>
      <c r="O74" s="87" t="str">
        <f t="shared" ca="1" si="4"/>
        <v>350.00</v>
      </c>
      <c r="P74" s="89">
        <f t="shared" ca="1" si="5"/>
        <v>322.60869565217394</v>
      </c>
      <c r="Q74" s="90"/>
      <c r="R74" s="90"/>
      <c r="S74" s="91">
        <f t="shared" ca="1" si="6"/>
        <v>54.21994884910486</v>
      </c>
      <c r="T74" s="91">
        <f t="shared" ca="1" si="7"/>
        <v>64.521739130434781</v>
      </c>
      <c r="U74" s="92">
        <f t="shared" ca="1" si="8"/>
        <v>322.60869565217394</v>
      </c>
      <c r="V74" s="93"/>
      <c r="W74" s="47"/>
      <c r="X74" s="47"/>
      <c r="Y74" s="47"/>
      <c r="Z74" s="47"/>
    </row>
    <row r="75" spans="1:26" ht="19.5" customHeight="1" x14ac:dyDescent="0.3">
      <c r="A75" s="90" t="s">
        <v>227</v>
      </c>
      <c r="B75" s="94" t="str">
        <f t="shared" ca="1" si="0"/>
        <v>Savmarta feher Tegla-Float 4mm termó</v>
      </c>
      <c r="C75" s="90"/>
      <c r="D75" s="87" t="str">
        <f t="shared" ca="1" si="1"/>
        <v>273.00</v>
      </c>
      <c r="E75" s="90" t="s">
        <v>153</v>
      </c>
      <c r="F75" s="90"/>
      <c r="G75" s="90"/>
      <c r="H75" s="87" t="str">
        <f t="shared" ca="1" si="2"/>
        <v>233.00</v>
      </c>
      <c r="I75" s="90" t="s">
        <v>153</v>
      </c>
      <c r="J75" s="47" t="str">
        <f t="shared" ca="1" si="3"/>
        <v>Duplex</v>
      </c>
      <c r="K75" s="47"/>
      <c r="L75" s="47"/>
      <c r="M75" s="47"/>
      <c r="N75" s="90" t="s">
        <v>227</v>
      </c>
      <c r="O75" s="87" t="str">
        <f t="shared" ca="1" si="4"/>
        <v>233.00</v>
      </c>
      <c r="P75" s="89">
        <f t="shared" ca="1" si="5"/>
        <v>214.76521739130436</v>
      </c>
      <c r="Q75" s="90"/>
      <c r="R75" s="90"/>
      <c r="S75" s="91">
        <f t="shared" ca="1" si="6"/>
        <v>36.094994519546951</v>
      </c>
      <c r="T75" s="91">
        <f t="shared" ca="1" si="7"/>
        <v>42.953043478260874</v>
      </c>
      <c r="U75" s="92">
        <f t="shared" ca="1" si="8"/>
        <v>214.76521739130436</v>
      </c>
      <c r="V75" s="93"/>
      <c r="W75" s="47"/>
      <c r="X75" s="47"/>
      <c r="Y75" s="47"/>
      <c r="Z75" s="47"/>
    </row>
    <row r="76" spans="1:26" ht="19.5" customHeight="1" x14ac:dyDescent="0.3">
      <c r="A76" s="90" t="s">
        <v>228</v>
      </c>
      <c r="B76" s="94" t="str">
        <f t="shared" ca="1" si="0"/>
        <v>Savmarta barna hovirag-Float 4mm-Low-e 4mm termó</v>
      </c>
      <c r="C76" s="90"/>
      <c r="D76" s="87" t="str">
        <f t="shared" ca="1" si="1"/>
        <v>476.00</v>
      </c>
      <c r="E76" s="90" t="s">
        <v>153</v>
      </c>
      <c r="F76" s="90"/>
      <c r="G76" s="90"/>
      <c r="H76" s="87" t="str">
        <f t="shared" ca="1" si="2"/>
        <v>405.00</v>
      </c>
      <c r="I76" s="90" t="s">
        <v>153</v>
      </c>
      <c r="J76" s="47" t="str">
        <f t="shared" ca="1" si="3"/>
        <v>Triplex</v>
      </c>
      <c r="K76" s="47"/>
      <c r="L76" s="47"/>
      <c r="M76" s="47"/>
      <c r="N76" s="90" t="s">
        <v>228</v>
      </c>
      <c r="O76" s="87" t="str">
        <f t="shared" ca="1" si="4"/>
        <v>405.00</v>
      </c>
      <c r="P76" s="89">
        <f t="shared" ca="1" si="5"/>
        <v>373.30434782608694</v>
      </c>
      <c r="Q76" s="90"/>
      <c r="R76" s="90"/>
      <c r="S76" s="91">
        <f t="shared" ca="1" si="6"/>
        <v>62.740226525392757</v>
      </c>
      <c r="T76" s="91">
        <f t="shared" ca="1" si="7"/>
        <v>74.660869565217382</v>
      </c>
      <c r="U76" s="92">
        <f t="shared" ca="1" si="8"/>
        <v>373.30434782608694</v>
      </c>
      <c r="V76" s="93"/>
      <c r="W76" s="47"/>
      <c r="X76" s="47"/>
      <c r="Y76" s="47"/>
      <c r="Z76" s="47"/>
    </row>
    <row r="77" spans="1:26" ht="19.5" customHeight="1" x14ac:dyDescent="0.3">
      <c r="A77" s="90" t="s">
        <v>229</v>
      </c>
      <c r="B77" s="94" t="str">
        <f t="shared" ca="1" si="0"/>
        <v>4 evszakos-Satin bronz-Low-e 4mm termó</v>
      </c>
      <c r="C77" s="90"/>
      <c r="D77" s="87" t="str">
        <f t="shared" ca="1" si="1"/>
        <v>425.00</v>
      </c>
      <c r="E77" s="90" t="s">
        <v>153</v>
      </c>
      <c r="F77" s="90"/>
      <c r="G77" s="90"/>
      <c r="H77" s="87" t="str">
        <f t="shared" ca="1" si="2"/>
        <v>362.00</v>
      </c>
      <c r="I77" s="90" t="s">
        <v>153</v>
      </c>
      <c r="J77" s="47" t="str">
        <f t="shared" ca="1" si="3"/>
        <v>Triplex</v>
      </c>
      <c r="K77" s="47"/>
      <c r="L77" s="47"/>
      <c r="M77" s="47"/>
      <c r="N77" s="90" t="s">
        <v>229</v>
      </c>
      <c r="O77" s="87" t="str">
        <f t="shared" ca="1" si="4"/>
        <v>362.00</v>
      </c>
      <c r="P77" s="89">
        <f t="shared" ca="1" si="5"/>
        <v>333.66956521739132</v>
      </c>
      <c r="Q77" s="90"/>
      <c r="R77" s="90"/>
      <c r="S77" s="91">
        <f t="shared" ca="1" si="6"/>
        <v>56.078918523931321</v>
      </c>
      <c r="T77" s="91">
        <f t="shared" ca="1" si="7"/>
        <v>66.733913043478267</v>
      </c>
      <c r="U77" s="92">
        <f t="shared" ca="1" si="8"/>
        <v>333.66956521739132</v>
      </c>
      <c r="V77" s="93"/>
      <c r="W77" s="47"/>
      <c r="X77" s="47"/>
      <c r="Y77" s="47"/>
      <c r="Z77" s="47"/>
    </row>
    <row r="78" spans="1:26" ht="19.5" customHeight="1" x14ac:dyDescent="0.3">
      <c r="A78" s="90" t="s">
        <v>230</v>
      </c>
      <c r="B78" s="94" t="str">
        <f t="shared" ca="1" si="0"/>
        <v>Savmarta feher tuskes-Low-e 4mm-Low-e 4mm termó</v>
      </c>
      <c r="C78" s="90"/>
      <c r="D78" s="87" t="str">
        <f t="shared" ca="1" si="1"/>
        <v>448.00</v>
      </c>
      <c r="E78" s="90" t="s">
        <v>153</v>
      </c>
      <c r="F78" s="90"/>
      <c r="G78" s="90"/>
      <c r="H78" s="87" t="str">
        <f t="shared" ca="1" si="2"/>
        <v>381.00</v>
      </c>
      <c r="I78" s="90" t="s">
        <v>153</v>
      </c>
      <c r="J78" s="47" t="str">
        <f t="shared" ca="1" si="3"/>
        <v>Triplex</v>
      </c>
      <c r="K78" s="47"/>
      <c r="L78" s="47"/>
      <c r="M78" s="47"/>
      <c r="N78" s="90" t="s">
        <v>230</v>
      </c>
      <c r="O78" s="87" t="str">
        <f t="shared" ca="1" si="4"/>
        <v>381.00</v>
      </c>
      <c r="P78" s="89">
        <f t="shared" ca="1" si="5"/>
        <v>351.18260869565216</v>
      </c>
      <c r="Q78" s="90"/>
      <c r="R78" s="90"/>
      <c r="S78" s="91">
        <f t="shared" ca="1" si="6"/>
        <v>59.022287175739862</v>
      </c>
      <c r="T78" s="91">
        <f t="shared" ca="1" si="7"/>
        <v>70.236521739130438</v>
      </c>
      <c r="U78" s="92">
        <f t="shared" ca="1" si="8"/>
        <v>351.18260869565216</v>
      </c>
      <c r="V78" s="93"/>
      <c r="W78" s="47"/>
      <c r="X78" s="47"/>
      <c r="Y78" s="47"/>
      <c r="Z78" s="47"/>
    </row>
    <row r="79" spans="1:26" ht="19.5" customHeight="1" x14ac:dyDescent="0.3">
      <c r="A79" s="90" t="s">
        <v>231</v>
      </c>
      <c r="B79" s="94" t="str">
        <f t="shared" ca="1" si="0"/>
        <v>Mintas uveg aprokockas-Low-e 4mm-Low-e 4mm termó</v>
      </c>
      <c r="C79" s="90"/>
      <c r="D79" s="87" t="str">
        <f t="shared" ca="1" si="1"/>
        <v>425.00</v>
      </c>
      <c r="E79" s="90" t="s">
        <v>153</v>
      </c>
      <c r="F79" s="90"/>
      <c r="G79" s="90"/>
      <c r="H79" s="87" t="str">
        <f t="shared" ca="1" si="2"/>
        <v>362.00</v>
      </c>
      <c r="I79" s="90" t="s">
        <v>153</v>
      </c>
      <c r="J79" s="47" t="str">
        <f t="shared" ca="1" si="3"/>
        <v>Triplex</v>
      </c>
      <c r="K79" s="47"/>
      <c r="L79" s="47"/>
      <c r="M79" s="47"/>
      <c r="N79" s="90" t="s">
        <v>231</v>
      </c>
      <c r="O79" s="87" t="str">
        <f t="shared" ca="1" si="4"/>
        <v>362.00</v>
      </c>
      <c r="P79" s="89">
        <f t="shared" ca="1" si="5"/>
        <v>333.66956521739132</v>
      </c>
      <c r="Q79" s="90"/>
      <c r="R79" s="90"/>
      <c r="S79" s="91">
        <f t="shared" ca="1" si="6"/>
        <v>56.078918523931321</v>
      </c>
      <c r="T79" s="91">
        <f t="shared" ca="1" si="7"/>
        <v>66.733913043478267</v>
      </c>
      <c r="U79" s="92">
        <f t="shared" ca="1" si="8"/>
        <v>333.66956521739132</v>
      </c>
      <c r="V79" s="93"/>
      <c r="W79" s="47"/>
      <c r="X79" s="47"/>
      <c r="Y79" s="47"/>
      <c r="Z79" s="47"/>
    </row>
    <row r="80" spans="1:26" ht="19.5" customHeight="1" x14ac:dyDescent="0.3">
      <c r="A80" s="90" t="s">
        <v>232</v>
      </c>
      <c r="B80" s="94" t="str">
        <f t="shared" ca="1" si="0"/>
        <v>Barna fatorzs-Float 4mm-Low-e 4mm termó</v>
      </c>
      <c r="C80" s="90"/>
      <c r="D80" s="87" t="str">
        <f t="shared" ca="1" si="1"/>
        <v>438.00</v>
      </c>
      <c r="E80" s="90" t="s">
        <v>153</v>
      </c>
      <c r="F80" s="90"/>
      <c r="G80" s="90"/>
      <c r="H80" s="87" t="str">
        <f t="shared" ca="1" si="2"/>
        <v>373.00</v>
      </c>
      <c r="I80" s="90" t="s">
        <v>153</v>
      </c>
      <c r="J80" s="47" t="str">
        <f t="shared" ca="1" si="3"/>
        <v>Triplex</v>
      </c>
      <c r="K80" s="47"/>
      <c r="L80" s="47"/>
      <c r="M80" s="47"/>
      <c r="N80" s="90" t="s">
        <v>232</v>
      </c>
      <c r="O80" s="87" t="str">
        <f t="shared" ca="1" si="4"/>
        <v>373.00</v>
      </c>
      <c r="P80" s="89">
        <f t="shared" ca="1" si="5"/>
        <v>343.80869565217392</v>
      </c>
      <c r="Q80" s="90"/>
      <c r="R80" s="90"/>
      <c r="S80" s="91">
        <f t="shared" ca="1" si="6"/>
        <v>57.782974059188902</v>
      </c>
      <c r="T80" s="91">
        <f t="shared" ca="1" si="7"/>
        <v>68.76173913043479</v>
      </c>
      <c r="U80" s="92">
        <f t="shared" ca="1" si="8"/>
        <v>343.80869565217392</v>
      </c>
      <c r="V80" s="93"/>
      <c r="W80" s="47"/>
      <c r="X80" s="47"/>
      <c r="Y80" s="47"/>
      <c r="Z80" s="47"/>
    </row>
    <row r="81" spans="1:26" ht="19.5" customHeight="1" x14ac:dyDescent="0.3">
      <c r="A81" s="90" t="s">
        <v>233</v>
      </c>
      <c r="B81" s="94" t="str">
        <f t="shared" ca="1" si="0"/>
        <v>Feher csincsilla-Low-e 4mm-Low-e 4mm termó</v>
      </c>
      <c r="C81" s="90"/>
      <c r="D81" s="87" t="str">
        <f t="shared" ca="1" si="1"/>
        <v>425.00</v>
      </c>
      <c r="E81" s="90" t="s">
        <v>153</v>
      </c>
      <c r="F81" s="90"/>
      <c r="G81" s="90"/>
      <c r="H81" s="87" t="str">
        <f t="shared" ca="1" si="2"/>
        <v>362.00</v>
      </c>
      <c r="I81" s="90" t="s">
        <v>153</v>
      </c>
      <c r="J81" s="47" t="str">
        <f t="shared" ca="1" si="3"/>
        <v>Triplex</v>
      </c>
      <c r="K81" s="47"/>
      <c r="L81" s="47"/>
      <c r="M81" s="47"/>
      <c r="N81" s="90" t="s">
        <v>233</v>
      </c>
      <c r="O81" s="87" t="str">
        <f t="shared" ca="1" si="4"/>
        <v>362.00</v>
      </c>
      <c r="P81" s="89">
        <f t="shared" ca="1" si="5"/>
        <v>333.66956521739132</v>
      </c>
      <c r="Q81" s="90"/>
      <c r="R81" s="90"/>
      <c r="S81" s="91">
        <f t="shared" ca="1" si="6"/>
        <v>56.078918523931321</v>
      </c>
      <c r="T81" s="91">
        <f t="shared" ca="1" si="7"/>
        <v>66.733913043478267</v>
      </c>
      <c r="U81" s="92">
        <f t="shared" ca="1" si="8"/>
        <v>333.66956521739132</v>
      </c>
      <c r="V81" s="93"/>
      <c r="W81" s="47"/>
      <c r="X81" s="47"/>
      <c r="Y81" s="47"/>
      <c r="Z81" s="47"/>
    </row>
    <row r="82" spans="1:26" ht="19.5" customHeight="1" x14ac:dyDescent="0.3">
      <c r="A82" s="90" t="s">
        <v>234</v>
      </c>
      <c r="B82" s="94" t="str">
        <f t="shared" ca="1" si="0"/>
        <v>Feher screen-Tukor 4mm termó</v>
      </c>
      <c r="C82" s="90"/>
      <c r="D82" s="87" t="str">
        <f t="shared" ca="1" si="1"/>
        <v>315.00</v>
      </c>
      <c r="E82" s="90" t="s">
        <v>153</v>
      </c>
      <c r="F82" s="90"/>
      <c r="G82" s="90"/>
      <c r="H82" s="87" t="str">
        <f t="shared" ca="1" si="2"/>
        <v>268.00</v>
      </c>
      <c r="I82" s="90" t="s">
        <v>153</v>
      </c>
      <c r="J82" s="47" t="str">
        <f t="shared" ca="1" si="3"/>
        <v>Duplex</v>
      </c>
      <c r="K82" s="47"/>
      <c r="L82" s="47"/>
      <c r="M82" s="47"/>
      <c r="N82" s="90" t="s">
        <v>234</v>
      </c>
      <c r="O82" s="87" t="str">
        <f t="shared" ca="1" si="4"/>
        <v>268.00</v>
      </c>
      <c r="P82" s="89">
        <f t="shared" ca="1" si="5"/>
        <v>247.02608695652174</v>
      </c>
      <c r="Q82" s="90"/>
      <c r="R82" s="90"/>
      <c r="S82" s="91">
        <f t="shared" ca="1" si="6"/>
        <v>41.516989404457433</v>
      </c>
      <c r="T82" s="91">
        <f t="shared" ca="1" si="7"/>
        <v>49.405217391304348</v>
      </c>
      <c r="U82" s="92">
        <f t="shared" ca="1" si="8"/>
        <v>247.02608695652174</v>
      </c>
      <c r="V82" s="93"/>
      <c r="W82" s="47"/>
      <c r="X82" s="47"/>
      <c r="Y82" s="47"/>
      <c r="Z82" s="47"/>
    </row>
    <row r="83" spans="1:26" ht="19.5" customHeight="1" x14ac:dyDescent="0.3">
      <c r="A83" s="90" t="s">
        <v>235</v>
      </c>
      <c r="B83" s="94" t="str">
        <f t="shared" ca="1" si="0"/>
        <v>Duplex 3.1.3.-Homokfujt 4mm termó</v>
      </c>
      <c r="C83" s="90"/>
      <c r="D83" s="87" t="str">
        <f t="shared" ca="1" si="1"/>
        <v>310.00</v>
      </c>
      <c r="E83" s="90" t="s">
        <v>153</v>
      </c>
      <c r="F83" s="90"/>
      <c r="G83" s="90"/>
      <c r="H83" s="87" t="str">
        <f t="shared" ca="1" si="2"/>
        <v>264.00</v>
      </c>
      <c r="I83" s="90" t="s">
        <v>153</v>
      </c>
      <c r="J83" s="47" t="str">
        <f t="shared" ca="1" si="3"/>
        <v>Duplex</v>
      </c>
      <c r="K83" s="47"/>
      <c r="L83" s="47"/>
      <c r="M83" s="47"/>
      <c r="N83" s="90" t="s">
        <v>235</v>
      </c>
      <c r="O83" s="87" t="str">
        <f t="shared" ca="1" si="4"/>
        <v>264.00</v>
      </c>
      <c r="P83" s="89">
        <f t="shared" ca="1" si="5"/>
        <v>243.33913043478262</v>
      </c>
      <c r="Q83" s="90"/>
      <c r="R83" s="90"/>
      <c r="S83" s="91">
        <f t="shared" ca="1" si="6"/>
        <v>40.897332846181953</v>
      </c>
      <c r="T83" s="91">
        <f t="shared" ca="1" si="7"/>
        <v>48.667826086956524</v>
      </c>
      <c r="U83" s="92">
        <f t="shared" ca="1" si="8"/>
        <v>243.33913043478262</v>
      </c>
      <c r="V83" s="93"/>
      <c r="W83" s="47"/>
      <c r="X83" s="47"/>
      <c r="Y83" s="47"/>
      <c r="Z83" s="47"/>
    </row>
    <row r="84" spans="1:26" ht="19.5" customHeight="1" x14ac:dyDescent="0.3">
      <c r="A84" s="90" t="s">
        <v>236</v>
      </c>
      <c r="B84" s="94" t="str">
        <f t="shared" ca="1" si="0"/>
        <v>Tukor 4mm-Savmarta feher tuskes termó</v>
      </c>
      <c r="C84" s="90"/>
      <c r="D84" s="87" t="str">
        <f t="shared" ca="1" si="1"/>
        <v>345.00</v>
      </c>
      <c r="E84" s="90" t="s">
        <v>153</v>
      </c>
      <c r="F84" s="90"/>
      <c r="G84" s="90"/>
      <c r="H84" s="87" t="str">
        <f t="shared" ca="1" si="2"/>
        <v>294.00</v>
      </c>
      <c r="I84" s="90" t="s">
        <v>153</v>
      </c>
      <c r="J84" s="47" t="str">
        <f t="shared" ca="1" si="3"/>
        <v>Duplex</v>
      </c>
      <c r="K84" s="47"/>
      <c r="L84" s="47"/>
      <c r="M84" s="47"/>
      <c r="N84" s="90" t="s">
        <v>236</v>
      </c>
      <c r="O84" s="87" t="str">
        <f t="shared" ca="1" si="4"/>
        <v>294.00</v>
      </c>
      <c r="P84" s="89">
        <f t="shared" ca="1" si="5"/>
        <v>270.99130434782609</v>
      </c>
      <c r="Q84" s="90"/>
      <c r="R84" s="90"/>
      <c r="S84" s="91">
        <f t="shared" ca="1" si="6"/>
        <v>45.544757033248082</v>
      </c>
      <c r="T84" s="91">
        <f t="shared" ca="1" si="7"/>
        <v>54.198260869565217</v>
      </c>
      <c r="U84" s="92">
        <f t="shared" ca="1" si="8"/>
        <v>270.99130434782609</v>
      </c>
      <c r="V84" s="93"/>
      <c r="W84" s="47"/>
      <c r="X84" s="47"/>
      <c r="Y84" s="47"/>
      <c r="Z84" s="47"/>
    </row>
    <row r="85" spans="1:26" ht="19.5" customHeight="1" x14ac:dyDescent="0.3">
      <c r="A85" s="90" t="s">
        <v>237</v>
      </c>
      <c r="B85" s="94" t="str">
        <f t="shared" ca="1" si="0"/>
        <v>Tukor 4mm-Satin bronz termó</v>
      </c>
      <c r="C85" s="90"/>
      <c r="D85" s="87" t="str">
        <f t="shared" ca="1" si="1"/>
        <v>328.00</v>
      </c>
      <c r="E85" s="90" t="s">
        <v>153</v>
      </c>
      <c r="F85" s="90"/>
      <c r="G85" s="90"/>
      <c r="H85" s="87" t="str">
        <f t="shared" ca="1" si="2"/>
        <v>279.00</v>
      </c>
      <c r="I85" s="90" t="s">
        <v>153</v>
      </c>
      <c r="J85" s="47" t="str">
        <f t="shared" ca="1" si="3"/>
        <v>Duplex</v>
      </c>
      <c r="K85" s="47"/>
      <c r="L85" s="47"/>
      <c r="M85" s="47"/>
      <c r="N85" s="90" t="s">
        <v>237</v>
      </c>
      <c r="O85" s="87" t="str">
        <f t="shared" ca="1" si="4"/>
        <v>279.00</v>
      </c>
      <c r="P85" s="89">
        <f t="shared" ca="1" si="5"/>
        <v>257.16521739130434</v>
      </c>
      <c r="Q85" s="90"/>
      <c r="R85" s="90"/>
      <c r="S85" s="91">
        <f t="shared" ca="1" si="6"/>
        <v>43.221044939715014</v>
      </c>
      <c r="T85" s="91">
        <f t="shared" ca="1" si="7"/>
        <v>51.433043478260871</v>
      </c>
      <c r="U85" s="92">
        <f t="shared" ca="1" si="8"/>
        <v>257.16521739130434</v>
      </c>
      <c r="V85" s="93"/>
      <c r="W85" s="47"/>
      <c r="X85" s="47"/>
      <c r="Y85" s="47"/>
      <c r="Z85" s="47"/>
    </row>
    <row r="86" spans="1:26" ht="19.5" customHeight="1" x14ac:dyDescent="0.3">
      <c r="A86" s="90" t="s">
        <v>238</v>
      </c>
      <c r="B86" s="94" t="str">
        <f t="shared" ca="1" si="0"/>
        <v>Float 4mm-Satin bronz termó</v>
      </c>
      <c r="C86" s="90"/>
      <c r="D86" s="87" t="str">
        <f t="shared" ca="1" si="1"/>
        <v>256.00</v>
      </c>
      <c r="E86" s="90" t="s">
        <v>153</v>
      </c>
      <c r="F86" s="90"/>
      <c r="G86" s="90"/>
      <c r="H86" s="87" t="str">
        <f t="shared" ca="1" si="2"/>
        <v>218.00</v>
      </c>
      <c r="I86" s="90" t="s">
        <v>153</v>
      </c>
      <c r="J86" s="47" t="str">
        <f t="shared" ca="1" si="3"/>
        <v>Duplex</v>
      </c>
      <c r="K86" s="47"/>
      <c r="L86" s="47"/>
      <c r="M86" s="47"/>
      <c r="N86" s="90" t="s">
        <v>238</v>
      </c>
      <c r="O86" s="87" t="str">
        <f t="shared" ca="1" si="4"/>
        <v>218.00</v>
      </c>
      <c r="P86" s="89">
        <f t="shared" ca="1" si="5"/>
        <v>200.93913043478261</v>
      </c>
      <c r="Q86" s="90"/>
      <c r="R86" s="90"/>
      <c r="S86" s="91">
        <f t="shared" ca="1" si="6"/>
        <v>33.771282426013883</v>
      </c>
      <c r="T86" s="91">
        <f t="shared" ca="1" si="7"/>
        <v>40.18782608695652</v>
      </c>
      <c r="U86" s="92">
        <f t="shared" ca="1" si="8"/>
        <v>200.93913043478261</v>
      </c>
      <c r="V86" s="93"/>
      <c r="W86" s="47"/>
      <c r="X86" s="47"/>
      <c r="Y86" s="47"/>
      <c r="Z86" s="47"/>
    </row>
    <row r="87" spans="1:26" ht="19.5" customHeight="1" x14ac:dyDescent="0.3">
      <c r="A87" s="90" t="s">
        <v>239</v>
      </c>
      <c r="B87" s="94" t="str">
        <f t="shared" ca="1" si="0"/>
        <v>Savamarta barna tegla-Float 4mm-Low-e 4mm termó</v>
      </c>
      <c r="C87" s="90"/>
      <c r="D87" s="87" t="str">
        <f t="shared" ca="1" si="1"/>
        <v>476.00</v>
      </c>
      <c r="E87" s="90" t="s">
        <v>153</v>
      </c>
      <c r="F87" s="90"/>
      <c r="G87" s="90"/>
      <c r="H87" s="87" t="str">
        <f t="shared" ca="1" si="2"/>
        <v>405.00</v>
      </c>
      <c r="I87" s="90" t="s">
        <v>153</v>
      </c>
      <c r="J87" s="47" t="str">
        <f t="shared" ca="1" si="3"/>
        <v>Triplex</v>
      </c>
      <c r="K87" s="47"/>
      <c r="L87" s="47"/>
      <c r="M87" s="47"/>
      <c r="N87" s="90" t="s">
        <v>239</v>
      </c>
      <c r="O87" s="87" t="str">
        <f t="shared" ca="1" si="4"/>
        <v>405.00</v>
      </c>
      <c r="P87" s="89">
        <f t="shared" ca="1" si="5"/>
        <v>373.30434782608694</v>
      </c>
      <c r="Q87" s="90"/>
      <c r="R87" s="90"/>
      <c r="S87" s="91">
        <f t="shared" ca="1" si="6"/>
        <v>62.740226525392757</v>
      </c>
      <c r="T87" s="91">
        <f t="shared" ca="1" si="7"/>
        <v>74.660869565217382</v>
      </c>
      <c r="U87" s="92">
        <f t="shared" ca="1" si="8"/>
        <v>373.30434782608694</v>
      </c>
      <c r="V87" s="93"/>
      <c r="W87" s="47"/>
      <c r="X87" s="47"/>
      <c r="Y87" s="47"/>
      <c r="Z87" s="47"/>
    </row>
    <row r="88" spans="1:26" ht="19.5" customHeight="1" x14ac:dyDescent="0.3">
      <c r="A88" s="90" t="s">
        <v>240</v>
      </c>
      <c r="B88" s="94" t="str">
        <f t="shared" ca="1" si="0"/>
        <v>Reflexios 4mm-Barna csincsilla termó</v>
      </c>
      <c r="C88" s="90"/>
      <c r="D88" s="87" t="str">
        <f t="shared" ca="1" si="1"/>
        <v>348.00</v>
      </c>
      <c r="E88" s="90" t="s">
        <v>153</v>
      </c>
      <c r="F88" s="90"/>
      <c r="G88" s="90"/>
      <c r="H88" s="87" t="str">
        <f t="shared" ca="1" si="2"/>
        <v>296.00</v>
      </c>
      <c r="I88" s="90" t="s">
        <v>153</v>
      </c>
      <c r="J88" s="47" t="str">
        <f t="shared" ca="1" si="3"/>
        <v>Duplex</v>
      </c>
      <c r="K88" s="47"/>
      <c r="L88" s="47"/>
      <c r="M88" s="47"/>
      <c r="N88" s="90" t="s">
        <v>240</v>
      </c>
      <c r="O88" s="87" t="str">
        <f t="shared" ca="1" si="4"/>
        <v>296.00</v>
      </c>
      <c r="P88" s="89">
        <f t="shared" ca="1" si="5"/>
        <v>272.83478260869566</v>
      </c>
      <c r="Q88" s="90"/>
      <c r="R88" s="90"/>
      <c r="S88" s="91">
        <f t="shared" ca="1" si="6"/>
        <v>45.854585312385822</v>
      </c>
      <c r="T88" s="91">
        <f t="shared" ca="1" si="7"/>
        <v>54.566956521739129</v>
      </c>
      <c r="U88" s="92">
        <f t="shared" ca="1" si="8"/>
        <v>272.83478260869566</v>
      </c>
      <c r="V88" s="93"/>
      <c r="W88" s="47"/>
      <c r="X88" s="47"/>
      <c r="Y88" s="47"/>
      <c r="Z88" s="47"/>
    </row>
    <row r="89" spans="1:26" ht="19.5" customHeight="1" x14ac:dyDescent="0.3">
      <c r="A89" s="90" t="s">
        <v>241</v>
      </c>
      <c r="B89" s="94" t="str">
        <f t="shared" ca="1" si="0"/>
        <v>Homokfujt 4mm-Homokfujt 4mm termó</v>
      </c>
      <c r="C89" s="90"/>
      <c r="D89" s="87" t="str">
        <f t="shared" ca="1" si="1"/>
        <v>301.00</v>
      </c>
      <c r="E89" s="90" t="s">
        <v>153</v>
      </c>
      <c r="F89" s="90"/>
      <c r="G89" s="90"/>
      <c r="H89" s="87" t="str">
        <f t="shared" ca="1" si="2"/>
        <v>256.00</v>
      </c>
      <c r="I89" s="90" t="s">
        <v>153</v>
      </c>
      <c r="J89" s="47" t="str">
        <f t="shared" ca="1" si="3"/>
        <v>Duplex</v>
      </c>
      <c r="K89" s="47"/>
      <c r="L89" s="47"/>
      <c r="M89" s="47"/>
      <c r="N89" s="90" t="s">
        <v>241</v>
      </c>
      <c r="O89" s="87" t="str">
        <f t="shared" ca="1" si="4"/>
        <v>256.00</v>
      </c>
      <c r="P89" s="89">
        <f t="shared" ca="1" si="5"/>
        <v>235.96521739130435</v>
      </c>
      <c r="Q89" s="90"/>
      <c r="R89" s="90"/>
      <c r="S89" s="91">
        <f t="shared" ca="1" si="6"/>
        <v>39.658019729630979</v>
      </c>
      <c r="T89" s="91">
        <f t="shared" ca="1" si="7"/>
        <v>47.193043478260869</v>
      </c>
      <c r="U89" s="92">
        <f t="shared" ca="1" si="8"/>
        <v>235.96521739130435</v>
      </c>
      <c r="V89" s="93"/>
      <c r="W89" s="47"/>
      <c r="X89" s="47"/>
      <c r="Y89" s="47"/>
      <c r="Z89" s="47"/>
    </row>
    <row r="90" spans="1:26" ht="19.5" customHeight="1" x14ac:dyDescent="0.3">
      <c r="A90" s="90" t="s">
        <v>242</v>
      </c>
      <c r="B90" s="94" t="str">
        <f t="shared" ca="1" si="0"/>
        <v>Tukor 4mm-Mintas uveg feher fatorzs termó</v>
      </c>
      <c r="C90" s="90"/>
      <c r="D90" s="87" t="str">
        <f t="shared" ca="1" si="1"/>
        <v>345.00</v>
      </c>
      <c r="E90" s="90" t="s">
        <v>153</v>
      </c>
      <c r="F90" s="90"/>
      <c r="G90" s="90"/>
      <c r="H90" s="87" t="str">
        <f t="shared" ca="1" si="2"/>
        <v>294.00</v>
      </c>
      <c r="I90" s="90" t="s">
        <v>153</v>
      </c>
      <c r="J90" s="47" t="str">
        <f t="shared" ca="1" si="3"/>
        <v>Duplex</v>
      </c>
      <c r="K90" s="47"/>
      <c r="L90" s="47"/>
      <c r="M90" s="47"/>
      <c r="N90" s="90" t="s">
        <v>242</v>
      </c>
      <c r="O90" s="87" t="str">
        <f t="shared" ca="1" si="4"/>
        <v>294.00</v>
      </c>
      <c r="P90" s="89">
        <f t="shared" ca="1" si="5"/>
        <v>270.99130434782609</v>
      </c>
      <c r="Q90" s="90"/>
      <c r="R90" s="90"/>
      <c r="S90" s="91">
        <f t="shared" ca="1" si="6"/>
        <v>45.544757033248082</v>
      </c>
      <c r="T90" s="91">
        <f t="shared" ca="1" si="7"/>
        <v>54.198260869565217</v>
      </c>
      <c r="U90" s="92">
        <f t="shared" ca="1" si="8"/>
        <v>270.99130434782609</v>
      </c>
      <c r="V90" s="93"/>
      <c r="W90" s="47"/>
      <c r="X90" s="47"/>
      <c r="Y90" s="47"/>
      <c r="Z90" s="47"/>
    </row>
    <row r="91" spans="1:26" ht="19.5" customHeight="1" x14ac:dyDescent="0.3">
      <c r="A91" s="90" t="s">
        <v>243</v>
      </c>
      <c r="B91" s="94" t="str">
        <f t="shared" ca="1" si="0"/>
        <v>Reflexios 4mm-Float 4mm-Homokfujt 4mm termó</v>
      </c>
      <c r="C91" s="90"/>
      <c r="D91" s="87" t="str">
        <f t="shared" ca="1" si="1"/>
        <v>449.00</v>
      </c>
      <c r="E91" s="90" t="s">
        <v>153</v>
      </c>
      <c r="F91" s="90"/>
      <c r="G91" s="90"/>
      <c r="H91" s="87" t="str">
        <f t="shared" ca="1" si="2"/>
        <v>382.00</v>
      </c>
      <c r="I91" s="90" t="s">
        <v>153</v>
      </c>
      <c r="J91" s="47" t="str">
        <f t="shared" ca="1" si="3"/>
        <v>Triplex</v>
      </c>
      <c r="K91" s="47"/>
      <c r="L91" s="47"/>
      <c r="M91" s="47"/>
      <c r="N91" s="90" t="s">
        <v>243</v>
      </c>
      <c r="O91" s="87" t="str">
        <f t="shared" ca="1" si="4"/>
        <v>382.00</v>
      </c>
      <c r="P91" s="89">
        <f t="shared" ca="1" si="5"/>
        <v>352.10434782608695</v>
      </c>
      <c r="Q91" s="90"/>
      <c r="R91" s="90"/>
      <c r="S91" s="91">
        <f t="shared" ca="1" si="6"/>
        <v>59.177201315308729</v>
      </c>
      <c r="T91" s="91">
        <f t="shared" ca="1" si="7"/>
        <v>70.420869565217387</v>
      </c>
      <c r="U91" s="92">
        <f t="shared" ca="1" si="8"/>
        <v>352.10434782608695</v>
      </c>
      <c r="V91" s="93"/>
      <c r="W91" s="47"/>
      <c r="X91" s="47"/>
      <c r="Y91" s="47"/>
      <c r="Z91" s="47"/>
    </row>
    <row r="92" spans="1:26" ht="19.5" customHeight="1" x14ac:dyDescent="0.3">
      <c r="A92" s="90" t="s">
        <v>244</v>
      </c>
      <c r="B92" s="94" t="str">
        <f t="shared" ca="1" si="0"/>
        <v>Savmarta barna tuskes-Low-e 4mm-Low-e 4mm termó</v>
      </c>
      <c r="C92" s="90"/>
      <c r="D92" s="87" t="str">
        <f t="shared" ca="1" si="1"/>
        <v>458.00</v>
      </c>
      <c r="E92" s="90" t="s">
        <v>153</v>
      </c>
      <c r="F92" s="90"/>
      <c r="G92" s="90"/>
      <c r="H92" s="87" t="str">
        <f t="shared" ca="1" si="2"/>
        <v>390.00</v>
      </c>
      <c r="I92" s="90" t="s">
        <v>153</v>
      </c>
      <c r="J92" s="47" t="str">
        <f t="shared" ca="1" si="3"/>
        <v>Triplex</v>
      </c>
      <c r="K92" s="47"/>
      <c r="L92" s="47"/>
      <c r="M92" s="47"/>
      <c r="N92" s="90" t="s">
        <v>244</v>
      </c>
      <c r="O92" s="87" t="str">
        <f t="shared" ca="1" si="4"/>
        <v>390.00</v>
      </c>
      <c r="P92" s="89">
        <f t="shared" ca="1" si="5"/>
        <v>359.47826086956525</v>
      </c>
      <c r="Q92" s="90"/>
      <c r="R92" s="90"/>
      <c r="S92" s="91">
        <f t="shared" ca="1" si="6"/>
        <v>60.416514431859703</v>
      </c>
      <c r="T92" s="91">
        <f t="shared" ca="1" si="7"/>
        <v>71.895652173913049</v>
      </c>
      <c r="U92" s="92">
        <f t="shared" ca="1" si="8"/>
        <v>359.47826086956525</v>
      </c>
      <c r="V92" s="93"/>
      <c r="W92" s="47"/>
      <c r="X92" s="47"/>
      <c r="Y92" s="47"/>
      <c r="Z92" s="47"/>
    </row>
    <row r="93" spans="1:26" ht="19.5" customHeight="1" x14ac:dyDescent="0.3">
      <c r="A93" s="90" t="s">
        <v>245</v>
      </c>
      <c r="B93" s="94" t="str">
        <f t="shared" ca="1" si="0"/>
        <v>4 evszakos-Mintas uveg aprokockas-Low-e 4mm termó</v>
      </c>
      <c r="C93" s="90"/>
      <c r="D93" s="87" t="str">
        <f t="shared" ca="1" si="1"/>
        <v>419.00</v>
      </c>
      <c r="E93" s="90" t="s">
        <v>153</v>
      </c>
      <c r="F93" s="90"/>
      <c r="G93" s="90"/>
      <c r="H93" s="87" t="str">
        <f t="shared" ca="1" si="2"/>
        <v>357.00</v>
      </c>
      <c r="I93" s="90" t="s">
        <v>153</v>
      </c>
      <c r="J93" s="47" t="str">
        <f t="shared" ca="1" si="3"/>
        <v>Triplex</v>
      </c>
      <c r="K93" s="47"/>
      <c r="L93" s="47"/>
      <c r="M93" s="47"/>
      <c r="N93" s="90" t="s">
        <v>245</v>
      </c>
      <c r="O93" s="87" t="str">
        <f t="shared" ca="1" si="4"/>
        <v>357.00</v>
      </c>
      <c r="P93" s="89">
        <f t="shared" ca="1" si="5"/>
        <v>329.06086956521739</v>
      </c>
      <c r="Q93" s="90"/>
      <c r="R93" s="90"/>
      <c r="S93" s="91">
        <f t="shared" ca="1" si="6"/>
        <v>55.304347826086953</v>
      </c>
      <c r="T93" s="91">
        <f t="shared" ca="1" si="7"/>
        <v>65.81217391304348</v>
      </c>
      <c r="U93" s="92">
        <f t="shared" ca="1" si="8"/>
        <v>329.06086956521739</v>
      </c>
      <c r="V93" s="93"/>
      <c r="W93" s="47"/>
      <c r="X93" s="47"/>
      <c r="Y93" s="47"/>
      <c r="Z93" s="47"/>
    </row>
    <row r="94" spans="1:26" ht="19.5" customHeight="1" x14ac:dyDescent="0.3">
      <c r="A94" s="90" t="s">
        <v>246</v>
      </c>
      <c r="B94" s="94" t="str">
        <f t="shared" ca="1" si="0"/>
        <v>Savmarta barna palma-Low-e 4mm termó</v>
      </c>
      <c r="C94" s="90"/>
      <c r="D94" s="87" t="str">
        <f t="shared" ca="1" si="1"/>
        <v>324.00</v>
      </c>
      <c r="E94" s="90" t="s">
        <v>153</v>
      </c>
      <c r="F94" s="90"/>
      <c r="G94" s="90"/>
      <c r="H94" s="87" t="str">
        <f t="shared" ca="1" si="2"/>
        <v>276.00</v>
      </c>
      <c r="I94" s="90" t="s">
        <v>153</v>
      </c>
      <c r="J94" s="47" t="str">
        <f t="shared" ca="1" si="3"/>
        <v>Duplex</v>
      </c>
      <c r="K94" s="47"/>
      <c r="L94" s="47"/>
      <c r="M94" s="47"/>
      <c r="N94" s="90" t="s">
        <v>246</v>
      </c>
      <c r="O94" s="87" t="str">
        <f t="shared" ca="1" si="4"/>
        <v>276.00</v>
      </c>
      <c r="P94" s="89">
        <f t="shared" ca="1" si="5"/>
        <v>254.4</v>
      </c>
      <c r="Q94" s="90"/>
      <c r="R94" s="90"/>
      <c r="S94" s="91">
        <f t="shared" ca="1" si="6"/>
        <v>42.756302521008408</v>
      </c>
      <c r="T94" s="91">
        <f t="shared" ca="1" si="7"/>
        <v>50.88</v>
      </c>
      <c r="U94" s="92">
        <f t="shared" ca="1" si="8"/>
        <v>254.4</v>
      </c>
      <c r="V94" s="93"/>
      <c r="W94" s="47"/>
      <c r="X94" s="47"/>
      <c r="Y94" s="47"/>
      <c r="Z94" s="47"/>
    </row>
    <row r="95" spans="1:26" ht="19.5" customHeight="1" x14ac:dyDescent="0.3">
      <c r="A95" s="90" t="s">
        <v>247</v>
      </c>
      <c r="B95" s="94" t="str">
        <f t="shared" ca="1" si="0"/>
        <v>Savmarta feher Tegla-Low-e 4mm-Low-e 4mm termó</v>
      </c>
      <c r="C95" s="90"/>
      <c r="D95" s="87" t="str">
        <f t="shared" ca="1" si="1"/>
        <v>448.00</v>
      </c>
      <c r="E95" s="90" t="s">
        <v>153</v>
      </c>
      <c r="F95" s="90"/>
      <c r="G95" s="90"/>
      <c r="H95" s="87" t="str">
        <f t="shared" ca="1" si="2"/>
        <v>381.00</v>
      </c>
      <c r="I95" s="90" t="s">
        <v>153</v>
      </c>
      <c r="J95" s="47" t="str">
        <f t="shared" ca="1" si="3"/>
        <v>Triplex</v>
      </c>
      <c r="K95" s="47"/>
      <c r="L95" s="47"/>
      <c r="M95" s="47"/>
      <c r="N95" s="90" t="s">
        <v>247</v>
      </c>
      <c r="O95" s="87" t="str">
        <f t="shared" ca="1" si="4"/>
        <v>381.00</v>
      </c>
      <c r="P95" s="89">
        <f t="shared" ca="1" si="5"/>
        <v>351.18260869565216</v>
      </c>
      <c r="Q95" s="90"/>
      <c r="R95" s="90"/>
      <c r="S95" s="91">
        <f t="shared" ca="1" si="6"/>
        <v>59.022287175739862</v>
      </c>
      <c r="T95" s="91">
        <f t="shared" ca="1" si="7"/>
        <v>70.236521739130438</v>
      </c>
      <c r="U95" s="92">
        <f t="shared" ca="1" si="8"/>
        <v>351.18260869565216</v>
      </c>
      <c r="V95" s="93"/>
      <c r="W95" s="47"/>
      <c r="X95" s="47"/>
      <c r="Y95" s="47"/>
      <c r="Z95" s="47"/>
    </row>
    <row r="96" spans="1:26" ht="19.5" customHeight="1" x14ac:dyDescent="0.3">
      <c r="A96" s="90" t="s">
        <v>248</v>
      </c>
      <c r="B96" s="94" t="str">
        <f t="shared" ca="1" si="0"/>
        <v>Barna fatorzs-Low-e 4mm-Low-e 4mm termó</v>
      </c>
      <c r="C96" s="90"/>
      <c r="D96" s="87" t="str">
        <f t="shared" ca="1" si="1"/>
        <v>460.00</v>
      </c>
      <c r="E96" s="90" t="s">
        <v>153</v>
      </c>
      <c r="F96" s="90"/>
      <c r="G96" s="90"/>
      <c r="H96" s="87" t="str">
        <f t="shared" ca="1" si="2"/>
        <v>391.00</v>
      </c>
      <c r="I96" s="90" t="s">
        <v>153</v>
      </c>
      <c r="J96" s="47" t="str">
        <f t="shared" ca="1" si="3"/>
        <v>Triplex</v>
      </c>
      <c r="K96" s="47"/>
      <c r="L96" s="47"/>
      <c r="M96" s="47"/>
      <c r="N96" s="90" t="s">
        <v>248</v>
      </c>
      <c r="O96" s="87" t="str">
        <f t="shared" ca="1" si="4"/>
        <v>391.00</v>
      </c>
      <c r="P96" s="89">
        <f t="shared" ca="1" si="5"/>
        <v>360.4</v>
      </c>
      <c r="Q96" s="90"/>
      <c r="R96" s="90"/>
      <c r="S96" s="91">
        <f t="shared" ca="1" si="6"/>
        <v>60.571428571428569</v>
      </c>
      <c r="T96" s="91">
        <f t="shared" ca="1" si="7"/>
        <v>72.08</v>
      </c>
      <c r="U96" s="92">
        <f t="shared" ca="1" si="8"/>
        <v>360.4</v>
      </c>
      <c r="V96" s="93"/>
      <c r="W96" s="47"/>
      <c r="X96" s="47"/>
      <c r="Y96" s="47"/>
      <c r="Z96" s="47"/>
    </row>
    <row r="97" spans="1:26" ht="19.5" customHeight="1" x14ac:dyDescent="0.3">
      <c r="A97" s="90" t="s">
        <v>249</v>
      </c>
      <c r="B97" s="94" t="str">
        <f t="shared" ca="1" si="0"/>
        <v>4 evszakos-Feher csincsilla-Low-e 4mm termó</v>
      </c>
      <c r="C97" s="90"/>
      <c r="D97" s="87" t="str">
        <f t="shared" ca="1" si="1"/>
        <v>419.00</v>
      </c>
      <c r="E97" s="90" t="s">
        <v>153</v>
      </c>
      <c r="F97" s="90"/>
      <c r="G97" s="90"/>
      <c r="H97" s="87" t="str">
        <f t="shared" ca="1" si="2"/>
        <v>357.00</v>
      </c>
      <c r="I97" s="90" t="s">
        <v>153</v>
      </c>
      <c r="J97" s="47" t="str">
        <f t="shared" ca="1" si="3"/>
        <v>Triplex</v>
      </c>
      <c r="K97" s="47"/>
      <c r="L97" s="47"/>
      <c r="M97" s="47"/>
      <c r="N97" s="90" t="s">
        <v>249</v>
      </c>
      <c r="O97" s="87" t="str">
        <f t="shared" ca="1" si="4"/>
        <v>357.00</v>
      </c>
      <c r="P97" s="89">
        <f t="shared" ca="1" si="5"/>
        <v>329.06086956521739</v>
      </c>
      <c r="Q97" s="90"/>
      <c r="R97" s="90"/>
      <c r="S97" s="91">
        <f t="shared" ca="1" si="6"/>
        <v>55.304347826086953</v>
      </c>
      <c r="T97" s="91">
        <f t="shared" ca="1" si="7"/>
        <v>65.81217391304348</v>
      </c>
      <c r="U97" s="92">
        <f t="shared" ca="1" si="8"/>
        <v>329.06086956521739</v>
      </c>
      <c r="V97" s="93"/>
      <c r="W97" s="47"/>
      <c r="X97" s="47"/>
      <c r="Y97" s="47"/>
      <c r="Z97" s="47"/>
    </row>
    <row r="98" spans="1:26" ht="19.5" customHeight="1" x14ac:dyDescent="0.3">
      <c r="A98" s="90" t="s">
        <v>250</v>
      </c>
      <c r="B98" s="94" t="str">
        <f t="shared" ca="1" si="0"/>
        <v>4 evszakos-Duplex 3.1.3. termó</v>
      </c>
      <c r="C98" s="90"/>
      <c r="D98" s="87" t="str">
        <f t="shared" ca="1" si="1"/>
        <v>280.00</v>
      </c>
      <c r="E98" s="90" t="s">
        <v>153</v>
      </c>
      <c r="F98" s="90"/>
      <c r="G98" s="90"/>
      <c r="H98" s="87" t="str">
        <f t="shared" ca="1" si="2"/>
        <v>238.00</v>
      </c>
      <c r="I98" s="90" t="s">
        <v>153</v>
      </c>
      <c r="J98" s="47" t="str">
        <f t="shared" ca="1" si="3"/>
        <v>Duplex</v>
      </c>
      <c r="K98" s="47"/>
      <c r="L98" s="47"/>
      <c r="M98" s="47"/>
      <c r="N98" s="90" t="s">
        <v>250</v>
      </c>
      <c r="O98" s="87" t="str">
        <f t="shared" ca="1" si="4"/>
        <v>238.00</v>
      </c>
      <c r="P98" s="89">
        <f t="shared" ca="1" si="5"/>
        <v>219.37391304347827</v>
      </c>
      <c r="Q98" s="90"/>
      <c r="R98" s="90"/>
      <c r="S98" s="91">
        <f t="shared" ca="1" si="6"/>
        <v>36.869565217391305</v>
      </c>
      <c r="T98" s="91">
        <f t="shared" ca="1" si="7"/>
        <v>43.874782608695654</v>
      </c>
      <c r="U98" s="92">
        <f t="shared" ca="1" si="8"/>
        <v>219.37391304347827</v>
      </c>
      <c r="V98" s="93"/>
      <c r="W98" s="47"/>
      <c r="X98" s="47"/>
      <c r="Y98" s="47"/>
      <c r="Z98" s="47"/>
    </row>
    <row r="99" spans="1:26" ht="19.5" customHeight="1" x14ac:dyDescent="0.3">
      <c r="A99" s="90" t="s">
        <v>251</v>
      </c>
      <c r="B99" s="94" t="str">
        <f t="shared" ca="1" si="0"/>
        <v>Duplex 3.1.3.-Float 6mm termó</v>
      </c>
      <c r="C99" s="90"/>
      <c r="D99" s="87" t="str">
        <f t="shared" ca="1" si="1"/>
        <v>270.00</v>
      </c>
      <c r="E99" s="90" t="s">
        <v>153</v>
      </c>
      <c r="F99" s="90"/>
      <c r="G99" s="90"/>
      <c r="H99" s="87" t="str">
        <f t="shared" ca="1" si="2"/>
        <v>230.00</v>
      </c>
      <c r="I99" s="90" t="s">
        <v>153</v>
      </c>
      <c r="J99" s="47" t="str">
        <f t="shared" ca="1" si="3"/>
        <v>Duplex</v>
      </c>
      <c r="K99" s="47"/>
      <c r="L99" s="47"/>
      <c r="M99" s="47"/>
      <c r="N99" s="90" t="s">
        <v>251</v>
      </c>
      <c r="O99" s="87" t="str">
        <f t="shared" ca="1" si="4"/>
        <v>230.00</v>
      </c>
      <c r="P99" s="89">
        <f t="shared" ca="1" si="5"/>
        <v>212</v>
      </c>
      <c r="Q99" s="90"/>
      <c r="R99" s="90"/>
      <c r="S99" s="91">
        <f t="shared" ca="1" si="6"/>
        <v>35.630252100840337</v>
      </c>
      <c r="T99" s="91">
        <f t="shared" ca="1" si="7"/>
        <v>42.4</v>
      </c>
      <c r="U99" s="92">
        <f t="shared" ca="1" si="8"/>
        <v>212</v>
      </c>
      <c r="V99" s="93"/>
      <c r="W99" s="47"/>
      <c r="X99" s="47"/>
      <c r="Y99" s="47"/>
      <c r="Z99" s="47"/>
    </row>
    <row r="100" spans="1:26" ht="19.5" customHeight="1" x14ac:dyDescent="0.3">
      <c r="A100" s="90" t="s">
        <v>252</v>
      </c>
      <c r="B100" s="94" t="str">
        <f t="shared" ca="1" si="0"/>
        <v>Reflexios 4mm-Homokfujt 4mm termó</v>
      </c>
      <c r="C100" s="90"/>
      <c r="D100" s="87" t="str">
        <f t="shared" ca="1" si="1"/>
        <v>318.00</v>
      </c>
      <c r="E100" s="90" t="s">
        <v>153</v>
      </c>
      <c r="F100" s="90"/>
      <c r="G100" s="90"/>
      <c r="H100" s="87" t="str">
        <f t="shared" ca="1" si="2"/>
        <v>271.00</v>
      </c>
      <c r="I100" s="90" t="s">
        <v>153</v>
      </c>
      <c r="J100" s="47" t="str">
        <f t="shared" ca="1" si="3"/>
        <v>Duplex</v>
      </c>
      <c r="K100" s="47"/>
      <c r="L100" s="47"/>
      <c r="M100" s="47"/>
      <c r="N100" s="90" t="s">
        <v>252</v>
      </c>
      <c r="O100" s="87" t="str">
        <f t="shared" ca="1" si="4"/>
        <v>271.00</v>
      </c>
      <c r="P100" s="89">
        <f t="shared" ca="1" si="5"/>
        <v>249.7913043478261</v>
      </c>
      <c r="Q100" s="90"/>
      <c r="R100" s="90"/>
      <c r="S100" s="91">
        <f t="shared" ca="1" si="6"/>
        <v>41.981731823164054</v>
      </c>
      <c r="T100" s="91">
        <f t="shared" ca="1" si="7"/>
        <v>49.958260869565223</v>
      </c>
      <c r="U100" s="92">
        <f t="shared" ca="1" si="8"/>
        <v>249.7913043478261</v>
      </c>
      <c r="V100" s="93"/>
      <c r="W100" s="47"/>
      <c r="X100" s="47"/>
      <c r="Y100" s="47"/>
      <c r="Z100" s="47"/>
    </row>
    <row r="101" spans="1:26" ht="19.5" customHeight="1" x14ac:dyDescent="0.3">
      <c r="A101" s="90" t="s">
        <v>253</v>
      </c>
      <c r="B101" s="94" t="str">
        <f t="shared" ca="1" si="0"/>
        <v>Satin bronz-Float 4mm-Float 4mm termó</v>
      </c>
      <c r="C101" s="90"/>
      <c r="D101" s="87" t="str">
        <f t="shared" ca="1" si="1"/>
        <v>337.00</v>
      </c>
      <c r="E101" s="90" t="s">
        <v>153</v>
      </c>
      <c r="F101" s="90"/>
      <c r="G101" s="90"/>
      <c r="H101" s="87" t="str">
        <f t="shared" ca="1" si="2"/>
        <v>287.00</v>
      </c>
      <c r="I101" s="90" t="s">
        <v>153</v>
      </c>
      <c r="J101" s="47" t="str">
        <f t="shared" ca="1" si="3"/>
        <v>Triplex</v>
      </c>
      <c r="K101" s="47"/>
      <c r="L101" s="47"/>
      <c r="M101" s="47"/>
      <c r="N101" s="90" t="s">
        <v>253</v>
      </c>
      <c r="O101" s="87" t="str">
        <f t="shared" ca="1" si="4"/>
        <v>287.00</v>
      </c>
      <c r="P101" s="89">
        <f t="shared" ca="1" si="5"/>
        <v>264.53913043478263</v>
      </c>
      <c r="Q101" s="90"/>
      <c r="R101" s="90"/>
      <c r="S101" s="91">
        <f t="shared" ca="1" si="6"/>
        <v>44.460358056265989</v>
      </c>
      <c r="T101" s="91">
        <f t="shared" ca="1" si="7"/>
        <v>52.907826086956526</v>
      </c>
      <c r="U101" s="92">
        <f t="shared" ca="1" si="8"/>
        <v>264.53913043478263</v>
      </c>
      <c r="V101" s="93"/>
      <c r="W101" s="47"/>
      <c r="X101" s="47"/>
      <c r="Y101" s="47"/>
      <c r="Z101" s="47"/>
    </row>
    <row r="102" spans="1:26" ht="19.5" customHeight="1" x14ac:dyDescent="0.3">
      <c r="A102" s="90" t="s">
        <v>254</v>
      </c>
      <c r="B102" s="94" t="str">
        <f t="shared" ca="1" si="0"/>
        <v>Mintas uveg delta 2-Low-e 4mm-Low-e 4mm termó</v>
      </c>
      <c r="C102" s="90"/>
      <c r="D102" s="87" t="str">
        <f t="shared" ca="1" si="1"/>
        <v>425.00</v>
      </c>
      <c r="E102" s="90" t="s">
        <v>153</v>
      </c>
      <c r="F102" s="90"/>
      <c r="G102" s="90"/>
      <c r="H102" s="87" t="str">
        <f t="shared" ca="1" si="2"/>
        <v>362.00</v>
      </c>
      <c r="I102" s="90" t="s">
        <v>153</v>
      </c>
      <c r="J102" s="47" t="str">
        <f t="shared" ca="1" si="3"/>
        <v>Triplex</v>
      </c>
      <c r="K102" s="47"/>
      <c r="L102" s="47"/>
      <c r="M102" s="47"/>
      <c r="N102" s="90" t="s">
        <v>254</v>
      </c>
      <c r="O102" s="87" t="str">
        <f t="shared" ca="1" si="4"/>
        <v>362.00</v>
      </c>
      <c r="P102" s="89">
        <f t="shared" ca="1" si="5"/>
        <v>333.66956521739132</v>
      </c>
      <c r="Q102" s="90"/>
      <c r="R102" s="90"/>
      <c r="S102" s="91">
        <f t="shared" ca="1" si="6"/>
        <v>56.078918523931321</v>
      </c>
      <c r="T102" s="91">
        <f t="shared" ca="1" si="7"/>
        <v>66.733913043478267</v>
      </c>
      <c r="U102" s="92">
        <f t="shared" ca="1" si="8"/>
        <v>333.66956521739132</v>
      </c>
      <c r="V102" s="93"/>
      <c r="W102" s="47"/>
      <c r="X102" s="47"/>
      <c r="Y102" s="47"/>
      <c r="Z102" s="47"/>
    </row>
    <row r="103" spans="1:26" ht="19.5" customHeight="1" x14ac:dyDescent="0.3">
      <c r="A103" s="90" t="s">
        <v>255</v>
      </c>
      <c r="B103" s="94" t="str">
        <f t="shared" ca="1" si="0"/>
        <v>Fehér hóvirág-Low-e 4mm termó</v>
      </c>
      <c r="C103" s="90"/>
      <c r="D103" s="87" t="str">
        <f t="shared" ca="1" si="1"/>
        <v>295.00</v>
      </c>
      <c r="E103" s="90" t="s">
        <v>153</v>
      </c>
      <c r="F103" s="90"/>
      <c r="G103" s="90"/>
      <c r="H103" s="87" t="str">
        <f t="shared" ca="1" si="2"/>
        <v>251.00</v>
      </c>
      <c r="I103" s="90" t="s">
        <v>153</v>
      </c>
      <c r="J103" s="47" t="str">
        <f t="shared" ca="1" si="3"/>
        <v>Duplex</v>
      </c>
      <c r="K103" s="47"/>
      <c r="L103" s="47"/>
      <c r="M103" s="47"/>
      <c r="N103" s="90" t="s">
        <v>255</v>
      </c>
      <c r="O103" s="87" t="str">
        <f t="shared" ca="1" si="4"/>
        <v>251.00</v>
      </c>
      <c r="P103" s="89">
        <f t="shared" ca="1" si="5"/>
        <v>231.35652173913044</v>
      </c>
      <c r="Q103" s="90"/>
      <c r="R103" s="90"/>
      <c r="S103" s="91">
        <f t="shared" ca="1" si="6"/>
        <v>38.883449031786625</v>
      </c>
      <c r="T103" s="91">
        <f t="shared" ca="1" si="7"/>
        <v>46.271304347826089</v>
      </c>
      <c r="U103" s="92">
        <f t="shared" ca="1" si="8"/>
        <v>231.35652173913044</v>
      </c>
      <c r="V103" s="93"/>
      <c r="W103" s="47"/>
      <c r="X103" s="47"/>
      <c r="Y103" s="47"/>
      <c r="Z103" s="47"/>
    </row>
    <row r="104" spans="1:26" ht="19.5" customHeight="1" x14ac:dyDescent="0.3">
      <c r="A104" s="90" t="s">
        <v>256</v>
      </c>
      <c r="B104" s="94" t="str">
        <f t="shared" ca="1" si="0"/>
        <v>Float 6mm-Float 6mm termó</v>
      </c>
      <c r="C104" s="90"/>
      <c r="D104" s="87" t="str">
        <f t="shared" ca="1" si="1"/>
        <v>221.00</v>
      </c>
      <c r="E104" s="90" t="s">
        <v>153</v>
      </c>
      <c r="F104" s="90"/>
      <c r="G104" s="90"/>
      <c r="H104" s="87" t="str">
        <f t="shared" ca="1" si="2"/>
        <v>188.00</v>
      </c>
      <c r="I104" s="90" t="s">
        <v>153</v>
      </c>
      <c r="J104" s="47" t="str">
        <f t="shared" ca="1" si="3"/>
        <v>Duplex</v>
      </c>
      <c r="K104" s="47"/>
      <c r="L104" s="47"/>
      <c r="M104" s="47"/>
      <c r="N104" s="90" t="s">
        <v>256</v>
      </c>
      <c r="O104" s="87" t="str">
        <f t="shared" ca="1" si="4"/>
        <v>188.00</v>
      </c>
      <c r="P104" s="89">
        <f t="shared" ca="1" si="5"/>
        <v>173.28695652173914</v>
      </c>
      <c r="Q104" s="90"/>
      <c r="R104" s="90"/>
      <c r="S104" s="91">
        <f t="shared" ca="1" si="6"/>
        <v>29.123858238947754</v>
      </c>
      <c r="T104" s="91">
        <f t="shared" ca="1" si="7"/>
        <v>34.657391304347826</v>
      </c>
      <c r="U104" s="92">
        <f t="shared" ca="1" si="8"/>
        <v>173.28695652173914</v>
      </c>
      <c r="V104" s="93"/>
      <c r="W104" s="47"/>
      <c r="X104" s="47"/>
      <c r="Y104" s="47"/>
      <c r="Z104" s="47"/>
    </row>
    <row r="105" spans="1:26" ht="19.5" customHeight="1" x14ac:dyDescent="0.3">
      <c r="A105" s="90" t="s">
        <v>257</v>
      </c>
      <c r="B105" s="94" t="str">
        <f t="shared" ca="1" si="0"/>
        <v>Barna delta 2-Float 4mm-Low-e 4mm termó</v>
      </c>
      <c r="C105" s="90"/>
      <c r="D105" s="87" t="str">
        <f t="shared" ca="1" si="1"/>
        <v>438.00</v>
      </c>
      <c r="E105" s="90" t="s">
        <v>153</v>
      </c>
      <c r="F105" s="90"/>
      <c r="G105" s="90"/>
      <c r="H105" s="87" t="str">
        <f t="shared" ca="1" si="2"/>
        <v>373.00</v>
      </c>
      <c r="I105" s="90" t="s">
        <v>153</v>
      </c>
      <c r="J105" s="47" t="str">
        <f t="shared" ca="1" si="3"/>
        <v>Triplex</v>
      </c>
      <c r="K105" s="47"/>
      <c r="L105" s="47"/>
      <c r="M105" s="47"/>
      <c r="N105" s="90" t="s">
        <v>257</v>
      </c>
      <c r="O105" s="87" t="str">
        <f t="shared" ca="1" si="4"/>
        <v>373.00</v>
      </c>
      <c r="P105" s="89">
        <f t="shared" ca="1" si="5"/>
        <v>343.80869565217392</v>
      </c>
      <c r="Q105" s="90"/>
      <c r="R105" s="90"/>
      <c r="S105" s="91">
        <f t="shared" ca="1" si="6"/>
        <v>57.782974059188902</v>
      </c>
      <c r="T105" s="91">
        <f t="shared" ca="1" si="7"/>
        <v>68.76173913043479</v>
      </c>
      <c r="U105" s="92">
        <f t="shared" ca="1" si="8"/>
        <v>343.80869565217392</v>
      </c>
      <c r="V105" s="93"/>
      <c r="W105" s="47"/>
      <c r="X105" s="47"/>
      <c r="Y105" s="47"/>
      <c r="Z105" s="47"/>
    </row>
    <row r="106" spans="1:26" ht="19.5" customHeight="1" x14ac:dyDescent="0.3">
      <c r="A106" s="90" t="s">
        <v>258</v>
      </c>
      <c r="B106" s="94" t="str">
        <f t="shared" ca="1" si="0"/>
        <v>Feher screen-Float 4mm termó</v>
      </c>
      <c r="C106" s="90"/>
      <c r="D106" s="87" t="str">
        <f t="shared" ca="1" si="1"/>
        <v>228.00</v>
      </c>
      <c r="E106" s="90" t="s">
        <v>153</v>
      </c>
      <c r="F106" s="90"/>
      <c r="G106" s="90"/>
      <c r="H106" s="87" t="str">
        <f t="shared" ca="1" si="2"/>
        <v>194.00</v>
      </c>
      <c r="I106" s="90" t="s">
        <v>153</v>
      </c>
      <c r="J106" s="47" t="str">
        <f t="shared" ca="1" si="3"/>
        <v>Duplex</v>
      </c>
      <c r="K106" s="47"/>
      <c r="L106" s="47"/>
      <c r="M106" s="47"/>
      <c r="N106" s="90" t="s">
        <v>258</v>
      </c>
      <c r="O106" s="87" t="str">
        <f t="shared" ca="1" si="4"/>
        <v>194.00</v>
      </c>
      <c r="P106" s="89">
        <f t="shared" ca="1" si="5"/>
        <v>178.81739130434784</v>
      </c>
      <c r="Q106" s="90"/>
      <c r="R106" s="90"/>
      <c r="S106" s="91">
        <f t="shared" ca="1" si="6"/>
        <v>30.053343076360981</v>
      </c>
      <c r="T106" s="91">
        <f t="shared" ca="1" si="7"/>
        <v>35.763478260869569</v>
      </c>
      <c r="U106" s="92">
        <f t="shared" ca="1" si="8"/>
        <v>178.81739130434784</v>
      </c>
      <c r="V106" s="93"/>
      <c r="W106" s="47"/>
      <c r="X106" s="47"/>
      <c r="Y106" s="47"/>
      <c r="Z106" s="47"/>
    </row>
    <row r="107" spans="1:26" ht="19.5" customHeight="1" x14ac:dyDescent="0.3">
      <c r="A107" s="90" t="s">
        <v>259</v>
      </c>
      <c r="B107" s="94" t="str">
        <f t="shared" ca="1" si="0"/>
        <v>Lowe 6 mm-Float 6mm termó</v>
      </c>
      <c r="C107" s="90"/>
      <c r="D107" s="87" t="str">
        <f t="shared" ca="1" si="1"/>
        <v>336.00</v>
      </c>
      <c r="E107" s="90" t="s">
        <v>153</v>
      </c>
      <c r="F107" s="90"/>
      <c r="G107" s="90"/>
      <c r="H107" s="87" t="str">
        <f t="shared" ca="1" si="2"/>
        <v>286.00</v>
      </c>
      <c r="I107" s="90" t="s">
        <v>153</v>
      </c>
      <c r="J107" s="47" t="str">
        <f t="shared" ca="1" si="3"/>
        <v>Duplex</v>
      </c>
      <c r="K107" s="47"/>
      <c r="L107" s="47"/>
      <c r="M107" s="47"/>
      <c r="N107" s="90" t="s">
        <v>259</v>
      </c>
      <c r="O107" s="87" t="str">
        <f t="shared" ca="1" si="4"/>
        <v>286.00</v>
      </c>
      <c r="P107" s="89">
        <f t="shared" ca="1" si="5"/>
        <v>263.61739130434785</v>
      </c>
      <c r="Q107" s="90"/>
      <c r="R107" s="90"/>
      <c r="S107" s="91">
        <f t="shared" ca="1" si="6"/>
        <v>44.305443916697115</v>
      </c>
      <c r="T107" s="91">
        <f t="shared" ca="1" si="7"/>
        <v>52.72347826086957</v>
      </c>
      <c r="U107" s="92">
        <f t="shared" ca="1" si="8"/>
        <v>263.61739130434785</v>
      </c>
      <c r="V107" s="93"/>
      <c r="W107" s="47"/>
      <c r="X107" s="47"/>
      <c r="Y107" s="47"/>
      <c r="Z107" s="47"/>
    </row>
    <row r="108" spans="1:26" ht="19.5" customHeight="1" x14ac:dyDescent="0.3">
      <c r="A108" s="90" t="s">
        <v>260</v>
      </c>
      <c r="B108" s="94" t="str">
        <f t="shared" ca="1" si="0"/>
        <v>Fustos 4mm-Low-e 4mm-Low-e 4mm termó</v>
      </c>
      <c r="C108" s="90"/>
      <c r="D108" s="87" t="str">
        <f t="shared" ca="1" si="1"/>
        <v>438.00</v>
      </c>
      <c r="E108" s="90" t="s">
        <v>153</v>
      </c>
      <c r="F108" s="90"/>
      <c r="G108" s="90"/>
      <c r="H108" s="87" t="str">
        <f t="shared" ca="1" si="2"/>
        <v>373.00</v>
      </c>
      <c r="I108" s="90" t="s">
        <v>153</v>
      </c>
      <c r="J108" s="47" t="str">
        <f t="shared" ca="1" si="3"/>
        <v>Triplex</v>
      </c>
      <c r="K108" s="47"/>
      <c r="L108" s="47"/>
      <c r="M108" s="47"/>
      <c r="N108" s="90" t="s">
        <v>260</v>
      </c>
      <c r="O108" s="87" t="str">
        <f t="shared" ca="1" si="4"/>
        <v>373.00</v>
      </c>
      <c r="P108" s="89">
        <f t="shared" ca="1" si="5"/>
        <v>343.80869565217392</v>
      </c>
      <c r="Q108" s="90"/>
      <c r="R108" s="90"/>
      <c r="S108" s="91">
        <f t="shared" ca="1" si="6"/>
        <v>57.782974059188902</v>
      </c>
      <c r="T108" s="91">
        <f t="shared" ca="1" si="7"/>
        <v>68.76173913043479</v>
      </c>
      <c r="U108" s="92">
        <f t="shared" ca="1" si="8"/>
        <v>343.80869565217392</v>
      </c>
      <c r="V108" s="93"/>
      <c r="W108" s="47"/>
      <c r="X108" s="47"/>
      <c r="Y108" s="47"/>
      <c r="Z108" s="47"/>
    </row>
    <row r="109" spans="1:26" ht="19.5" customHeight="1" x14ac:dyDescent="0.3">
      <c r="A109" s="90" t="s">
        <v>261</v>
      </c>
      <c r="B109" s="94" t="str">
        <f t="shared" ca="1" si="0"/>
        <v>4 evszakos-Float 4mm termó</v>
      </c>
      <c r="C109" s="90"/>
      <c r="D109" s="87" t="str">
        <f t="shared" ca="1" si="1"/>
        <v>174.00</v>
      </c>
      <c r="E109" s="90" t="s">
        <v>153</v>
      </c>
      <c r="F109" s="90"/>
      <c r="G109" s="90"/>
      <c r="H109" s="87" t="str">
        <f t="shared" ca="1" si="2"/>
        <v>148.00</v>
      </c>
      <c r="I109" s="90" t="s">
        <v>153</v>
      </c>
      <c r="J109" s="47" t="str">
        <f t="shared" ca="1" si="3"/>
        <v>Duplex</v>
      </c>
      <c r="K109" s="47"/>
      <c r="L109" s="47"/>
      <c r="M109" s="47"/>
      <c r="N109" s="90" t="s">
        <v>261</v>
      </c>
      <c r="O109" s="87" t="str">
        <f t="shared" ca="1" si="4"/>
        <v>148.00</v>
      </c>
      <c r="P109" s="89">
        <f t="shared" ca="1" si="5"/>
        <v>136.41739130434783</v>
      </c>
      <c r="Q109" s="90"/>
      <c r="R109" s="90"/>
      <c r="S109" s="91">
        <f t="shared" ca="1" si="6"/>
        <v>22.927292656192911</v>
      </c>
      <c r="T109" s="91">
        <f t="shared" ca="1" si="7"/>
        <v>27.283478260869565</v>
      </c>
      <c r="U109" s="92">
        <f t="shared" ca="1" si="8"/>
        <v>136.41739130434783</v>
      </c>
      <c r="V109" s="93"/>
      <c r="W109" s="47"/>
      <c r="X109" s="47"/>
      <c r="Y109" s="47"/>
      <c r="Z109" s="47"/>
    </row>
    <row r="110" spans="1:26" ht="19.5" customHeight="1" x14ac:dyDescent="0.3">
      <c r="A110" s="90" t="s">
        <v>262</v>
      </c>
      <c r="B110" s="94" t="str">
        <f t="shared" ca="1" si="0"/>
        <v>Duplex 3.1.3.-Homokfujt 4mm-Duplex 3.1.3. termó</v>
      </c>
      <c r="C110" s="90"/>
      <c r="D110" s="87" t="str">
        <f t="shared" ca="1" si="1"/>
        <v>496.00</v>
      </c>
      <c r="E110" s="90" t="s">
        <v>153</v>
      </c>
      <c r="F110" s="90"/>
      <c r="G110" s="90"/>
      <c r="H110" s="87" t="str">
        <f t="shared" ca="1" si="2"/>
        <v>422.00</v>
      </c>
      <c r="I110" s="90" t="s">
        <v>153</v>
      </c>
      <c r="J110" s="47" t="str">
        <f t="shared" ca="1" si="3"/>
        <v>Triplex</v>
      </c>
      <c r="K110" s="47"/>
      <c r="L110" s="47"/>
      <c r="M110" s="47"/>
      <c r="N110" s="90" t="s">
        <v>262</v>
      </c>
      <c r="O110" s="87" t="str">
        <f t="shared" ca="1" si="4"/>
        <v>422.00</v>
      </c>
      <c r="P110" s="89">
        <f t="shared" ca="1" si="5"/>
        <v>388.97391304347826</v>
      </c>
      <c r="Q110" s="90"/>
      <c r="R110" s="90"/>
      <c r="S110" s="91">
        <f t="shared" ca="1" si="6"/>
        <v>65.373766898063579</v>
      </c>
      <c r="T110" s="91">
        <f t="shared" ca="1" si="7"/>
        <v>77.794782608695655</v>
      </c>
      <c r="U110" s="92">
        <f t="shared" ca="1" si="8"/>
        <v>388.97391304347826</v>
      </c>
      <c r="V110" s="93"/>
      <c r="W110" s="47"/>
      <c r="X110" s="47"/>
      <c r="Y110" s="47"/>
      <c r="Z110" s="47"/>
    </row>
    <row r="111" spans="1:26" ht="19.5" customHeight="1" x14ac:dyDescent="0.3">
      <c r="A111" s="90" t="s">
        <v>263</v>
      </c>
      <c r="B111" s="94" t="str">
        <f t="shared" ca="1" si="0"/>
        <v>Reflexios 4mm-Lowe 6 mm termó</v>
      </c>
      <c r="C111" s="90"/>
      <c r="D111" s="87" t="str">
        <f t="shared" ca="1" si="1"/>
        <v>393.00</v>
      </c>
      <c r="E111" s="90" t="s">
        <v>153</v>
      </c>
      <c r="F111" s="90"/>
      <c r="G111" s="90"/>
      <c r="H111" s="87" t="str">
        <f t="shared" ca="1" si="2"/>
        <v>335.00</v>
      </c>
      <c r="I111" s="90" t="s">
        <v>153</v>
      </c>
      <c r="J111" s="47" t="str">
        <f t="shared" ca="1" si="3"/>
        <v>Duplex</v>
      </c>
      <c r="K111" s="47"/>
      <c r="L111" s="47"/>
      <c r="M111" s="47"/>
      <c r="N111" s="90" t="s">
        <v>263</v>
      </c>
      <c r="O111" s="87" t="str">
        <f t="shared" ca="1" si="4"/>
        <v>335.00</v>
      </c>
      <c r="P111" s="89">
        <f t="shared" ca="1" si="5"/>
        <v>308.78260869565219</v>
      </c>
      <c r="Q111" s="90"/>
      <c r="R111" s="90"/>
      <c r="S111" s="91">
        <f t="shared" ca="1" si="6"/>
        <v>51.896236755571792</v>
      </c>
      <c r="T111" s="91">
        <f t="shared" ca="1" si="7"/>
        <v>61.756521739130434</v>
      </c>
      <c r="U111" s="92">
        <f t="shared" ca="1" si="8"/>
        <v>308.78260869565219</v>
      </c>
      <c r="V111" s="93"/>
      <c r="W111" s="47"/>
      <c r="X111" s="47"/>
      <c r="Y111" s="47"/>
      <c r="Z111" s="47"/>
    </row>
    <row r="112" spans="1:26" ht="19.5" customHeight="1" x14ac:dyDescent="0.3">
      <c r="A112" s="90" t="s">
        <v>264</v>
      </c>
      <c r="B112" s="94" t="str">
        <f t="shared" ca="1" si="0"/>
        <v>Reflexios 4mm-Homokfujt 4mm-Low-e 4mm termó</v>
      </c>
      <c r="C112" s="90"/>
      <c r="D112" s="87" t="str">
        <f t="shared" ca="1" si="1"/>
        <v>471.00</v>
      </c>
      <c r="E112" s="90" t="s">
        <v>153</v>
      </c>
      <c r="F112" s="90"/>
      <c r="G112" s="90"/>
      <c r="H112" s="87" t="str">
        <f t="shared" ca="1" si="2"/>
        <v>401.00</v>
      </c>
      <c r="I112" s="90" t="s">
        <v>153</v>
      </c>
      <c r="J112" s="47" t="str">
        <f t="shared" ca="1" si="3"/>
        <v>Triplex</v>
      </c>
      <c r="K112" s="47"/>
      <c r="L112" s="47"/>
      <c r="M112" s="47"/>
      <c r="N112" s="90" t="s">
        <v>264</v>
      </c>
      <c r="O112" s="87" t="str">
        <f t="shared" ca="1" si="4"/>
        <v>401.00</v>
      </c>
      <c r="P112" s="89">
        <f t="shared" ca="1" si="5"/>
        <v>369.61739130434785</v>
      </c>
      <c r="Q112" s="90"/>
      <c r="R112" s="90"/>
      <c r="S112" s="91">
        <f t="shared" ca="1" si="6"/>
        <v>62.120569967117291</v>
      </c>
      <c r="T112" s="91">
        <f t="shared" ca="1" si="7"/>
        <v>73.923478260869572</v>
      </c>
      <c r="U112" s="92">
        <f t="shared" ca="1" si="8"/>
        <v>369.61739130434785</v>
      </c>
      <c r="V112" s="93"/>
      <c r="W112" s="47"/>
      <c r="X112" s="47"/>
      <c r="Y112" s="47"/>
      <c r="Z112" s="47"/>
    </row>
    <row r="113" spans="1:26" ht="19.5" customHeight="1" x14ac:dyDescent="0.3">
      <c r="A113" s="90" t="s">
        <v>265</v>
      </c>
      <c r="B113" s="94" t="str">
        <f t="shared" ca="1" si="0"/>
        <v>Fustos 4mm-Float 4mm-Low-e 4mm termó</v>
      </c>
      <c r="C113" s="90"/>
      <c r="D113" s="87" t="str">
        <f t="shared" ca="1" si="1"/>
        <v>416.00</v>
      </c>
      <c r="E113" s="90" t="s">
        <v>153</v>
      </c>
      <c r="F113" s="90"/>
      <c r="G113" s="90"/>
      <c r="H113" s="87" t="str">
        <f t="shared" ca="1" si="2"/>
        <v>354.00</v>
      </c>
      <c r="I113" s="90" t="s">
        <v>153</v>
      </c>
      <c r="J113" s="47" t="str">
        <f t="shared" ca="1" si="3"/>
        <v>Triplex</v>
      </c>
      <c r="K113" s="47"/>
      <c r="L113" s="47"/>
      <c r="M113" s="47"/>
      <c r="N113" s="90" t="s">
        <v>265</v>
      </c>
      <c r="O113" s="87" t="str">
        <f t="shared" ca="1" si="4"/>
        <v>354.00</v>
      </c>
      <c r="P113" s="89">
        <f t="shared" ca="1" si="5"/>
        <v>326.29565217391303</v>
      </c>
      <c r="Q113" s="90"/>
      <c r="R113" s="90"/>
      <c r="S113" s="91">
        <f t="shared" ca="1" si="6"/>
        <v>54.83960540738034</v>
      </c>
      <c r="T113" s="91">
        <f t="shared" ca="1" si="7"/>
        <v>65.259130434782605</v>
      </c>
      <c r="U113" s="92">
        <f t="shared" ca="1" si="8"/>
        <v>326.29565217391303</v>
      </c>
      <c r="V113" s="93"/>
      <c r="W113" s="47"/>
      <c r="X113" s="47"/>
      <c r="Y113" s="47"/>
      <c r="Z113" s="47"/>
    </row>
    <row r="114" spans="1:26" ht="19.5" customHeight="1" x14ac:dyDescent="0.3">
      <c r="A114" s="90" t="s">
        <v>266</v>
      </c>
      <c r="B114" s="94" t="str">
        <f t="shared" ca="1" si="0"/>
        <v>Feher screen-Low-e 4mm-Low-e 4mm termó</v>
      </c>
      <c r="C114" s="90"/>
      <c r="D114" s="87" t="str">
        <f t="shared" ca="1" si="1"/>
        <v>418.00</v>
      </c>
      <c r="E114" s="90" t="s">
        <v>153</v>
      </c>
      <c r="F114" s="90"/>
      <c r="G114" s="90"/>
      <c r="H114" s="87" t="str">
        <f t="shared" ca="1" si="2"/>
        <v>356.00</v>
      </c>
      <c r="I114" s="90" t="s">
        <v>153</v>
      </c>
      <c r="J114" s="47" t="str">
        <f t="shared" ca="1" si="3"/>
        <v>Triplex</v>
      </c>
      <c r="K114" s="47"/>
      <c r="L114" s="47"/>
      <c r="M114" s="47"/>
      <c r="N114" s="90" t="s">
        <v>266</v>
      </c>
      <c r="O114" s="87" t="str">
        <f t="shared" ca="1" si="4"/>
        <v>356.00</v>
      </c>
      <c r="P114" s="89">
        <f t="shared" ca="1" si="5"/>
        <v>328.1391304347826</v>
      </c>
      <c r="Q114" s="90"/>
      <c r="R114" s="90"/>
      <c r="S114" s="91">
        <f t="shared" ca="1" si="6"/>
        <v>55.14943368651808</v>
      </c>
      <c r="T114" s="91">
        <f t="shared" ca="1" si="7"/>
        <v>65.627826086956517</v>
      </c>
      <c r="U114" s="92">
        <f t="shared" ca="1" si="8"/>
        <v>328.1391304347826</v>
      </c>
      <c r="V114" s="93"/>
      <c r="W114" s="47"/>
      <c r="X114" s="47"/>
      <c r="Y114" s="47"/>
      <c r="Z114" s="47"/>
    </row>
    <row r="115" spans="1:26" ht="19.5" customHeight="1" x14ac:dyDescent="0.3">
      <c r="A115" s="90" t="s">
        <v>267</v>
      </c>
      <c r="B115" s="94" t="str">
        <f t="shared" ca="1" si="0"/>
        <v>Tukor 4mm-Homokfujt 4mm termó</v>
      </c>
      <c r="C115" s="90"/>
      <c r="D115" s="87" t="str">
        <f t="shared" ca="1" si="1"/>
        <v>327.00</v>
      </c>
      <c r="E115" s="90" t="s">
        <v>153</v>
      </c>
      <c r="F115" s="90"/>
      <c r="G115" s="90"/>
      <c r="H115" s="87" t="str">
        <f t="shared" ca="1" si="2"/>
        <v>278.00</v>
      </c>
      <c r="I115" s="90" t="s">
        <v>153</v>
      </c>
      <c r="J115" s="47" t="str">
        <f t="shared" ca="1" si="3"/>
        <v>Duplex</v>
      </c>
      <c r="K115" s="47"/>
      <c r="L115" s="47"/>
      <c r="M115" s="47"/>
      <c r="N115" s="90" t="s">
        <v>267</v>
      </c>
      <c r="O115" s="87" t="str">
        <f t="shared" ca="1" si="4"/>
        <v>278.00</v>
      </c>
      <c r="P115" s="89">
        <f t="shared" ca="1" si="5"/>
        <v>256.24347826086955</v>
      </c>
      <c r="Q115" s="90"/>
      <c r="R115" s="90"/>
      <c r="S115" s="91">
        <f t="shared" ca="1" si="6"/>
        <v>43.066130800146141</v>
      </c>
      <c r="T115" s="91">
        <f t="shared" ca="1" si="7"/>
        <v>51.248695652173907</v>
      </c>
      <c r="U115" s="92">
        <f t="shared" ca="1" si="8"/>
        <v>256.24347826086955</v>
      </c>
      <c r="V115" s="93"/>
      <c r="W115" s="47"/>
      <c r="X115" s="47"/>
      <c r="Y115" s="47"/>
      <c r="Z115" s="47"/>
    </row>
    <row r="116" spans="1:26" ht="19.5" customHeight="1" x14ac:dyDescent="0.3">
      <c r="A116" s="90" t="s">
        <v>268</v>
      </c>
      <c r="B116" s="94" t="str">
        <f t="shared" ca="1" si="0"/>
        <v>Satin bronz-Float 4mm-Low-e 4mm termó</v>
      </c>
      <c r="C116" s="90"/>
      <c r="D116" s="87" t="str">
        <f t="shared" ca="1" si="1"/>
        <v>379.00</v>
      </c>
      <c r="E116" s="90" t="s">
        <v>153</v>
      </c>
      <c r="F116" s="90"/>
      <c r="G116" s="90"/>
      <c r="H116" s="87" t="str">
        <f t="shared" ca="1" si="2"/>
        <v>323.00</v>
      </c>
      <c r="I116" s="90" t="s">
        <v>153</v>
      </c>
      <c r="J116" s="47" t="str">
        <f t="shared" ca="1" si="3"/>
        <v>Triplex</v>
      </c>
      <c r="K116" s="47"/>
      <c r="L116" s="47"/>
      <c r="M116" s="47"/>
      <c r="N116" s="90" t="s">
        <v>268</v>
      </c>
      <c r="O116" s="87" t="str">
        <f t="shared" ca="1" si="4"/>
        <v>323.00</v>
      </c>
      <c r="P116" s="89">
        <f t="shared" ca="1" si="5"/>
        <v>297.7217391304348</v>
      </c>
      <c r="Q116" s="90"/>
      <c r="R116" s="90"/>
      <c r="S116" s="91">
        <f t="shared" ca="1" si="6"/>
        <v>50.037267080745352</v>
      </c>
      <c r="T116" s="91">
        <f t="shared" ca="1" si="7"/>
        <v>59.544347826086963</v>
      </c>
      <c r="U116" s="92">
        <f t="shared" ca="1" si="8"/>
        <v>297.7217391304348</v>
      </c>
      <c r="V116" s="93"/>
      <c r="W116" s="47"/>
      <c r="X116" s="47"/>
      <c r="Y116" s="47"/>
      <c r="Z116" s="47"/>
    </row>
    <row r="117" spans="1:26" ht="19.5" customHeight="1" x14ac:dyDescent="0.3">
      <c r="A117" s="90" t="s">
        <v>269</v>
      </c>
      <c r="B117" s="94" t="str">
        <f t="shared" ca="1" si="0"/>
        <v>Feher csincsilla-Float 4mm-Low-e 4mm termó</v>
      </c>
      <c r="C117" s="90"/>
      <c r="D117" s="87" t="str">
        <f t="shared" ca="1" si="1"/>
        <v>403.00</v>
      </c>
      <c r="E117" s="90" t="s">
        <v>153</v>
      </c>
      <c r="F117" s="90"/>
      <c r="G117" s="90"/>
      <c r="H117" s="87" t="str">
        <f t="shared" ca="1" si="2"/>
        <v>343.00</v>
      </c>
      <c r="I117" s="90" t="s">
        <v>153</v>
      </c>
      <c r="J117" s="47" t="str">
        <f t="shared" ca="1" si="3"/>
        <v>Triplex</v>
      </c>
      <c r="K117" s="47"/>
      <c r="L117" s="47"/>
      <c r="M117" s="47"/>
      <c r="N117" s="90" t="s">
        <v>269</v>
      </c>
      <c r="O117" s="87" t="str">
        <f t="shared" ca="1" si="4"/>
        <v>343.00</v>
      </c>
      <c r="P117" s="89">
        <f t="shared" ca="1" si="5"/>
        <v>316.15652173913043</v>
      </c>
      <c r="Q117" s="90"/>
      <c r="R117" s="90"/>
      <c r="S117" s="91">
        <f t="shared" ca="1" si="6"/>
        <v>53.135549872122759</v>
      </c>
      <c r="T117" s="91">
        <f t="shared" ca="1" si="7"/>
        <v>63.231304347826082</v>
      </c>
      <c r="U117" s="92">
        <f t="shared" ca="1" si="8"/>
        <v>316.15652173913043</v>
      </c>
      <c r="V117" s="93"/>
      <c r="W117" s="47"/>
      <c r="X117" s="47"/>
      <c r="Y117" s="47"/>
      <c r="Z117" s="47"/>
    </row>
    <row r="118" spans="1:26" ht="14.25" customHeight="1" x14ac:dyDescent="0.3">
      <c r="A118" s="86" t="s">
        <v>270</v>
      </c>
      <c r="B118" s="94" t="str">
        <f t="shared" ca="1" si="0"/>
        <v>4 evszakos-Float 6mm-Low-e 4mm termó</v>
      </c>
      <c r="C118" s="86"/>
      <c r="D118" s="87" t="str">
        <f t="shared" ca="1" si="1"/>
        <v>384.00</v>
      </c>
      <c r="E118" s="90" t="s">
        <v>153</v>
      </c>
      <c r="F118" s="90"/>
      <c r="G118" s="90"/>
      <c r="H118" s="87" t="str">
        <f t="shared" ca="1" si="2"/>
        <v>327.00</v>
      </c>
      <c r="I118" s="90" t="s">
        <v>153</v>
      </c>
      <c r="J118" s="47" t="str">
        <f t="shared" ca="1" si="3"/>
        <v>Triplex</v>
      </c>
      <c r="M118" s="47"/>
      <c r="N118" s="90" t="s">
        <v>271</v>
      </c>
      <c r="O118" s="90">
        <v>255</v>
      </c>
      <c r="P118" s="89">
        <f t="shared" si="5"/>
        <v>235.04347826086956</v>
      </c>
      <c r="Q118" s="90"/>
      <c r="R118" s="90"/>
      <c r="S118" s="91">
        <f t="shared" si="6"/>
        <v>39.503105590062113</v>
      </c>
      <c r="T118" s="91">
        <f t="shared" si="7"/>
        <v>47.008695652173913</v>
      </c>
      <c r="U118" s="92">
        <f t="shared" si="8"/>
        <v>235.04347826086956</v>
      </c>
      <c r="V118" s="93"/>
    </row>
    <row r="119" spans="1:26" ht="14.25" customHeight="1" x14ac:dyDescent="0.3">
      <c r="A119" s="86" t="s">
        <v>272</v>
      </c>
      <c r="B119" s="94" t="str">
        <f t="shared" ca="1" si="0"/>
        <v>Duplex 3.1.3.-Feher screen-Low-e 4mm termó</v>
      </c>
      <c r="C119" s="86"/>
      <c r="D119" s="87" t="str">
        <f t="shared" ca="1" si="1"/>
        <v>451.00</v>
      </c>
      <c r="E119" s="90" t="s">
        <v>153</v>
      </c>
      <c r="F119" s="90"/>
      <c r="G119" s="90"/>
      <c r="H119" s="87" t="str">
        <f t="shared" ca="1" si="2"/>
        <v>384.00</v>
      </c>
      <c r="I119" s="90" t="s">
        <v>153</v>
      </c>
      <c r="J119" s="47" t="str">
        <f t="shared" ca="1" si="3"/>
        <v>Triplex</v>
      </c>
      <c r="M119" s="47"/>
      <c r="N119" s="90" t="s">
        <v>272</v>
      </c>
      <c r="O119" s="90">
        <v>346</v>
      </c>
      <c r="P119" s="89">
        <f t="shared" si="5"/>
        <v>318.92173913043479</v>
      </c>
      <c r="Q119" s="90"/>
      <c r="R119" s="90"/>
      <c r="S119" s="91">
        <f t="shared" si="6"/>
        <v>53.600292290829373</v>
      </c>
      <c r="T119" s="91">
        <f t="shared" si="7"/>
        <v>63.784347826086957</v>
      </c>
      <c r="U119" s="92">
        <f t="shared" si="8"/>
        <v>318.92173913043479</v>
      </c>
      <c r="V119" s="93"/>
    </row>
    <row r="120" spans="1:26" ht="14.25" customHeight="1" x14ac:dyDescent="0.3">
      <c r="A120" s="86" t="s">
        <v>273</v>
      </c>
      <c r="B120" s="94" t="e">
        <f t="shared" ca="1" si="0"/>
        <v>#N/A</v>
      </c>
      <c r="C120" s="86"/>
      <c r="D120" s="90" t="e">
        <f t="shared" ca="1" si="1"/>
        <v>#N/A</v>
      </c>
      <c r="E120" s="90" t="s">
        <v>153</v>
      </c>
      <c r="F120" s="90"/>
      <c r="G120" s="90"/>
      <c r="H120" s="90" t="e">
        <f t="shared" ca="1" si="2"/>
        <v>#N/A</v>
      </c>
      <c r="I120" s="90" t="s">
        <v>153</v>
      </c>
      <c r="J120" s="47" t="e">
        <f t="shared" ca="1" si="3"/>
        <v>#N/A</v>
      </c>
      <c r="M120" s="47"/>
      <c r="N120" s="90" t="s">
        <v>274</v>
      </c>
      <c r="O120" s="90">
        <v>417</v>
      </c>
      <c r="P120" s="89">
        <f t="shared" si="5"/>
        <v>384.36521739130433</v>
      </c>
      <c r="Q120" s="90"/>
      <c r="R120" s="90"/>
      <c r="S120" s="91">
        <f t="shared" si="6"/>
        <v>64.599196200219211</v>
      </c>
      <c r="T120" s="91">
        <f t="shared" si="7"/>
        <v>76.873043478260868</v>
      </c>
      <c r="U120" s="92">
        <f t="shared" si="8"/>
        <v>384.36521739130433</v>
      </c>
      <c r="V120" s="93"/>
    </row>
    <row r="121" spans="1:26" ht="14.25" customHeight="1" x14ac:dyDescent="0.3">
      <c r="A121" s="86" t="s">
        <v>275</v>
      </c>
      <c r="B121" s="94" t="str">
        <f t="shared" ca="1" si="0"/>
        <v>Lowe 6 mm-4 evszakos termó</v>
      </c>
      <c r="C121" s="86"/>
      <c r="D121" s="87" t="str">
        <f t="shared" ca="1" si="1"/>
        <v>346.00</v>
      </c>
      <c r="E121" s="90" t="s">
        <v>153</v>
      </c>
      <c r="F121" s="90"/>
      <c r="G121" s="90"/>
      <c r="H121" s="87" t="str">
        <f t="shared" ca="1" si="2"/>
        <v>295.00</v>
      </c>
      <c r="I121" s="90" t="s">
        <v>153</v>
      </c>
      <c r="J121" s="47" t="str">
        <f t="shared" ca="1" si="3"/>
        <v>Duplex</v>
      </c>
      <c r="M121" s="47"/>
      <c r="N121" s="90" t="s">
        <v>276</v>
      </c>
      <c r="O121" s="90">
        <v>238</v>
      </c>
      <c r="P121" s="89">
        <f t="shared" si="5"/>
        <v>219.37391304347827</v>
      </c>
      <c r="Q121" s="90"/>
      <c r="R121" s="90"/>
      <c r="S121" s="91">
        <f t="shared" si="6"/>
        <v>36.869565217391305</v>
      </c>
      <c r="T121" s="91">
        <f t="shared" si="7"/>
        <v>43.874782608695654</v>
      </c>
      <c r="U121" s="92">
        <f t="shared" si="8"/>
        <v>219.37391304347827</v>
      </c>
      <c r="V121" s="93"/>
    </row>
    <row r="122" spans="1:26" ht="14.25" customHeight="1" x14ac:dyDescent="0.3">
      <c r="A122" s="86" t="s">
        <v>259</v>
      </c>
      <c r="B122" s="94" t="str">
        <f t="shared" ca="1" si="0"/>
        <v>Lowe 6 mm-Float 6mm termó</v>
      </c>
      <c r="C122" s="86"/>
      <c r="D122" s="87" t="str">
        <f t="shared" ca="1" si="1"/>
        <v>336.00</v>
      </c>
      <c r="E122" s="90" t="s">
        <v>153</v>
      </c>
      <c r="F122" s="90"/>
      <c r="G122" s="90"/>
      <c r="H122" s="87" t="str">
        <f t="shared" ca="1" si="2"/>
        <v>286.00</v>
      </c>
      <c r="I122" s="90" t="s">
        <v>153</v>
      </c>
      <c r="J122" s="47" t="str">
        <f t="shared" ca="1" si="3"/>
        <v>Duplex</v>
      </c>
      <c r="M122" s="47"/>
      <c r="N122" s="90" t="s">
        <v>277</v>
      </c>
      <c r="O122" s="90">
        <v>378</v>
      </c>
      <c r="P122" s="89">
        <f t="shared" si="5"/>
        <v>348.4173913043478</v>
      </c>
      <c r="Q122" s="90"/>
      <c r="R122" s="90"/>
      <c r="S122" s="91">
        <f t="shared" si="6"/>
        <v>58.557544757033249</v>
      </c>
      <c r="T122" s="91">
        <f t="shared" si="7"/>
        <v>69.683478260869563</v>
      </c>
      <c r="U122" s="92">
        <f t="shared" si="8"/>
        <v>348.4173913043478</v>
      </c>
      <c r="V122" s="93"/>
    </row>
    <row r="123" spans="1:26" ht="14.25" customHeight="1" x14ac:dyDescent="0.3">
      <c r="A123" s="86" t="s">
        <v>278</v>
      </c>
      <c r="B123" s="94" t="e">
        <f t="shared" ca="1" si="0"/>
        <v>#N/A</v>
      </c>
      <c r="C123" s="86"/>
      <c r="D123" s="90" t="e">
        <f t="shared" ca="1" si="1"/>
        <v>#N/A</v>
      </c>
      <c r="E123" s="90" t="s">
        <v>153</v>
      </c>
      <c r="F123" s="90"/>
      <c r="G123" s="90"/>
      <c r="H123" s="90" t="e">
        <f t="shared" ca="1" si="2"/>
        <v>#N/A</v>
      </c>
      <c r="I123" s="90" t="s">
        <v>153</v>
      </c>
      <c r="J123" s="47" t="e">
        <f t="shared" ca="1" si="3"/>
        <v>#N/A</v>
      </c>
      <c r="M123" s="47"/>
      <c r="N123" s="90" t="s">
        <v>279</v>
      </c>
      <c r="O123" s="90">
        <v>463</v>
      </c>
      <c r="P123" s="89">
        <f t="shared" si="5"/>
        <v>426.76521739130436</v>
      </c>
      <c r="Q123" s="90"/>
      <c r="R123" s="90"/>
      <c r="S123" s="91">
        <f t="shared" si="6"/>
        <v>71.725246620387281</v>
      </c>
      <c r="T123" s="91">
        <f t="shared" si="7"/>
        <v>85.353043478260872</v>
      </c>
      <c r="U123" s="92">
        <f t="shared" si="8"/>
        <v>426.76521739130436</v>
      </c>
      <c r="V123" s="93"/>
    </row>
    <row r="124" spans="1:26" ht="14.25" customHeight="1" x14ac:dyDescent="0.3">
      <c r="A124" s="86" t="s">
        <v>280</v>
      </c>
      <c r="B124" s="94" t="str">
        <f t="shared" ca="1" si="0"/>
        <v>Tuzallo -Lowe 6 mm termó</v>
      </c>
      <c r="C124" s="86"/>
      <c r="D124" s="87" t="str">
        <f t="shared" ca="1" si="1"/>
        <v>3,252.00</v>
      </c>
      <c r="E124" s="90" t="s">
        <v>153</v>
      </c>
      <c r="F124" s="90"/>
      <c r="G124" s="90"/>
      <c r="H124" s="87" t="str">
        <f t="shared" ca="1" si="2"/>
        <v>2,765.00</v>
      </c>
      <c r="I124" s="90" t="s">
        <v>153</v>
      </c>
      <c r="J124" s="47" t="str">
        <f t="shared" ca="1" si="3"/>
        <v>Duplex</v>
      </c>
      <c r="M124" s="47"/>
      <c r="N124" s="90" t="s">
        <v>281</v>
      </c>
      <c r="O124" s="90">
        <v>314</v>
      </c>
      <c r="P124" s="89">
        <f t="shared" si="5"/>
        <v>289.42608695652171</v>
      </c>
      <c r="Q124" s="90"/>
      <c r="R124" s="90"/>
      <c r="S124" s="91">
        <f t="shared" si="6"/>
        <v>48.643039824625504</v>
      </c>
      <c r="T124" s="91">
        <f t="shared" si="7"/>
        <v>57.885217391304344</v>
      </c>
      <c r="U124" s="92">
        <f t="shared" si="8"/>
        <v>289.42608695652171</v>
      </c>
      <c r="V124" s="93"/>
    </row>
    <row r="125" spans="1:26" ht="14.25" customHeight="1" x14ac:dyDescent="0.3">
      <c r="A125" s="86" t="s">
        <v>282</v>
      </c>
      <c r="B125" s="94" t="str">
        <f t="shared" ca="1" si="0"/>
        <v>Duplex 3.1.3.-Lowe 6 mm termó</v>
      </c>
      <c r="C125" s="86"/>
      <c r="D125" s="87" t="str">
        <f t="shared" ca="1" si="1"/>
        <v>385.00</v>
      </c>
      <c r="E125" s="90" t="s">
        <v>153</v>
      </c>
      <c r="F125" s="90"/>
      <c r="G125" s="90"/>
      <c r="H125" s="87" t="str">
        <f t="shared" ca="1" si="2"/>
        <v>328.00</v>
      </c>
      <c r="I125" s="90" t="s">
        <v>153</v>
      </c>
      <c r="J125" s="47" t="str">
        <f t="shared" ca="1" si="3"/>
        <v>Duplex</v>
      </c>
      <c r="M125" s="93"/>
      <c r="N125" s="86" t="s">
        <v>283</v>
      </c>
      <c r="O125" s="90">
        <v>234</v>
      </c>
      <c r="P125" s="90">
        <f t="shared" si="5"/>
        <v>215.68695652173912</v>
      </c>
      <c r="Q125" s="97"/>
      <c r="R125" s="97"/>
      <c r="S125" s="98">
        <f t="shared" si="6"/>
        <v>36.249908659115817</v>
      </c>
      <c r="T125" s="98">
        <f t="shared" si="7"/>
        <v>43.137391304347823</v>
      </c>
      <c r="U125" s="98">
        <f t="shared" si="8"/>
        <v>215.68695652173912</v>
      </c>
      <c r="V125" s="93"/>
    </row>
    <row r="126" spans="1:26" ht="14.25" customHeight="1" x14ac:dyDescent="0.3">
      <c r="A126" s="86" t="s">
        <v>267</v>
      </c>
      <c r="B126" s="94" t="str">
        <f t="shared" ca="1" si="0"/>
        <v>Tukor 4mm-Homokfujt 4mm termó</v>
      </c>
      <c r="C126" s="86"/>
      <c r="D126" s="87" t="str">
        <f t="shared" ca="1" si="1"/>
        <v>327.00</v>
      </c>
      <c r="E126" s="90" t="s">
        <v>153</v>
      </c>
      <c r="F126" s="90"/>
      <c r="G126" s="90"/>
      <c r="H126" s="87" t="str">
        <f t="shared" ca="1" si="2"/>
        <v>278.00</v>
      </c>
      <c r="I126" s="90" t="s">
        <v>153</v>
      </c>
      <c r="J126" s="47" t="str">
        <f t="shared" ca="1" si="3"/>
        <v>Duplex</v>
      </c>
      <c r="M126" s="93"/>
      <c r="N126" s="93"/>
      <c r="O126" s="93"/>
      <c r="P126" s="93"/>
      <c r="Q126" s="93"/>
      <c r="R126" s="93"/>
      <c r="S126" s="99"/>
      <c r="T126" s="99"/>
      <c r="U126" s="99"/>
      <c r="V126" s="93"/>
    </row>
    <row r="127" spans="1:26" ht="14.25" customHeight="1" x14ac:dyDescent="0.3">
      <c r="A127" s="86" t="s">
        <v>284</v>
      </c>
      <c r="B127" s="94" t="str">
        <f t="shared" ca="1" si="0"/>
        <v>4 evszakos-Feher screen-Low-e 4mm termó</v>
      </c>
      <c r="C127" s="86"/>
      <c r="D127" s="87" t="str">
        <f t="shared" ca="1" si="1"/>
        <v>412.00</v>
      </c>
      <c r="E127" s="90" t="s">
        <v>153</v>
      </c>
      <c r="F127" s="90"/>
      <c r="G127" s="90"/>
      <c r="H127" s="87" t="str">
        <f t="shared" ca="1" si="2"/>
        <v>351.00</v>
      </c>
      <c r="I127" s="90" t="s">
        <v>153</v>
      </c>
      <c r="J127" s="47" t="str">
        <f t="shared" ca="1" si="3"/>
        <v>Triplex</v>
      </c>
      <c r="M127" s="93"/>
      <c r="N127" s="93"/>
      <c r="O127" s="93"/>
      <c r="P127" s="93"/>
      <c r="Q127" s="93"/>
      <c r="R127" s="93"/>
      <c r="S127" s="99"/>
      <c r="T127" s="99"/>
      <c r="U127" s="99"/>
      <c r="V127" s="93"/>
    </row>
    <row r="128" spans="1:26" ht="14.25" customHeight="1" x14ac:dyDescent="0.3">
      <c r="A128" s="86" t="s">
        <v>285</v>
      </c>
      <c r="B128" s="94" t="str">
        <f t="shared" ca="1" si="0"/>
        <v>Duplex 3.1.3.-Float 4mm-Reflexios 4mm termó</v>
      </c>
      <c r="C128" s="86"/>
      <c r="D128" s="87" t="str">
        <f t="shared" ca="1" si="1"/>
        <v>458.00</v>
      </c>
      <c r="E128" s="90" t="s">
        <v>153</v>
      </c>
      <c r="F128" s="90"/>
      <c r="G128" s="90"/>
      <c r="H128" s="87" t="str">
        <f t="shared" ca="1" si="2"/>
        <v>390.00</v>
      </c>
      <c r="I128" s="90" t="s">
        <v>153</v>
      </c>
      <c r="J128" s="47" t="str">
        <f t="shared" ca="1" si="3"/>
        <v>Triplex</v>
      </c>
      <c r="M128" s="93"/>
      <c r="N128" s="93"/>
      <c r="O128" s="93"/>
      <c r="P128" s="93"/>
      <c r="Q128" s="93"/>
      <c r="R128" s="93"/>
      <c r="S128" s="99"/>
      <c r="T128" s="99"/>
      <c r="U128" s="99"/>
      <c r="V128" s="93"/>
    </row>
    <row r="129" spans="1:22" ht="14.25" customHeight="1" x14ac:dyDescent="0.3">
      <c r="A129" s="86" t="s">
        <v>286</v>
      </c>
      <c r="B129" s="94" t="str">
        <f t="shared" ca="1" si="0"/>
        <v>Mintas uveg aprokockas-Antireflex 2mm termó</v>
      </c>
      <c r="C129" s="86"/>
      <c r="D129" s="87" t="str">
        <f t="shared" ca="1" si="1"/>
        <v>334.00</v>
      </c>
      <c r="E129" s="90" t="s">
        <v>153</v>
      </c>
      <c r="F129" s="90"/>
      <c r="G129" s="90"/>
      <c r="H129" s="87" t="str">
        <f t="shared" ca="1" si="2"/>
        <v>284.00</v>
      </c>
      <c r="I129" s="90" t="s">
        <v>153</v>
      </c>
      <c r="J129" s="47" t="str">
        <f t="shared" ca="1" si="3"/>
        <v>Duplex</v>
      </c>
      <c r="M129" s="93"/>
      <c r="N129" s="93"/>
      <c r="O129" s="93"/>
      <c r="P129" s="93"/>
      <c r="Q129" s="93"/>
      <c r="R129" s="93"/>
      <c r="S129" s="99"/>
      <c r="T129" s="99"/>
      <c r="U129" s="99"/>
      <c r="V129" s="93"/>
    </row>
    <row r="130" spans="1:22" ht="14.25" customHeight="1" x14ac:dyDescent="0.3">
      <c r="A130" s="86" t="s">
        <v>287</v>
      </c>
      <c r="B130" s="94" t="str">
        <f t="shared" ca="1" si="0"/>
        <v>Duplex 4.2.4-Low-e 4mm termó</v>
      </c>
      <c r="C130" s="86"/>
      <c r="D130" s="87" t="str">
        <f t="shared" ca="1" si="1"/>
        <v>603.00</v>
      </c>
      <c r="E130" s="90" t="s">
        <v>153</v>
      </c>
      <c r="F130" s="90"/>
      <c r="G130" s="90"/>
      <c r="H130" s="87" t="str">
        <f t="shared" ca="1" si="2"/>
        <v>513.00</v>
      </c>
      <c r="I130" s="90" t="s">
        <v>153</v>
      </c>
      <c r="J130" s="47" t="str">
        <f t="shared" ca="1" si="3"/>
        <v>Duplex</v>
      </c>
      <c r="M130" s="93"/>
      <c r="N130" s="93"/>
      <c r="O130" s="93"/>
      <c r="P130" s="93"/>
      <c r="Q130" s="93"/>
      <c r="R130" s="93"/>
      <c r="S130" s="99"/>
      <c r="T130" s="99"/>
      <c r="U130" s="99"/>
      <c r="V130" s="93"/>
    </row>
    <row r="131" spans="1:22" ht="14.25" customHeight="1" x14ac:dyDescent="0.3">
      <c r="A131" s="86" t="s">
        <v>288</v>
      </c>
      <c r="B131" s="94" t="str">
        <f t="shared" ca="1" si="0"/>
        <v>Float 8mm-Duplex 4.2.4 termó</v>
      </c>
      <c r="C131" s="86"/>
      <c r="D131" s="87" t="str">
        <f t="shared" ca="1" si="1"/>
        <v>625.00</v>
      </c>
      <c r="E131" s="90" t="s">
        <v>153</v>
      </c>
      <c r="F131" s="90"/>
      <c r="G131" s="90"/>
      <c r="H131" s="87" t="str">
        <f t="shared" ca="1" si="2"/>
        <v>532.00</v>
      </c>
      <c r="I131" s="90" t="s">
        <v>153</v>
      </c>
      <c r="J131" s="47" t="str">
        <f t="shared" ca="1" si="3"/>
        <v>Duplex</v>
      </c>
      <c r="M131" s="93"/>
      <c r="N131" s="93"/>
      <c r="O131" s="93"/>
      <c r="P131" s="93"/>
      <c r="Q131" s="93"/>
      <c r="R131" s="93"/>
      <c r="S131" s="99"/>
      <c r="T131" s="99"/>
      <c r="U131" s="99"/>
      <c r="V131" s="93"/>
    </row>
    <row r="132" spans="1:22" ht="14.25" customHeight="1" x14ac:dyDescent="0.3">
      <c r="A132" s="86" t="s">
        <v>289</v>
      </c>
      <c r="B132" s="94" t="str">
        <f t="shared" ca="1" si="0"/>
        <v>Satin bronz-Low-e 4mm-Low-e 4mm termó</v>
      </c>
      <c r="C132" s="86"/>
      <c r="D132" s="87" t="str">
        <f t="shared" ca="1" si="1"/>
        <v>401.00</v>
      </c>
      <c r="E132" s="90" t="s">
        <v>153</v>
      </c>
      <c r="F132" s="90"/>
      <c r="G132" s="90"/>
      <c r="H132" s="87" t="str">
        <f t="shared" ca="1" si="2"/>
        <v>341.00</v>
      </c>
      <c r="I132" s="90" t="s">
        <v>153</v>
      </c>
      <c r="J132" s="47" t="str">
        <f t="shared" ca="1" si="3"/>
        <v>Triplex</v>
      </c>
      <c r="M132" s="93"/>
      <c r="N132" s="93"/>
      <c r="O132" s="93"/>
      <c r="P132" s="93"/>
      <c r="Q132" s="93"/>
      <c r="R132" s="93"/>
      <c r="S132" s="99"/>
      <c r="T132" s="99"/>
      <c r="U132" s="99"/>
      <c r="V132" s="93"/>
    </row>
    <row r="133" spans="1:22" ht="14.25" customHeight="1" x14ac:dyDescent="0.3">
      <c r="A133" s="86" t="s">
        <v>290</v>
      </c>
      <c r="B133" s="94" t="str">
        <f t="shared" ca="1" si="0"/>
        <v>Feher csincsilla-Float 4mm termó</v>
      </c>
      <c r="C133" s="86"/>
      <c r="D133" s="87" t="str">
        <f t="shared" ca="1" si="1"/>
        <v>250.00</v>
      </c>
      <c r="E133" s="90" t="s">
        <v>153</v>
      </c>
      <c r="F133" s="90"/>
      <c r="G133" s="90"/>
      <c r="H133" s="87" t="str">
        <f t="shared" ca="1" si="2"/>
        <v>213.00</v>
      </c>
      <c r="I133" s="90" t="s">
        <v>153</v>
      </c>
      <c r="J133" s="47" t="str">
        <f t="shared" ca="1" si="3"/>
        <v>Duplex</v>
      </c>
      <c r="M133" s="100"/>
      <c r="N133" s="100"/>
      <c r="O133" s="100"/>
      <c r="P133" s="100"/>
      <c r="Q133" s="100"/>
      <c r="R133" s="100"/>
      <c r="S133" s="101"/>
      <c r="T133" s="101"/>
      <c r="U133" s="101"/>
      <c r="V133" s="100"/>
    </row>
    <row r="134" spans="1:22" ht="14.25" customHeight="1" x14ac:dyDescent="0.3">
      <c r="A134" s="86" t="s">
        <v>291</v>
      </c>
      <c r="B134" s="94" t="str">
        <f t="shared" ca="1" si="0"/>
        <v>Float 6mm-Lowe 6 mm-Low-e 4mm termó</v>
      </c>
      <c r="C134" s="86"/>
      <c r="D134" s="87" t="str">
        <f t="shared" ca="1" si="1"/>
        <v>489.00</v>
      </c>
      <c r="E134" s="90" t="s">
        <v>153</v>
      </c>
      <c r="F134" s="90"/>
      <c r="G134" s="90"/>
      <c r="H134" s="87" t="str">
        <f t="shared" ca="1" si="2"/>
        <v>416.00</v>
      </c>
      <c r="I134" s="90" t="s">
        <v>153</v>
      </c>
      <c r="J134" s="47" t="str">
        <f t="shared" ca="1" si="3"/>
        <v>Triplex</v>
      </c>
      <c r="M134" s="100"/>
      <c r="N134" s="100"/>
      <c r="O134" s="100"/>
      <c r="P134" s="100"/>
      <c r="Q134" s="100"/>
      <c r="R134" s="100"/>
      <c r="S134" s="101"/>
      <c r="T134" s="101"/>
      <c r="U134" s="101"/>
      <c r="V134" s="100"/>
    </row>
    <row r="135" spans="1:22" ht="14.25" customHeight="1" x14ac:dyDescent="0.3">
      <c r="A135" s="86" t="s">
        <v>292</v>
      </c>
      <c r="B135" s="94" t="str">
        <f t="shared" ca="1" si="0"/>
        <v>Tukor 4mm-Feher csincsilla termó</v>
      </c>
      <c r="C135" s="86"/>
      <c r="D135" s="87" t="str">
        <f t="shared" ca="1" si="1"/>
        <v>322.00</v>
      </c>
      <c r="E135" s="90" t="s">
        <v>153</v>
      </c>
      <c r="F135" s="90"/>
      <c r="G135" s="90"/>
      <c r="H135" s="87" t="str">
        <f t="shared" ca="1" si="2"/>
        <v>274.00</v>
      </c>
      <c r="I135" s="90" t="s">
        <v>153</v>
      </c>
      <c r="J135" s="47" t="str">
        <f t="shared" ca="1" si="3"/>
        <v>Duplex</v>
      </c>
      <c r="S135" s="102"/>
      <c r="T135" s="102"/>
      <c r="U135" s="102"/>
    </row>
    <row r="136" spans="1:22" ht="14.25" customHeight="1" x14ac:dyDescent="0.3">
      <c r="A136" s="86" t="s">
        <v>211</v>
      </c>
      <c r="B136" s="94" t="str">
        <f t="shared" ca="1" si="0"/>
        <v>Savmarta barna hovirag-Low-e 4mm termó</v>
      </c>
      <c r="C136" s="86"/>
      <c r="D136" s="87" t="str">
        <f t="shared" ca="1" si="1"/>
        <v>324.00</v>
      </c>
      <c r="E136" s="90" t="s">
        <v>153</v>
      </c>
      <c r="F136" s="90"/>
      <c r="G136" s="90"/>
      <c r="H136" s="87" t="str">
        <f t="shared" ca="1" si="2"/>
        <v>276.00</v>
      </c>
      <c r="I136" s="90" t="s">
        <v>153</v>
      </c>
      <c r="J136" s="47" t="str">
        <f t="shared" ca="1" si="3"/>
        <v>Duplex</v>
      </c>
      <c r="S136" s="102"/>
      <c r="T136" s="102"/>
      <c r="U136" s="102"/>
    </row>
    <row r="137" spans="1:22" ht="14.25" customHeight="1" x14ac:dyDescent="0.3">
      <c r="A137" s="86" t="s">
        <v>293</v>
      </c>
      <c r="B137" s="94" t="str">
        <f t="shared" ca="1" si="0"/>
        <v>Reflexios 4mm-Low-e 4mm-Lowe 6 mm termó</v>
      </c>
      <c r="C137" s="86"/>
      <c r="D137" s="87" t="str">
        <f t="shared" ca="1" si="1"/>
        <v>546.00</v>
      </c>
      <c r="E137" s="90" t="s">
        <v>153</v>
      </c>
      <c r="F137" s="90"/>
      <c r="G137" s="90"/>
      <c r="H137" s="87" t="str">
        <f t="shared" ca="1" si="2"/>
        <v>465.00</v>
      </c>
      <c r="I137" s="90" t="s">
        <v>153</v>
      </c>
      <c r="J137" s="47" t="str">
        <f t="shared" ca="1" si="3"/>
        <v>Triplex</v>
      </c>
      <c r="S137" s="102"/>
      <c r="T137" s="102"/>
      <c r="U137" s="102"/>
    </row>
    <row r="138" spans="1:22" ht="14.25" customHeight="1" x14ac:dyDescent="0.3">
      <c r="A138" s="86" t="s">
        <v>294</v>
      </c>
      <c r="B138" s="94" t="str">
        <f t="shared" ca="1" si="0"/>
        <v>Savmarta feher tuskes-Float 4mm-Low-e 4mm termó</v>
      </c>
      <c r="C138" s="86"/>
      <c r="D138" s="87" t="str">
        <f t="shared" ca="1" si="1"/>
        <v>426.00</v>
      </c>
      <c r="E138" s="90" t="s">
        <v>153</v>
      </c>
      <c r="F138" s="90"/>
      <c r="G138" s="90"/>
      <c r="H138" s="87" t="str">
        <f t="shared" ca="1" si="2"/>
        <v>363.00</v>
      </c>
      <c r="I138" s="90" t="s">
        <v>153</v>
      </c>
      <c r="J138" s="47" t="str">
        <f t="shared" ca="1" si="3"/>
        <v>Triplex</v>
      </c>
      <c r="S138" s="102"/>
      <c r="T138" s="102"/>
      <c r="U138" s="102"/>
    </row>
    <row r="139" spans="1:22" ht="14.25" customHeight="1" x14ac:dyDescent="0.3">
      <c r="A139" s="86" t="s">
        <v>295</v>
      </c>
      <c r="B139" s="94" t="str">
        <f t="shared" ca="1" si="0"/>
        <v>tetőüveg</v>
      </c>
      <c r="C139" s="86"/>
      <c r="D139" s="87" t="str">
        <f t="shared" ca="1" si="1"/>
        <v>902.00</v>
      </c>
      <c r="E139" s="90" t="s">
        <v>153</v>
      </c>
      <c r="F139" s="90"/>
      <c r="G139" s="90"/>
      <c r="H139" s="87" t="str">
        <f t="shared" ca="1" si="2"/>
        <v>767.00</v>
      </c>
      <c r="I139" s="90" t="s">
        <v>153</v>
      </c>
      <c r="J139" s="47" t="str">
        <f t="shared" ca="1" si="3"/>
        <v>Triplex</v>
      </c>
      <c r="S139" s="102"/>
      <c r="T139" s="102"/>
      <c r="U139" s="102"/>
    </row>
    <row r="140" spans="1:22" ht="14.25" customHeight="1" x14ac:dyDescent="0.3">
      <c r="A140" s="86" t="s">
        <v>296</v>
      </c>
      <c r="B140" s="94" t="str">
        <f t="shared" ca="1" si="0"/>
        <v>4 evszakos-Low-e 4mm-Lowe 6 mm termó</v>
      </c>
      <c r="C140" s="86"/>
      <c r="D140" s="87" t="str">
        <f t="shared" ca="1" si="1"/>
        <v>499.00</v>
      </c>
      <c r="E140" s="90" t="s">
        <v>153</v>
      </c>
      <c r="F140" s="90"/>
      <c r="G140" s="90"/>
      <c r="H140" s="87" t="str">
        <f t="shared" ca="1" si="2"/>
        <v>425.00</v>
      </c>
      <c r="I140" s="90" t="s">
        <v>153</v>
      </c>
      <c r="J140" s="47" t="str">
        <f t="shared" ca="1" si="3"/>
        <v>Triplex</v>
      </c>
      <c r="S140" s="102"/>
      <c r="T140" s="102"/>
      <c r="U140" s="102"/>
    </row>
    <row r="141" spans="1:22" ht="14.25" customHeight="1" x14ac:dyDescent="0.3">
      <c r="A141" s="86" t="s">
        <v>297</v>
      </c>
      <c r="B141" s="94" t="str">
        <f t="shared" ca="1" si="0"/>
        <v>Duplex 4.2.4-Float 4mm-Low-e 4mm termó</v>
      </c>
      <c r="C141" s="86"/>
      <c r="D141" s="87" t="str">
        <f t="shared" ca="1" si="1"/>
        <v>734.00</v>
      </c>
      <c r="E141" s="90" t="s">
        <v>153</v>
      </c>
      <c r="F141" s="90"/>
      <c r="G141" s="90"/>
      <c r="H141" s="87" t="str">
        <f t="shared" ca="1" si="2"/>
        <v>624.00</v>
      </c>
      <c r="I141" s="90" t="s">
        <v>153</v>
      </c>
      <c r="J141" s="47" t="str">
        <f t="shared" ca="1" si="3"/>
        <v>Triplex</v>
      </c>
      <c r="S141" s="102"/>
      <c r="T141" s="102"/>
      <c r="U141" s="102"/>
    </row>
    <row r="142" spans="1:22" ht="14.25" customHeight="1" x14ac:dyDescent="0.3">
      <c r="A142" s="86" t="s">
        <v>298</v>
      </c>
      <c r="B142" s="94" t="str">
        <f t="shared" ca="1" si="0"/>
        <v>Float 4mm-Lowe 6 mm termó</v>
      </c>
      <c r="C142" s="86"/>
      <c r="D142" s="87" t="str">
        <f t="shared" ca="1" si="1"/>
        <v>330.00</v>
      </c>
      <c r="E142" s="90" t="s">
        <v>153</v>
      </c>
      <c r="F142" s="90"/>
      <c r="G142" s="90"/>
      <c r="H142" s="87" t="str">
        <f t="shared" ca="1" si="2"/>
        <v>281.00</v>
      </c>
      <c r="I142" s="90" t="s">
        <v>153</v>
      </c>
      <c r="J142" s="47" t="str">
        <f t="shared" ca="1" si="3"/>
        <v>Duplex</v>
      </c>
      <c r="S142" s="102"/>
      <c r="T142" s="102"/>
      <c r="U142" s="102"/>
    </row>
    <row r="143" spans="1:22" ht="14.25" customHeight="1" x14ac:dyDescent="0.3">
      <c r="A143" s="86" t="s">
        <v>299</v>
      </c>
      <c r="B143" s="94" t="str">
        <f t="shared" ca="1" si="0"/>
        <v>Duplex 3.1.3.-Mintas uveg feher fatorzs termó</v>
      </c>
      <c r="C143" s="86"/>
      <c r="D143" s="87" t="str">
        <f t="shared" ca="1" si="1"/>
        <v>328.00</v>
      </c>
      <c r="E143" s="90" t="s">
        <v>153</v>
      </c>
      <c r="F143" s="90"/>
      <c r="G143" s="90"/>
      <c r="H143" s="87" t="str">
        <f t="shared" ca="1" si="2"/>
        <v>279.00</v>
      </c>
      <c r="I143" s="90" t="s">
        <v>153</v>
      </c>
      <c r="J143" s="47" t="str">
        <f t="shared" ca="1" si="3"/>
        <v>Duplex</v>
      </c>
      <c r="S143" s="102"/>
      <c r="T143" s="102"/>
      <c r="U143" s="102"/>
    </row>
    <row r="144" spans="1:22" ht="14.25" customHeight="1" x14ac:dyDescent="0.3">
      <c r="A144" s="86" t="s">
        <v>287</v>
      </c>
      <c r="B144" s="94" t="str">
        <f t="shared" ca="1" si="0"/>
        <v>Duplex 4.2.4-Low-e 4mm termó</v>
      </c>
      <c r="C144" s="86"/>
      <c r="D144" s="87" t="str">
        <f t="shared" ca="1" si="1"/>
        <v>603.00</v>
      </c>
      <c r="E144" s="90" t="s">
        <v>153</v>
      </c>
      <c r="F144" s="90"/>
      <c r="G144" s="90"/>
      <c r="H144" s="87" t="str">
        <f t="shared" ca="1" si="2"/>
        <v>513.00</v>
      </c>
      <c r="I144" s="90" t="s">
        <v>153</v>
      </c>
      <c r="J144" s="47" t="str">
        <f t="shared" ca="1" si="3"/>
        <v>Duplex</v>
      </c>
      <c r="S144" s="102"/>
      <c r="T144" s="102"/>
      <c r="U144" s="102"/>
    </row>
    <row r="145" spans="1:22" ht="14.25" customHeight="1" x14ac:dyDescent="0.3">
      <c r="A145" s="86" t="s">
        <v>300</v>
      </c>
      <c r="B145" s="94" t="str">
        <f t="shared" ca="1" si="0"/>
        <v>Duplex 4.2.4-Mintas uveg feher fatorzs termó</v>
      </c>
      <c r="C145" s="86"/>
      <c r="D145" s="87" t="str">
        <f t="shared" ca="1" si="1"/>
        <v>645.00</v>
      </c>
      <c r="E145" s="90" t="s">
        <v>153</v>
      </c>
      <c r="F145" s="90"/>
      <c r="G145" s="90"/>
      <c r="H145" s="87" t="str">
        <f t="shared" ca="1" si="2"/>
        <v>549.00</v>
      </c>
      <c r="I145" s="90" t="s">
        <v>153</v>
      </c>
      <c r="J145" s="47" t="str">
        <f t="shared" ca="1" si="3"/>
        <v>Duplex</v>
      </c>
      <c r="S145" s="102"/>
      <c r="T145" s="102"/>
      <c r="U145" s="102"/>
    </row>
    <row r="146" spans="1:22" ht="14.25" customHeight="1" x14ac:dyDescent="0.3">
      <c r="A146" s="86" t="s">
        <v>301</v>
      </c>
      <c r="B146" s="94" t="str">
        <f t="shared" ca="1" si="0"/>
        <v>4 evszakos-Float 6mm-Lowe 6 mm termó</v>
      </c>
      <c r="C146" s="86"/>
      <c r="D146" s="87" t="str">
        <f t="shared" ca="1" si="1"/>
        <v>483.00</v>
      </c>
      <c r="E146" s="90" t="s">
        <v>153</v>
      </c>
      <c r="F146" s="90"/>
      <c r="G146" s="90"/>
      <c r="H146" s="87" t="str">
        <f t="shared" ca="1" si="2"/>
        <v>411.00</v>
      </c>
      <c r="I146" s="90" t="s">
        <v>153</v>
      </c>
      <c r="J146" s="47" t="str">
        <f t="shared" ca="1" si="3"/>
        <v>Triplex</v>
      </c>
      <c r="S146" s="102"/>
      <c r="T146" s="102"/>
      <c r="U146" s="102"/>
    </row>
    <row r="147" spans="1:22" ht="14.25" customHeight="1" x14ac:dyDescent="0.3">
      <c r="A147" s="86" t="s">
        <v>302</v>
      </c>
      <c r="B147" s="94" t="str">
        <f t="shared" ca="1" si="0"/>
        <v>Tukor 4mm-Barna delta 2-Low-e 4mm termó</v>
      </c>
      <c r="C147" s="86"/>
      <c r="D147" s="87" t="str">
        <f t="shared" ca="1" si="1"/>
        <v>510.00</v>
      </c>
      <c r="E147" s="90" t="s">
        <v>153</v>
      </c>
      <c r="F147" s="90"/>
      <c r="G147" s="90"/>
      <c r="H147" s="87" t="str">
        <f t="shared" ca="1" si="2"/>
        <v>434.00</v>
      </c>
      <c r="I147" s="90" t="s">
        <v>153</v>
      </c>
      <c r="J147" s="47" t="str">
        <f t="shared" ca="1" si="3"/>
        <v>Triplex</v>
      </c>
      <c r="M147" s="100"/>
      <c r="N147" s="100"/>
      <c r="O147" s="100"/>
      <c r="P147" s="100"/>
      <c r="Q147" s="100"/>
      <c r="R147" s="100"/>
      <c r="S147" s="101"/>
      <c r="T147" s="101"/>
      <c r="U147" s="101"/>
      <c r="V147" s="100"/>
    </row>
    <row r="148" spans="1:22" ht="14.25" customHeight="1" x14ac:dyDescent="0.3">
      <c r="A148" s="86" t="s">
        <v>303</v>
      </c>
      <c r="B148" s="94" t="str">
        <f t="shared" ca="1" si="0"/>
        <v>Duplex 3.1.3.-Float 4mm termó</v>
      </c>
      <c r="C148" s="86"/>
      <c r="D148" s="87" t="str">
        <f t="shared" ca="1" si="1"/>
        <v>264.00</v>
      </c>
      <c r="E148" s="90" t="s">
        <v>153</v>
      </c>
      <c r="F148" s="90"/>
      <c r="G148" s="90"/>
      <c r="H148" s="87" t="str">
        <f t="shared" ca="1" si="2"/>
        <v>225.00</v>
      </c>
      <c r="I148" s="90" t="s">
        <v>153</v>
      </c>
      <c r="J148" s="47" t="str">
        <f t="shared" ca="1" si="3"/>
        <v>Duplex</v>
      </c>
      <c r="S148" s="102"/>
      <c r="T148" s="102"/>
      <c r="U148" s="102"/>
    </row>
    <row r="149" spans="1:22" ht="14.25" customHeight="1" x14ac:dyDescent="0.3">
      <c r="A149" s="86" t="s">
        <v>304</v>
      </c>
      <c r="B149" s="94" t="str">
        <f t="shared" ca="1" si="0"/>
        <v>Fustos 4mm-Float 4mm termó</v>
      </c>
      <c r="C149" s="86"/>
      <c r="D149" s="87" t="str">
        <f t="shared" ca="1" si="1"/>
        <v>263.00</v>
      </c>
      <c r="E149" s="90" t="s">
        <v>153</v>
      </c>
      <c r="F149" s="90"/>
      <c r="G149" s="90"/>
      <c r="H149" s="87" t="str">
        <f t="shared" ca="1" si="2"/>
        <v>224.00</v>
      </c>
      <c r="I149" s="90" t="s">
        <v>153</v>
      </c>
      <c r="J149" s="47" t="str">
        <f t="shared" ca="1" si="3"/>
        <v>Duplex</v>
      </c>
      <c r="S149" s="102"/>
      <c r="T149" s="102"/>
      <c r="U149" s="102"/>
    </row>
    <row r="150" spans="1:22" ht="14.25" customHeight="1" x14ac:dyDescent="0.3">
      <c r="A150" s="86" t="s">
        <v>305</v>
      </c>
      <c r="B150" s="94" t="str">
        <f t="shared" ca="1" si="0"/>
        <v>4 evszakos-Lowe 6 mm termó</v>
      </c>
      <c r="C150" s="86"/>
      <c r="D150" s="87" t="str">
        <f t="shared" ca="1" si="1"/>
        <v>346.00</v>
      </c>
      <c r="E150" s="90" t="s">
        <v>153</v>
      </c>
      <c r="F150" s="90"/>
      <c r="G150" s="90"/>
      <c r="H150" s="87" t="str">
        <f t="shared" ca="1" si="2"/>
        <v>295.00</v>
      </c>
      <c r="I150" s="90" t="s">
        <v>153</v>
      </c>
      <c r="J150" s="47" t="str">
        <f t="shared" ca="1" si="3"/>
        <v>Duplex</v>
      </c>
      <c r="S150" s="102"/>
      <c r="T150" s="102"/>
      <c r="U150" s="102"/>
    </row>
    <row r="151" spans="1:22" ht="14.25" customHeight="1" x14ac:dyDescent="0.3">
      <c r="A151" s="86" t="s">
        <v>306</v>
      </c>
      <c r="B151" s="94" t="str">
        <f t="shared" ca="1" si="0"/>
        <v>Low-e 4mm-Low-e 4mm termó</v>
      </c>
      <c r="C151" s="86"/>
      <c r="D151" s="87" t="str">
        <f t="shared" ca="1" si="1"/>
        <v>253.00</v>
      </c>
      <c r="E151" s="90" t="s">
        <v>153</v>
      </c>
      <c r="F151" s="90"/>
      <c r="G151" s="90"/>
      <c r="H151" s="87" t="str">
        <f t="shared" ca="1" si="2"/>
        <v>216.00</v>
      </c>
      <c r="I151" s="90" t="s">
        <v>153</v>
      </c>
      <c r="J151" s="47" t="str">
        <f t="shared" ca="1" si="3"/>
        <v>Duplex</v>
      </c>
      <c r="S151" s="102"/>
      <c r="T151" s="102"/>
      <c r="U151" s="102"/>
    </row>
    <row r="152" spans="1:22" ht="14.25" customHeight="1" x14ac:dyDescent="0.3">
      <c r="A152" s="86" t="s">
        <v>307</v>
      </c>
      <c r="B152" s="94" t="str">
        <f t="shared" ca="1" si="0"/>
        <v>Homokfujt 4mm-Float 4mm-Float 4mm termó</v>
      </c>
      <c r="C152" s="86"/>
      <c r="D152" s="87" t="str">
        <f t="shared" ca="1" si="1"/>
        <v>336.00</v>
      </c>
      <c r="E152" s="90" t="s">
        <v>153</v>
      </c>
      <c r="F152" s="90"/>
      <c r="G152" s="90"/>
      <c r="H152" s="87" t="str">
        <f t="shared" ca="1" si="2"/>
        <v>286.00</v>
      </c>
      <c r="I152" s="90" t="s">
        <v>153</v>
      </c>
      <c r="J152" s="47" t="str">
        <f t="shared" ca="1" si="3"/>
        <v>Triplex</v>
      </c>
      <c r="S152" s="102"/>
      <c r="T152" s="102"/>
      <c r="U152" s="102"/>
    </row>
    <row r="153" spans="1:22" ht="14.25" customHeight="1" x14ac:dyDescent="0.3">
      <c r="A153" s="86" t="s">
        <v>308</v>
      </c>
      <c r="B153" s="94" t="str">
        <f t="shared" ca="1" si="0"/>
        <v>4 evszakos-Float 6mm termó</v>
      </c>
      <c r="C153" s="86"/>
      <c r="D153" s="87" t="str">
        <f t="shared" ca="1" si="1"/>
        <v>231.00</v>
      </c>
      <c r="E153" s="90" t="s">
        <v>153</v>
      </c>
      <c r="F153" s="90"/>
      <c r="G153" s="90"/>
      <c r="H153" s="87" t="str">
        <f t="shared" ca="1" si="2"/>
        <v>197.00</v>
      </c>
      <c r="I153" s="90" t="s">
        <v>153</v>
      </c>
      <c r="J153" s="47" t="str">
        <f t="shared" ca="1" si="3"/>
        <v>Duplex</v>
      </c>
      <c r="S153" s="102"/>
      <c r="T153" s="102"/>
      <c r="U153" s="102"/>
    </row>
    <row r="154" spans="1:22" ht="14.25" customHeight="1" x14ac:dyDescent="0.3">
      <c r="A154" s="86" t="s">
        <v>309</v>
      </c>
      <c r="B154" s="94" t="str">
        <f t="shared" ca="1" si="0"/>
        <v>Lowe 6mm-BarnaSatin 4mm-4 evszakos</v>
      </c>
      <c r="C154" s="86"/>
      <c r="D154" s="87" t="str">
        <f t="shared" ca="1" si="1"/>
        <v>524.00</v>
      </c>
      <c r="E154" s="90" t="s">
        <v>153</v>
      </c>
      <c r="F154" s="90"/>
      <c r="G154" s="90"/>
      <c r="H154" s="87" t="str">
        <f t="shared" ca="1" si="2"/>
        <v>446.00</v>
      </c>
      <c r="I154" s="90" t="s">
        <v>153</v>
      </c>
      <c r="J154" s="47" t="str">
        <f t="shared" ca="1" si="3"/>
        <v>Triplex</v>
      </c>
      <c r="M154" s="100"/>
      <c r="N154" s="100"/>
      <c r="O154" s="100"/>
      <c r="P154" s="100"/>
      <c r="Q154" s="100"/>
      <c r="R154" s="100"/>
      <c r="S154" s="101"/>
      <c r="T154" s="101"/>
      <c r="U154" s="101"/>
      <c r="V154" s="100"/>
    </row>
    <row r="155" spans="1:22" ht="14.25" customHeight="1" x14ac:dyDescent="0.3">
      <c r="A155" s="86" t="s">
        <v>310</v>
      </c>
      <c r="B155" s="94" t="str">
        <f t="shared" ca="1" si="0"/>
        <v>reflexios 4mm-feher delta2</v>
      </c>
      <c r="C155" s="86"/>
      <c r="D155" s="87" t="str">
        <f t="shared" ca="1" si="1"/>
        <v>313.00</v>
      </c>
      <c r="E155" s="90" t="s">
        <v>153</v>
      </c>
      <c r="F155" s="90"/>
      <c r="G155" s="90"/>
      <c r="H155" s="87" t="str">
        <f t="shared" ca="1" si="2"/>
        <v>267.00</v>
      </c>
      <c r="I155" s="90" t="s">
        <v>153</v>
      </c>
      <c r="J155" s="47" t="str">
        <f t="shared" ca="1" si="3"/>
        <v>Duplex</v>
      </c>
      <c r="S155" s="102"/>
      <c r="T155" s="102"/>
      <c r="U155" s="102"/>
    </row>
    <row r="156" spans="1:22" ht="14.25" customHeight="1" x14ac:dyDescent="0.3">
      <c r="A156" s="86" t="s">
        <v>311</v>
      </c>
      <c r="B156" s="94" t="str">
        <f t="shared" ca="1" si="0"/>
        <v>reflexios 4mm-barnadelta2</v>
      </c>
      <c r="C156" s="86"/>
      <c r="D156" s="87" t="str">
        <f t="shared" ca="1" si="1"/>
        <v>348.00</v>
      </c>
      <c r="E156" s="90" t="s">
        <v>153</v>
      </c>
      <c r="F156" s="90"/>
      <c r="G156" s="90"/>
      <c r="H156" s="87" t="str">
        <f t="shared" ca="1" si="2"/>
        <v>296.00</v>
      </c>
      <c r="I156" s="90" t="s">
        <v>153</v>
      </c>
      <c r="J156" s="47" t="str">
        <f t="shared" ca="1" si="3"/>
        <v>Duplex</v>
      </c>
      <c r="S156" s="102"/>
      <c r="T156" s="102"/>
      <c r="U156" s="102"/>
    </row>
    <row r="157" spans="1:22" ht="14.25" customHeight="1" x14ac:dyDescent="0.3">
      <c r="A157" s="86" t="s">
        <v>312</v>
      </c>
      <c r="B157" s="94" t="str">
        <f t="shared" ca="1" si="0"/>
        <v>Duplex 3.1.3.-Satin bronz termó</v>
      </c>
      <c r="C157" s="86"/>
      <c r="D157" s="87" t="str">
        <f t="shared" ca="1" si="1"/>
        <v>311.00</v>
      </c>
      <c r="E157" s="90" t="s">
        <v>153</v>
      </c>
      <c r="F157" s="90"/>
      <c r="G157" s="90"/>
      <c r="H157" s="87" t="str">
        <f t="shared" ca="1" si="2"/>
        <v>265.00</v>
      </c>
      <c r="I157" s="90" t="s">
        <v>153</v>
      </c>
      <c r="J157" s="47" t="str">
        <f t="shared" ca="1" si="3"/>
        <v>Duplex</v>
      </c>
      <c r="S157" s="102"/>
      <c r="T157" s="102"/>
      <c r="U157" s="102"/>
    </row>
    <row r="158" spans="1:22" ht="14.25" customHeight="1" x14ac:dyDescent="0.3">
      <c r="A158" s="86" t="s">
        <v>313</v>
      </c>
      <c r="B158" s="94" t="str">
        <f t="shared" ca="1" si="0"/>
        <v>Float 3mm-Homokfujt 4mm termó</v>
      </c>
      <c r="C158" s="86"/>
      <c r="D158" s="87" t="str">
        <f t="shared" ca="1" si="1"/>
        <v>253.00</v>
      </c>
      <c r="E158" s="90" t="s">
        <v>153</v>
      </c>
      <c r="F158" s="90"/>
      <c r="G158" s="90"/>
      <c r="H158" s="87" t="str">
        <f t="shared" ca="1" si="2"/>
        <v>216.00</v>
      </c>
      <c r="I158" s="90" t="s">
        <v>153</v>
      </c>
      <c r="J158" s="47" t="str">
        <f t="shared" ca="1" si="3"/>
        <v>Duplex</v>
      </c>
      <c r="S158" s="102"/>
      <c r="T158" s="102"/>
      <c r="U158" s="102"/>
    </row>
    <row r="159" spans="1:22" ht="14.25" customHeight="1" x14ac:dyDescent="0.3">
      <c r="A159" s="86" t="s">
        <v>314</v>
      </c>
      <c r="B159" s="94" t="str">
        <f t="shared" ca="1" si="0"/>
        <v>Duplex 3.1.3.-Reflexios 4mm-Low-e 4mm edzve termó</v>
      </c>
      <c r="C159" s="86"/>
      <c r="D159" s="87" t="str">
        <f t="shared" ca="1" si="1"/>
        <v>680.00</v>
      </c>
      <c r="E159" s="90" t="s">
        <v>153</v>
      </c>
      <c r="F159" s="90"/>
      <c r="G159" s="90"/>
      <c r="H159" s="87" t="str">
        <f t="shared" ca="1" si="2"/>
        <v>578.00</v>
      </c>
      <c r="I159" s="90" t="s">
        <v>153</v>
      </c>
      <c r="J159" s="47" t="str">
        <f t="shared" ca="1" si="3"/>
        <v>Triplex</v>
      </c>
      <c r="S159" s="102"/>
      <c r="T159" s="102"/>
      <c r="U159" s="102"/>
    </row>
    <row r="160" spans="1:22" ht="14.25" customHeight="1" x14ac:dyDescent="0.3">
      <c r="A160" s="86" t="s">
        <v>315</v>
      </c>
      <c r="B160" s="94" t="str">
        <f t="shared" ca="1" si="0"/>
        <v>F6mm edzve-Mintas uveg delta 2 termó</v>
      </c>
      <c r="C160" s="86"/>
      <c r="D160" s="87" t="str">
        <f t="shared" ca="1" si="1"/>
        <v>424.00</v>
      </c>
      <c r="E160" s="90" t="s">
        <v>153</v>
      </c>
      <c r="F160" s="90"/>
      <c r="G160" s="90"/>
      <c r="H160" s="87" t="str">
        <f t="shared" ca="1" si="2"/>
        <v>361.00</v>
      </c>
      <c r="I160" s="90" t="s">
        <v>153</v>
      </c>
      <c r="J160" s="47" t="str">
        <f t="shared" ca="1" si="3"/>
        <v>Duplex</v>
      </c>
      <c r="S160" s="102"/>
      <c r="T160" s="102"/>
      <c r="U160" s="102"/>
    </row>
    <row r="161" spans="1:22" ht="14.25" customHeight="1" x14ac:dyDescent="0.3">
      <c r="A161" s="86" t="s">
        <v>316</v>
      </c>
      <c r="B161" s="94" t="str">
        <f t="shared" ca="1" si="0"/>
        <v>Duplex 3.1.3.-Float 4mm-Float 4mm termó</v>
      </c>
      <c r="C161" s="86"/>
      <c r="D161" s="87" t="str">
        <f t="shared" ca="1" si="1"/>
        <v>395.00</v>
      </c>
      <c r="E161" s="90" t="s">
        <v>153</v>
      </c>
      <c r="F161" s="90"/>
      <c r="G161" s="90"/>
      <c r="H161" s="87" t="str">
        <f t="shared" ca="1" si="2"/>
        <v>336.00</v>
      </c>
      <c r="I161" s="90" t="s">
        <v>153</v>
      </c>
      <c r="J161" s="47" t="str">
        <f t="shared" ca="1" si="3"/>
        <v>Triplex</v>
      </c>
      <c r="M161" s="100"/>
      <c r="N161" s="100"/>
      <c r="O161" s="100"/>
      <c r="P161" s="100"/>
      <c r="Q161" s="100"/>
      <c r="R161" s="100"/>
      <c r="S161" s="101"/>
      <c r="T161" s="101"/>
      <c r="U161" s="101"/>
      <c r="V161" s="100"/>
    </row>
    <row r="162" spans="1:22" ht="14.25" customHeight="1" x14ac:dyDescent="0.3">
      <c r="A162" s="86" t="s">
        <v>317</v>
      </c>
      <c r="B162" s="94" t="str">
        <f t="shared" ca="1" si="0"/>
        <v>Homokfujt 4mm-Float 6mm termó</v>
      </c>
      <c r="C162" s="86"/>
      <c r="D162" s="87" t="str">
        <f t="shared" ca="1" si="1"/>
        <v>261.00</v>
      </c>
      <c r="E162" s="90" t="s">
        <v>153</v>
      </c>
      <c r="F162" s="90"/>
      <c r="G162" s="90"/>
      <c r="H162" s="87" t="str">
        <f t="shared" ca="1" si="2"/>
        <v>222.00</v>
      </c>
      <c r="I162" s="90" t="s">
        <v>153</v>
      </c>
      <c r="J162" s="47" t="str">
        <f t="shared" ca="1" si="3"/>
        <v>Duplex</v>
      </c>
      <c r="S162" s="102"/>
      <c r="T162" s="102"/>
      <c r="U162" s="102"/>
    </row>
    <row r="163" spans="1:22" ht="14.25" customHeight="1" x14ac:dyDescent="0.3">
      <c r="A163" s="86" t="s">
        <v>318</v>
      </c>
      <c r="B163" s="94" t="str">
        <f t="shared" ca="1" si="0"/>
        <v>Duplex 4.2.4-Homokfujt 4mm termó</v>
      </c>
      <c r="C163" s="86"/>
      <c r="D163" s="87" t="str">
        <f t="shared" ca="1" si="1"/>
        <v>627.00</v>
      </c>
      <c r="E163" s="90" t="s">
        <v>153</v>
      </c>
      <c r="F163" s="90"/>
      <c r="G163" s="90"/>
      <c r="H163" s="87" t="str">
        <f t="shared" ca="1" si="2"/>
        <v>533.00</v>
      </c>
      <c r="I163" s="90" t="s">
        <v>153</v>
      </c>
      <c r="J163" s="47" t="str">
        <f t="shared" ca="1" si="3"/>
        <v>Duplex</v>
      </c>
      <c r="S163" s="102"/>
      <c r="T163" s="102"/>
      <c r="U163" s="102"/>
    </row>
    <row r="164" spans="1:22" ht="14.25" customHeight="1" x14ac:dyDescent="0.3">
      <c r="A164" s="86" t="s">
        <v>319</v>
      </c>
      <c r="B164" s="94" t="str">
        <f t="shared" ca="1" si="0"/>
        <v>Reflexios 4mm-Float 6mm-Float 4mm termó</v>
      </c>
      <c r="C164" s="86"/>
      <c r="D164" s="87" t="str">
        <f t="shared" ca="1" si="1"/>
        <v>409.00</v>
      </c>
      <c r="E164" s="90" t="s">
        <v>153</v>
      </c>
      <c r="F164" s="90"/>
      <c r="G164" s="90"/>
      <c r="H164" s="87" t="str">
        <f t="shared" ca="1" si="2"/>
        <v>348.00</v>
      </c>
      <c r="I164" s="90" t="s">
        <v>153</v>
      </c>
      <c r="J164" s="47" t="str">
        <f t="shared" ca="1" si="3"/>
        <v>Triplex</v>
      </c>
      <c r="S164" s="102"/>
      <c r="T164" s="102"/>
      <c r="U164" s="102"/>
    </row>
    <row r="165" spans="1:22" ht="14.25" customHeight="1" x14ac:dyDescent="0.3">
      <c r="A165" s="86" t="s">
        <v>320</v>
      </c>
      <c r="B165" s="94" t="str">
        <f t="shared" ca="1" si="0"/>
        <v>Float 4mm edzve-Low-e 4mm termó</v>
      </c>
      <c r="C165" s="86"/>
      <c r="D165" s="87" t="str">
        <f t="shared" ca="1" si="1"/>
        <v>387.00</v>
      </c>
      <c r="E165" s="90" t="s">
        <v>153</v>
      </c>
      <c r="F165" s="90"/>
      <c r="G165" s="90"/>
      <c r="H165" s="87" t="str">
        <f t="shared" ca="1" si="2"/>
        <v>329.00</v>
      </c>
      <c r="I165" s="90" t="s">
        <v>153</v>
      </c>
      <c r="J165" s="47" t="str">
        <f t="shared" ca="1" si="3"/>
        <v>Duplex</v>
      </c>
      <c r="S165" s="102"/>
      <c r="T165" s="102"/>
      <c r="U165" s="102"/>
    </row>
    <row r="166" spans="1:22" ht="14.25" customHeight="1" x14ac:dyDescent="0.3">
      <c r="A166" s="86" t="s">
        <v>321</v>
      </c>
      <c r="B166" s="94" t="str">
        <f t="shared" ca="1" si="0"/>
        <v>4 evszakos-Float 6mm-Float 4mm termó</v>
      </c>
      <c r="C166" s="86"/>
      <c r="D166" s="87" t="str">
        <f t="shared" ca="1" si="1"/>
        <v>362.00</v>
      </c>
      <c r="E166" s="90" t="s">
        <v>153</v>
      </c>
      <c r="F166" s="90"/>
      <c r="G166" s="90"/>
      <c r="H166" s="87" t="str">
        <f t="shared" ca="1" si="2"/>
        <v>308.00</v>
      </c>
      <c r="I166" s="90" t="s">
        <v>153</v>
      </c>
      <c r="J166" s="47" t="str">
        <f t="shared" ca="1" si="3"/>
        <v>Triplex</v>
      </c>
      <c r="S166" s="102"/>
      <c r="T166" s="102"/>
      <c r="U166" s="102"/>
    </row>
    <row r="167" spans="1:22" ht="14.25" customHeight="1" x14ac:dyDescent="0.3">
      <c r="A167" s="86" t="s">
        <v>322</v>
      </c>
      <c r="B167" s="94" t="str">
        <f t="shared" ca="1" si="0"/>
        <v>4 evszakos-Float 4mm-Float 4mm termó</v>
      </c>
      <c r="C167" s="86"/>
      <c r="D167" s="87" t="str">
        <f t="shared" ca="1" si="1"/>
        <v>256.00</v>
      </c>
      <c r="E167" s="90" t="s">
        <v>153</v>
      </c>
      <c r="F167" s="90"/>
      <c r="G167" s="90"/>
      <c r="H167" s="87" t="str">
        <f t="shared" ca="1" si="2"/>
        <v>218.00</v>
      </c>
      <c r="I167" s="90" t="s">
        <v>153</v>
      </c>
      <c r="J167" s="47" t="str">
        <f t="shared" ca="1" si="3"/>
        <v>Triplex</v>
      </c>
      <c r="S167" s="102"/>
      <c r="T167" s="102"/>
      <c r="U167" s="102"/>
    </row>
    <row r="168" spans="1:22" ht="14.25" customHeight="1" x14ac:dyDescent="0.3">
      <c r="A168" s="86" t="s">
        <v>323</v>
      </c>
      <c r="B168" s="94" t="str">
        <f t="shared" ca="1" si="0"/>
        <v>F6mm edzve-4 evszakos-Duplex 3.1.3. termó</v>
      </c>
      <c r="C168" s="86"/>
      <c r="D168" s="87" t="str">
        <f t="shared" ca="1" si="1"/>
        <v>585.00</v>
      </c>
      <c r="E168" s="90" t="s">
        <v>153</v>
      </c>
      <c r="F168" s="90"/>
      <c r="G168" s="90"/>
      <c r="H168" s="87" t="str">
        <f t="shared" ca="1" si="2"/>
        <v>498.00</v>
      </c>
      <c r="I168" s="90" t="s">
        <v>153</v>
      </c>
      <c r="J168" s="47" t="str">
        <f t="shared" ca="1" si="3"/>
        <v>Triplex</v>
      </c>
      <c r="S168" s="102"/>
      <c r="T168" s="102"/>
      <c r="U168" s="102"/>
    </row>
    <row r="169" spans="1:22" ht="14.25" customHeight="1" x14ac:dyDescent="0.3">
      <c r="A169" s="86" t="s">
        <v>324</v>
      </c>
      <c r="B169" s="94" t="str">
        <f t="shared" ca="1" si="0"/>
        <v>Duplex 4.2.4-Float 4mm termó</v>
      </c>
      <c r="C169" s="86"/>
      <c r="D169" s="87" t="str">
        <f t="shared" ca="1" si="1"/>
        <v>581.00</v>
      </c>
      <c r="E169" s="90" t="s">
        <v>153</v>
      </c>
      <c r="F169" s="90"/>
      <c r="G169" s="90"/>
      <c r="H169" s="87" t="str">
        <f t="shared" ca="1" si="2"/>
        <v>494.00</v>
      </c>
      <c r="I169" s="90" t="s">
        <v>153</v>
      </c>
      <c r="J169" s="47" t="str">
        <f t="shared" ca="1" si="3"/>
        <v>Duplex</v>
      </c>
      <c r="S169" s="102"/>
      <c r="T169" s="102"/>
      <c r="U169" s="102"/>
    </row>
    <row r="170" spans="1:22" ht="14.25" customHeight="1" x14ac:dyDescent="0.3">
      <c r="A170" s="86" t="s">
        <v>325</v>
      </c>
      <c r="B170" s="94" t="str">
        <f t="shared" ca="1" si="0"/>
        <v>Reflexios 4mm-Float 4mm-Float 4mm termó</v>
      </c>
      <c r="C170" s="86"/>
      <c r="D170" s="87" t="str">
        <f t="shared" ca="1" si="1"/>
        <v>403.00</v>
      </c>
      <c r="E170" s="90" t="s">
        <v>153</v>
      </c>
      <c r="F170" s="90"/>
      <c r="G170" s="90"/>
      <c r="H170" s="87" t="str">
        <f t="shared" ca="1" si="2"/>
        <v>343.00</v>
      </c>
      <c r="I170" s="90" t="s">
        <v>153</v>
      </c>
      <c r="J170" s="47" t="str">
        <f t="shared" ca="1" si="3"/>
        <v>Triplex</v>
      </c>
      <c r="S170" s="102"/>
      <c r="T170" s="102"/>
      <c r="U170" s="102"/>
    </row>
    <row r="171" spans="1:22" ht="14.25" customHeight="1" x14ac:dyDescent="0.3">
      <c r="A171" s="86" t="s">
        <v>326</v>
      </c>
      <c r="B171" s="94" t="str">
        <f t="shared" ca="1" si="0"/>
        <v>Fehér hóvirág-Fehér hóvirág termó</v>
      </c>
      <c r="C171" s="86"/>
      <c r="D171" s="87" t="str">
        <f t="shared" ca="1" si="1"/>
        <v>337.00</v>
      </c>
      <c r="E171" s="90" t="s">
        <v>153</v>
      </c>
      <c r="F171" s="90"/>
      <c r="G171" s="90"/>
      <c r="H171" s="87" t="str">
        <f t="shared" ca="1" si="2"/>
        <v>287.00</v>
      </c>
      <c r="I171" s="90" t="s">
        <v>153</v>
      </c>
      <c r="J171" s="47" t="str">
        <f t="shared" ca="1" si="3"/>
        <v>Duplex</v>
      </c>
      <c r="S171" s="102"/>
      <c r="T171" s="102"/>
      <c r="U171" s="102"/>
    </row>
    <row r="172" spans="1:22" ht="14.25" customHeight="1" x14ac:dyDescent="0.3">
      <c r="A172" s="86" t="s">
        <v>327</v>
      </c>
      <c r="B172" s="94" t="str">
        <f t="shared" ca="1" si="0"/>
        <v>Savmarta barna tuskes-Float 4mm-Low-e 4mm termó</v>
      </c>
      <c r="C172" s="86"/>
      <c r="D172" s="87" t="str">
        <f t="shared" ca="1" si="1"/>
        <v>436.00</v>
      </c>
      <c r="E172" s="90" t="s">
        <v>153</v>
      </c>
      <c r="F172" s="90"/>
      <c r="G172" s="90"/>
      <c r="H172" s="87" t="str">
        <f t="shared" ca="1" si="2"/>
        <v>371.00</v>
      </c>
      <c r="I172" s="90" t="s">
        <v>153</v>
      </c>
      <c r="J172" s="47" t="str">
        <f t="shared" ca="1" si="3"/>
        <v>Triplex</v>
      </c>
      <c r="S172" s="102"/>
      <c r="T172" s="102"/>
      <c r="U172" s="102"/>
    </row>
    <row r="173" spans="1:22" ht="14.25" customHeight="1" x14ac:dyDescent="0.3">
      <c r="A173" s="86"/>
      <c r="B173" s="94" t="e">
        <f t="shared" ca="1" si="0"/>
        <v>#N/A</v>
      </c>
      <c r="C173" s="86"/>
      <c r="D173" s="90" t="e">
        <f t="shared" ca="1" si="1"/>
        <v>#N/A</v>
      </c>
      <c r="E173" s="90" t="s">
        <v>153</v>
      </c>
      <c r="F173" s="90"/>
      <c r="G173" s="90"/>
      <c r="H173" s="90" t="e">
        <f t="shared" ca="1" si="2"/>
        <v>#N/A</v>
      </c>
      <c r="I173" s="90" t="s">
        <v>153</v>
      </c>
      <c r="J173" s="47" t="e">
        <f t="shared" ca="1" si="3"/>
        <v>#N/A</v>
      </c>
      <c r="S173" s="102"/>
      <c r="T173" s="102"/>
      <c r="U173" s="102"/>
    </row>
    <row r="174" spans="1:22" ht="14.25" customHeight="1" x14ac:dyDescent="0.3">
      <c r="A174" s="86"/>
      <c r="B174" s="94" t="e">
        <f t="shared" ca="1" si="0"/>
        <v>#N/A</v>
      </c>
      <c r="C174" s="86"/>
      <c r="D174" s="90" t="e">
        <f t="shared" ca="1" si="1"/>
        <v>#N/A</v>
      </c>
      <c r="E174" s="90" t="s">
        <v>153</v>
      </c>
      <c r="F174" s="90"/>
      <c r="G174" s="90"/>
      <c r="H174" s="90" t="e">
        <f t="shared" ca="1" si="2"/>
        <v>#N/A</v>
      </c>
      <c r="I174" s="90" t="s">
        <v>153</v>
      </c>
      <c r="J174" s="47" t="e">
        <f t="shared" ca="1" si="3"/>
        <v>#N/A</v>
      </c>
      <c r="S174" s="102"/>
      <c r="T174" s="102"/>
      <c r="U174" s="102"/>
    </row>
    <row r="175" spans="1:22" ht="14.25" customHeight="1" x14ac:dyDescent="0.3">
      <c r="A175" s="86"/>
      <c r="B175" s="94" t="e">
        <f t="shared" ca="1" si="0"/>
        <v>#N/A</v>
      </c>
      <c r="C175" s="86"/>
      <c r="D175" s="90" t="e">
        <f t="shared" ca="1" si="1"/>
        <v>#N/A</v>
      </c>
      <c r="E175" s="90" t="s">
        <v>153</v>
      </c>
      <c r="F175" s="90"/>
      <c r="G175" s="90"/>
      <c r="H175" s="90" t="e">
        <f t="shared" ca="1" si="2"/>
        <v>#N/A</v>
      </c>
      <c r="I175" s="90" t="s">
        <v>153</v>
      </c>
      <c r="J175" s="47" t="e">
        <f t="shared" ca="1" si="3"/>
        <v>#N/A</v>
      </c>
      <c r="S175" s="102"/>
      <c r="T175" s="102"/>
      <c r="U175" s="102"/>
    </row>
    <row r="176" spans="1:22" ht="14.25" customHeight="1" x14ac:dyDescent="0.3">
      <c r="A176" s="86"/>
      <c r="B176" s="94" t="e">
        <f t="shared" ca="1" si="0"/>
        <v>#N/A</v>
      </c>
      <c r="C176" s="86"/>
      <c r="D176" s="90" t="e">
        <f t="shared" ca="1" si="1"/>
        <v>#N/A</v>
      </c>
      <c r="E176" s="90" t="s">
        <v>153</v>
      </c>
      <c r="F176" s="90"/>
      <c r="G176" s="90"/>
      <c r="H176" s="90" t="e">
        <f t="shared" ca="1" si="2"/>
        <v>#N/A</v>
      </c>
      <c r="I176" s="90" t="s">
        <v>153</v>
      </c>
      <c r="J176" s="47" t="e">
        <f t="shared" ca="1" si="3"/>
        <v>#N/A</v>
      </c>
      <c r="S176" s="102"/>
      <c r="T176" s="102"/>
      <c r="U176" s="102"/>
    </row>
    <row r="177" spans="1:21" ht="14.25" customHeight="1" x14ac:dyDescent="0.3">
      <c r="A177" s="86"/>
      <c r="B177" s="94" t="e">
        <f t="shared" ca="1" si="0"/>
        <v>#N/A</v>
      </c>
      <c r="C177" s="86"/>
      <c r="D177" s="90" t="e">
        <f t="shared" ca="1" si="1"/>
        <v>#N/A</v>
      </c>
      <c r="E177" s="90" t="s">
        <v>153</v>
      </c>
      <c r="F177" s="90"/>
      <c r="G177" s="90"/>
      <c r="H177" s="90" t="e">
        <f t="shared" ca="1" si="2"/>
        <v>#N/A</v>
      </c>
      <c r="I177" s="90" t="s">
        <v>153</v>
      </c>
      <c r="J177" s="47" t="e">
        <f t="shared" ca="1" si="3"/>
        <v>#N/A</v>
      </c>
      <c r="S177" s="102"/>
      <c r="T177" s="102"/>
      <c r="U177" s="102"/>
    </row>
    <row r="178" spans="1:21" ht="14.25" customHeight="1" x14ac:dyDescent="0.3">
      <c r="A178" s="86"/>
      <c r="B178" s="94" t="e">
        <f t="shared" ca="1" si="0"/>
        <v>#N/A</v>
      </c>
      <c r="C178" s="86"/>
      <c r="D178" s="90" t="e">
        <f t="shared" ca="1" si="1"/>
        <v>#N/A</v>
      </c>
      <c r="E178" s="90" t="s">
        <v>153</v>
      </c>
      <c r="F178" s="90"/>
      <c r="G178" s="90"/>
      <c r="H178" s="90" t="e">
        <f t="shared" ca="1" si="2"/>
        <v>#N/A</v>
      </c>
      <c r="I178" s="90" t="s">
        <v>153</v>
      </c>
      <c r="J178" s="47" t="e">
        <f t="shared" ca="1" si="3"/>
        <v>#N/A</v>
      </c>
      <c r="S178" s="102"/>
      <c r="T178" s="102"/>
      <c r="U178" s="102"/>
    </row>
    <row r="179" spans="1:21" ht="14.25" customHeight="1" x14ac:dyDescent="0.3">
      <c r="A179" s="86"/>
      <c r="B179" s="94" t="e">
        <f t="shared" ca="1" si="0"/>
        <v>#N/A</v>
      </c>
      <c r="C179" s="86"/>
      <c r="D179" s="90" t="e">
        <f t="shared" ca="1" si="1"/>
        <v>#N/A</v>
      </c>
      <c r="E179" s="90" t="s">
        <v>153</v>
      </c>
      <c r="F179" s="90"/>
      <c r="G179" s="90"/>
      <c r="H179" s="90" t="e">
        <f t="shared" ca="1" si="2"/>
        <v>#N/A</v>
      </c>
      <c r="I179" s="90" t="s">
        <v>153</v>
      </c>
      <c r="J179" s="47" t="e">
        <f t="shared" ca="1" si="3"/>
        <v>#N/A</v>
      </c>
      <c r="S179" s="102"/>
      <c r="T179" s="102"/>
      <c r="U179" s="102"/>
    </row>
    <row r="180" spans="1:21" ht="14.25" customHeight="1" x14ac:dyDescent="0.3">
      <c r="A180" s="86"/>
      <c r="B180" s="94" t="e">
        <f t="shared" ca="1" si="0"/>
        <v>#N/A</v>
      </c>
      <c r="C180" s="86"/>
      <c r="D180" s="90" t="e">
        <f t="shared" ca="1" si="1"/>
        <v>#N/A</v>
      </c>
      <c r="E180" s="90" t="s">
        <v>153</v>
      </c>
      <c r="F180" s="90"/>
      <c r="G180" s="90"/>
      <c r="H180" s="90" t="e">
        <f t="shared" ca="1" si="2"/>
        <v>#N/A</v>
      </c>
      <c r="I180" s="90" t="s">
        <v>153</v>
      </c>
      <c r="J180" s="47" t="e">
        <f t="shared" ca="1" si="3"/>
        <v>#N/A</v>
      </c>
      <c r="S180" s="102"/>
      <c r="T180" s="102"/>
      <c r="U180" s="102"/>
    </row>
    <row r="181" spans="1:21" ht="14.25" customHeight="1" x14ac:dyDescent="0.3">
      <c r="A181" s="86"/>
      <c r="B181" s="94" t="e">
        <f t="shared" ca="1" si="0"/>
        <v>#N/A</v>
      </c>
      <c r="C181" s="86"/>
      <c r="D181" s="90" t="e">
        <f t="shared" ca="1" si="1"/>
        <v>#N/A</v>
      </c>
      <c r="E181" s="90" t="s">
        <v>153</v>
      </c>
      <c r="F181" s="90"/>
      <c r="G181" s="90"/>
      <c r="H181" s="90" t="e">
        <f t="shared" ca="1" si="2"/>
        <v>#N/A</v>
      </c>
      <c r="I181" s="90" t="s">
        <v>153</v>
      </c>
      <c r="J181" s="47" t="e">
        <f t="shared" ca="1" si="3"/>
        <v>#N/A</v>
      </c>
      <c r="S181" s="102"/>
      <c r="T181" s="102"/>
      <c r="U181" s="102"/>
    </row>
    <row r="182" spans="1:21" ht="14.25" customHeight="1" x14ac:dyDescent="0.3">
      <c r="A182" s="86"/>
      <c r="B182" s="94" t="e">
        <f t="shared" ca="1" si="0"/>
        <v>#N/A</v>
      </c>
      <c r="C182" s="86"/>
      <c r="D182" s="90" t="e">
        <f t="shared" ca="1" si="1"/>
        <v>#N/A</v>
      </c>
      <c r="E182" s="90" t="s">
        <v>153</v>
      </c>
      <c r="F182" s="90"/>
      <c r="G182" s="90"/>
      <c r="H182" s="90" t="e">
        <f t="shared" ca="1" si="2"/>
        <v>#N/A</v>
      </c>
      <c r="I182" s="90" t="s">
        <v>153</v>
      </c>
      <c r="J182" s="47" t="e">
        <f t="shared" ca="1" si="3"/>
        <v>#N/A</v>
      </c>
      <c r="S182" s="102"/>
      <c r="T182" s="102"/>
      <c r="U182" s="102"/>
    </row>
    <row r="183" spans="1:21" ht="14.25" customHeight="1" x14ac:dyDescent="0.3">
      <c r="A183" s="86"/>
      <c r="B183" s="94" t="e">
        <f t="shared" ca="1" si="0"/>
        <v>#N/A</v>
      </c>
      <c r="C183" s="86"/>
      <c r="D183" s="90" t="e">
        <f t="shared" ca="1" si="1"/>
        <v>#N/A</v>
      </c>
      <c r="E183" s="90" t="s">
        <v>153</v>
      </c>
      <c r="F183" s="90"/>
      <c r="G183" s="90"/>
      <c r="H183" s="90" t="e">
        <f t="shared" ca="1" si="2"/>
        <v>#N/A</v>
      </c>
      <c r="I183" s="90" t="s">
        <v>153</v>
      </c>
      <c r="J183" s="47" t="e">
        <f t="shared" ca="1" si="3"/>
        <v>#N/A</v>
      </c>
      <c r="S183" s="102"/>
      <c r="T183" s="102"/>
      <c r="U183" s="102"/>
    </row>
    <row r="184" spans="1:21" ht="14.25" customHeight="1" x14ac:dyDescent="0.3">
      <c r="A184" s="86"/>
      <c r="B184" s="94" t="e">
        <f t="shared" ca="1" si="0"/>
        <v>#N/A</v>
      </c>
      <c r="C184" s="86"/>
      <c r="D184" s="90" t="e">
        <f t="shared" ca="1" si="1"/>
        <v>#N/A</v>
      </c>
      <c r="E184" s="90" t="s">
        <v>153</v>
      </c>
      <c r="F184" s="90"/>
      <c r="G184" s="90"/>
      <c r="H184" s="90" t="e">
        <f t="shared" ca="1" si="2"/>
        <v>#N/A</v>
      </c>
      <c r="I184" s="90" t="s">
        <v>153</v>
      </c>
      <c r="J184" s="47" t="e">
        <f t="shared" ca="1" si="3"/>
        <v>#N/A</v>
      </c>
      <c r="S184" s="102"/>
      <c r="T184" s="102"/>
      <c r="U184" s="102"/>
    </row>
    <row r="185" spans="1:21" ht="14.25" customHeight="1" x14ac:dyDescent="0.3">
      <c r="A185" s="86"/>
      <c r="B185" s="94" t="e">
        <f t="shared" ca="1" si="0"/>
        <v>#N/A</v>
      </c>
      <c r="C185" s="86"/>
      <c r="D185" s="90" t="e">
        <f t="shared" ca="1" si="1"/>
        <v>#N/A</v>
      </c>
      <c r="E185" s="90" t="s">
        <v>153</v>
      </c>
      <c r="F185" s="90"/>
      <c r="G185" s="90"/>
      <c r="H185" s="90" t="e">
        <f t="shared" ca="1" si="2"/>
        <v>#N/A</v>
      </c>
      <c r="I185" s="90" t="s">
        <v>153</v>
      </c>
      <c r="J185" s="47" t="e">
        <f t="shared" ca="1" si="3"/>
        <v>#N/A</v>
      </c>
      <c r="S185" s="102"/>
      <c r="T185" s="102"/>
      <c r="U185" s="102"/>
    </row>
    <row r="186" spans="1:21" ht="14.25" customHeight="1" x14ac:dyDescent="0.3">
      <c r="A186" s="86"/>
      <c r="B186" s="94" t="e">
        <f t="shared" ca="1" si="0"/>
        <v>#N/A</v>
      </c>
      <c r="C186" s="86"/>
      <c r="D186" s="90" t="e">
        <f t="shared" ca="1" si="1"/>
        <v>#N/A</v>
      </c>
      <c r="E186" s="90" t="s">
        <v>153</v>
      </c>
      <c r="F186" s="90"/>
      <c r="G186" s="90"/>
      <c r="H186" s="90" t="e">
        <f t="shared" ca="1" si="2"/>
        <v>#N/A</v>
      </c>
      <c r="I186" s="90" t="s">
        <v>153</v>
      </c>
      <c r="J186" s="47" t="e">
        <f t="shared" ca="1" si="3"/>
        <v>#N/A</v>
      </c>
      <c r="S186" s="102"/>
      <c r="T186" s="102"/>
      <c r="U186" s="102"/>
    </row>
    <row r="187" spans="1:21" ht="14.25" customHeight="1" x14ac:dyDescent="0.3">
      <c r="A187" s="86"/>
      <c r="B187" s="94" t="e">
        <f t="shared" ca="1" si="0"/>
        <v>#N/A</v>
      </c>
      <c r="C187" s="86"/>
      <c r="D187" s="90" t="e">
        <f t="shared" ca="1" si="1"/>
        <v>#N/A</v>
      </c>
      <c r="E187" s="90" t="s">
        <v>153</v>
      </c>
      <c r="F187" s="90"/>
      <c r="G187" s="90"/>
      <c r="H187" s="90" t="e">
        <f t="shared" ca="1" si="2"/>
        <v>#N/A</v>
      </c>
      <c r="I187" s="90" t="s">
        <v>153</v>
      </c>
      <c r="J187" s="47" t="e">
        <f t="shared" ca="1" si="3"/>
        <v>#N/A</v>
      </c>
      <c r="S187" s="102"/>
      <c r="T187" s="102"/>
      <c r="U187" s="102"/>
    </row>
    <row r="188" spans="1:21" ht="14.25" customHeight="1" x14ac:dyDescent="0.3">
      <c r="A188" s="86"/>
      <c r="B188" s="94" t="e">
        <f t="shared" ca="1" si="0"/>
        <v>#N/A</v>
      </c>
      <c r="C188" s="86"/>
      <c r="D188" s="90" t="e">
        <f t="shared" ca="1" si="1"/>
        <v>#N/A</v>
      </c>
      <c r="E188" s="90" t="s">
        <v>153</v>
      </c>
      <c r="F188" s="90"/>
      <c r="G188" s="90"/>
      <c r="H188" s="90" t="e">
        <f t="shared" ca="1" si="2"/>
        <v>#N/A</v>
      </c>
      <c r="I188" s="90" t="s">
        <v>153</v>
      </c>
      <c r="J188" s="47" t="e">
        <f t="shared" ca="1" si="3"/>
        <v>#N/A</v>
      </c>
      <c r="S188" s="102"/>
      <c r="T188" s="102"/>
      <c r="U188" s="102"/>
    </row>
    <row r="189" spans="1:21" ht="14.25" customHeight="1" x14ac:dyDescent="0.3">
      <c r="A189" s="86"/>
      <c r="B189" s="94" t="e">
        <f t="shared" ca="1" si="0"/>
        <v>#N/A</v>
      </c>
      <c r="C189" s="86"/>
      <c r="D189" s="90" t="e">
        <f t="shared" ca="1" si="1"/>
        <v>#N/A</v>
      </c>
      <c r="E189" s="90" t="s">
        <v>153</v>
      </c>
      <c r="F189" s="90"/>
      <c r="G189" s="90"/>
      <c r="H189" s="90" t="e">
        <f t="shared" ca="1" si="2"/>
        <v>#N/A</v>
      </c>
      <c r="I189" s="90" t="s">
        <v>153</v>
      </c>
      <c r="J189" s="47" t="e">
        <f t="shared" ca="1" si="3"/>
        <v>#N/A</v>
      </c>
      <c r="S189" s="102"/>
      <c r="T189" s="102"/>
      <c r="U189" s="102"/>
    </row>
    <row r="190" spans="1:21" ht="14.25" customHeight="1" x14ac:dyDescent="0.3">
      <c r="A190" s="86"/>
      <c r="B190" s="94" t="e">
        <f t="shared" ca="1" si="0"/>
        <v>#N/A</v>
      </c>
      <c r="C190" s="86"/>
      <c r="D190" s="90" t="e">
        <f t="shared" ca="1" si="1"/>
        <v>#N/A</v>
      </c>
      <c r="E190" s="90" t="s">
        <v>153</v>
      </c>
      <c r="F190" s="90"/>
      <c r="G190" s="90"/>
      <c r="H190" s="90" t="e">
        <f t="shared" ca="1" si="2"/>
        <v>#N/A</v>
      </c>
      <c r="I190" s="90" t="s">
        <v>153</v>
      </c>
      <c r="J190" s="47" t="e">
        <f t="shared" ca="1" si="3"/>
        <v>#N/A</v>
      </c>
      <c r="S190" s="102"/>
      <c r="T190" s="102"/>
      <c r="U190" s="102"/>
    </row>
    <row r="191" spans="1:21" ht="14.25" customHeight="1" x14ac:dyDescent="0.3">
      <c r="A191" s="86"/>
      <c r="B191" s="94" t="e">
        <f t="shared" ca="1" si="0"/>
        <v>#N/A</v>
      </c>
      <c r="C191" s="86"/>
      <c r="D191" s="90" t="e">
        <f t="shared" ca="1" si="1"/>
        <v>#N/A</v>
      </c>
      <c r="E191" s="90" t="s">
        <v>153</v>
      </c>
      <c r="F191" s="90"/>
      <c r="G191" s="90"/>
      <c r="H191" s="90" t="e">
        <f t="shared" ca="1" si="2"/>
        <v>#N/A</v>
      </c>
      <c r="I191" s="90" t="s">
        <v>153</v>
      </c>
      <c r="J191" s="47" t="e">
        <f t="shared" ca="1" si="3"/>
        <v>#N/A</v>
      </c>
      <c r="S191" s="102"/>
      <c r="T191" s="102"/>
      <c r="U191" s="102"/>
    </row>
    <row r="192" spans="1:21" ht="14.25" customHeight="1" x14ac:dyDescent="0.3">
      <c r="A192" s="86"/>
      <c r="B192" s="94" t="e">
        <f t="shared" ca="1" si="0"/>
        <v>#N/A</v>
      </c>
      <c r="C192" s="86"/>
      <c r="D192" s="90" t="e">
        <f t="shared" ca="1" si="1"/>
        <v>#N/A</v>
      </c>
      <c r="E192" s="90" t="s">
        <v>153</v>
      </c>
      <c r="F192" s="90"/>
      <c r="G192" s="90"/>
      <c r="H192" s="90" t="e">
        <f t="shared" ca="1" si="2"/>
        <v>#N/A</v>
      </c>
      <c r="I192" s="90" t="s">
        <v>153</v>
      </c>
      <c r="J192" s="47" t="e">
        <f t="shared" ca="1" si="3"/>
        <v>#N/A</v>
      </c>
      <c r="S192" s="102"/>
      <c r="T192" s="102"/>
      <c r="U192" s="102"/>
    </row>
    <row r="193" spans="1:21" ht="14.25" customHeight="1" x14ac:dyDescent="0.3">
      <c r="A193" s="86"/>
      <c r="B193" s="94" t="e">
        <f t="shared" ca="1" si="0"/>
        <v>#N/A</v>
      </c>
      <c r="C193" s="86"/>
      <c r="D193" s="90" t="e">
        <f t="shared" ca="1" si="1"/>
        <v>#N/A</v>
      </c>
      <c r="E193" s="90" t="s">
        <v>153</v>
      </c>
      <c r="F193" s="90"/>
      <c r="G193" s="90"/>
      <c r="H193" s="90" t="e">
        <f t="shared" ca="1" si="2"/>
        <v>#N/A</v>
      </c>
      <c r="I193" s="90" t="s">
        <v>153</v>
      </c>
      <c r="J193" s="47" t="e">
        <f t="shared" ca="1" si="3"/>
        <v>#N/A</v>
      </c>
      <c r="S193" s="102"/>
      <c r="T193" s="102"/>
      <c r="U193" s="102"/>
    </row>
    <row r="194" spans="1:21" ht="14.25" customHeight="1" x14ac:dyDescent="0.3">
      <c r="A194" s="86"/>
      <c r="B194" s="94" t="e">
        <f t="shared" ca="1" si="0"/>
        <v>#N/A</v>
      </c>
      <c r="C194" s="86"/>
      <c r="D194" s="90" t="e">
        <f t="shared" ca="1" si="1"/>
        <v>#N/A</v>
      </c>
      <c r="E194" s="90" t="s">
        <v>153</v>
      </c>
      <c r="F194" s="90"/>
      <c r="G194" s="90"/>
      <c r="H194" s="90" t="e">
        <f t="shared" ca="1" si="2"/>
        <v>#N/A</v>
      </c>
      <c r="I194" s="90" t="s">
        <v>153</v>
      </c>
      <c r="J194" s="47" t="e">
        <f t="shared" ca="1" si="3"/>
        <v>#N/A</v>
      </c>
      <c r="S194" s="102"/>
      <c r="T194" s="102"/>
      <c r="U194" s="102"/>
    </row>
    <row r="195" spans="1:21" ht="14.25" customHeight="1" x14ac:dyDescent="0.3">
      <c r="A195" s="86"/>
      <c r="B195" s="94" t="e">
        <f t="shared" ca="1" si="0"/>
        <v>#N/A</v>
      </c>
      <c r="C195" s="86"/>
      <c r="D195" s="90" t="e">
        <f t="shared" ca="1" si="1"/>
        <v>#N/A</v>
      </c>
      <c r="E195" s="90" t="s">
        <v>153</v>
      </c>
      <c r="F195" s="90"/>
      <c r="G195" s="90"/>
      <c r="H195" s="90" t="e">
        <f t="shared" ca="1" si="2"/>
        <v>#N/A</v>
      </c>
      <c r="I195" s="90" t="s">
        <v>153</v>
      </c>
      <c r="J195" s="47" t="e">
        <f t="shared" ca="1" si="3"/>
        <v>#N/A</v>
      </c>
      <c r="S195" s="102"/>
      <c r="T195" s="102"/>
      <c r="U195" s="102"/>
    </row>
    <row r="196" spans="1:21" ht="14.25" customHeight="1" x14ac:dyDescent="0.3">
      <c r="A196" s="86"/>
      <c r="B196" s="94" t="e">
        <f t="shared" ca="1" si="0"/>
        <v>#N/A</v>
      </c>
      <c r="C196" s="86"/>
      <c r="D196" s="90" t="e">
        <f t="shared" ca="1" si="1"/>
        <v>#N/A</v>
      </c>
      <c r="E196" s="90" t="s">
        <v>153</v>
      </c>
      <c r="F196" s="90"/>
      <c r="G196" s="90"/>
      <c r="H196" s="90" t="e">
        <f t="shared" ca="1" si="2"/>
        <v>#N/A</v>
      </c>
      <c r="I196" s="90" t="s">
        <v>153</v>
      </c>
      <c r="J196" s="47" t="e">
        <f t="shared" ca="1" si="3"/>
        <v>#N/A</v>
      </c>
      <c r="S196" s="102"/>
      <c r="T196" s="102"/>
      <c r="U196" s="102"/>
    </row>
    <row r="197" spans="1:21" ht="14.25" customHeight="1" x14ac:dyDescent="0.3">
      <c r="A197" s="86"/>
      <c r="B197" s="94" t="e">
        <f t="shared" ca="1" si="0"/>
        <v>#N/A</v>
      </c>
      <c r="C197" s="86"/>
      <c r="D197" s="90" t="e">
        <f t="shared" ca="1" si="1"/>
        <v>#N/A</v>
      </c>
      <c r="E197" s="90" t="s">
        <v>153</v>
      </c>
      <c r="F197" s="90"/>
      <c r="G197" s="90"/>
      <c r="H197" s="90" t="e">
        <f t="shared" ca="1" si="2"/>
        <v>#N/A</v>
      </c>
      <c r="I197" s="90" t="s">
        <v>153</v>
      </c>
      <c r="J197" s="47" t="e">
        <f t="shared" ca="1" si="3"/>
        <v>#N/A</v>
      </c>
      <c r="S197" s="102"/>
      <c r="T197" s="102"/>
      <c r="U197" s="102"/>
    </row>
    <row r="198" spans="1:21" ht="14.25" customHeight="1" x14ac:dyDescent="0.3">
      <c r="A198" s="86"/>
      <c r="B198" s="94" t="e">
        <f t="shared" ca="1" si="0"/>
        <v>#N/A</v>
      </c>
      <c r="C198" s="86"/>
      <c r="D198" s="90" t="e">
        <f t="shared" ca="1" si="1"/>
        <v>#N/A</v>
      </c>
      <c r="E198" s="90" t="s">
        <v>153</v>
      </c>
      <c r="F198" s="90"/>
      <c r="G198" s="90"/>
      <c r="H198" s="90" t="e">
        <f t="shared" ca="1" si="2"/>
        <v>#N/A</v>
      </c>
      <c r="I198" s="90" t="s">
        <v>153</v>
      </c>
      <c r="J198" s="47" t="e">
        <f t="shared" ca="1" si="3"/>
        <v>#N/A</v>
      </c>
      <c r="S198" s="102"/>
      <c r="T198" s="102"/>
      <c r="U198" s="102"/>
    </row>
    <row r="199" spans="1:21" ht="14.25" customHeight="1" x14ac:dyDescent="0.3">
      <c r="A199" s="86"/>
      <c r="B199" s="94" t="e">
        <f t="shared" ca="1" si="0"/>
        <v>#N/A</v>
      </c>
      <c r="C199" s="86"/>
      <c r="D199" s="90" t="e">
        <f t="shared" ca="1" si="1"/>
        <v>#N/A</v>
      </c>
      <c r="E199" s="90" t="s">
        <v>153</v>
      </c>
      <c r="F199" s="90"/>
      <c r="G199" s="90"/>
      <c r="H199" s="90" t="e">
        <f t="shared" ca="1" si="2"/>
        <v>#N/A</v>
      </c>
      <c r="I199" s="90" t="s">
        <v>153</v>
      </c>
      <c r="J199" s="47" t="e">
        <f t="shared" ca="1" si="3"/>
        <v>#N/A</v>
      </c>
      <c r="S199" s="102"/>
      <c r="T199" s="102"/>
      <c r="U199" s="102"/>
    </row>
    <row r="200" spans="1:21" ht="14.25" customHeight="1" x14ac:dyDescent="0.3">
      <c r="A200" s="86"/>
      <c r="B200" s="94" t="e">
        <f t="shared" ca="1" si="0"/>
        <v>#N/A</v>
      </c>
      <c r="C200" s="86"/>
      <c r="D200" s="90" t="e">
        <f t="shared" ca="1" si="1"/>
        <v>#N/A</v>
      </c>
      <c r="E200" s="90" t="s">
        <v>153</v>
      </c>
      <c r="F200" s="90"/>
      <c r="G200" s="90"/>
      <c r="H200" s="90" t="e">
        <f t="shared" ca="1" si="2"/>
        <v>#N/A</v>
      </c>
      <c r="I200" s="90" t="s">
        <v>153</v>
      </c>
      <c r="J200" s="47" t="e">
        <f t="shared" ca="1" si="3"/>
        <v>#N/A</v>
      </c>
      <c r="S200" s="102"/>
      <c r="T200" s="102"/>
      <c r="U200" s="102"/>
    </row>
    <row r="201" spans="1:21" ht="14.25" customHeight="1" x14ac:dyDescent="0.3">
      <c r="A201" s="86"/>
      <c r="B201" s="94" t="e">
        <f t="shared" ca="1" si="0"/>
        <v>#N/A</v>
      </c>
      <c r="C201" s="86"/>
      <c r="D201" s="90" t="e">
        <f t="shared" ca="1" si="1"/>
        <v>#N/A</v>
      </c>
      <c r="E201" s="90" t="s">
        <v>153</v>
      </c>
      <c r="F201" s="90"/>
      <c r="G201" s="90"/>
      <c r="H201" s="90" t="e">
        <f t="shared" ca="1" si="2"/>
        <v>#N/A</v>
      </c>
      <c r="I201" s="90" t="s">
        <v>153</v>
      </c>
      <c r="J201" s="47" t="e">
        <f t="shared" ca="1" si="3"/>
        <v>#N/A</v>
      </c>
      <c r="S201" s="102"/>
      <c r="T201" s="102"/>
      <c r="U201" s="102"/>
    </row>
    <row r="202" spans="1:21" ht="14.25" customHeight="1" x14ac:dyDescent="0.3">
      <c r="A202" s="86"/>
      <c r="B202" s="94" t="e">
        <f t="shared" ca="1" si="0"/>
        <v>#N/A</v>
      </c>
      <c r="C202" s="86"/>
      <c r="D202" s="90" t="e">
        <f t="shared" ca="1" si="1"/>
        <v>#N/A</v>
      </c>
      <c r="E202" s="90" t="s">
        <v>153</v>
      </c>
      <c r="F202" s="90"/>
      <c r="G202" s="90"/>
      <c r="H202" s="90" t="e">
        <f t="shared" ca="1" si="2"/>
        <v>#N/A</v>
      </c>
      <c r="I202" s="90" t="s">
        <v>153</v>
      </c>
      <c r="J202" s="47" t="e">
        <f t="shared" ca="1" si="3"/>
        <v>#N/A</v>
      </c>
      <c r="S202" s="102"/>
      <c r="T202" s="102"/>
      <c r="U202" s="102"/>
    </row>
    <row r="203" spans="1:21" ht="14.25" customHeight="1" x14ac:dyDescent="0.3">
      <c r="A203" s="86"/>
      <c r="B203" s="94" t="e">
        <f t="shared" ca="1" si="0"/>
        <v>#N/A</v>
      </c>
      <c r="C203" s="86"/>
      <c r="D203" s="90" t="e">
        <f t="shared" ca="1" si="1"/>
        <v>#N/A</v>
      </c>
      <c r="E203" s="90" t="s">
        <v>153</v>
      </c>
      <c r="F203" s="90"/>
      <c r="G203" s="90"/>
      <c r="H203" s="90" t="e">
        <f t="shared" ca="1" si="2"/>
        <v>#N/A</v>
      </c>
      <c r="I203" s="90" t="s">
        <v>153</v>
      </c>
      <c r="J203" s="47" t="e">
        <f t="shared" ca="1" si="3"/>
        <v>#N/A</v>
      </c>
      <c r="S203" s="102"/>
      <c r="T203" s="102"/>
      <c r="U203" s="102"/>
    </row>
    <row r="204" spans="1:21" ht="14.25" customHeight="1" x14ac:dyDescent="0.3">
      <c r="A204" s="86"/>
      <c r="B204" s="94" t="e">
        <f t="shared" ca="1" si="0"/>
        <v>#N/A</v>
      </c>
      <c r="C204" s="86"/>
      <c r="D204" s="90" t="e">
        <f t="shared" ca="1" si="1"/>
        <v>#N/A</v>
      </c>
      <c r="E204" s="90" t="s">
        <v>153</v>
      </c>
      <c r="F204" s="90"/>
      <c r="G204" s="90"/>
      <c r="H204" s="90" t="e">
        <f t="shared" ca="1" si="2"/>
        <v>#N/A</v>
      </c>
      <c r="I204" s="90" t="s">
        <v>153</v>
      </c>
      <c r="J204" s="47" t="e">
        <f t="shared" ca="1" si="3"/>
        <v>#N/A</v>
      </c>
      <c r="S204" s="102"/>
      <c r="T204" s="102"/>
      <c r="U204" s="102"/>
    </row>
    <row r="205" spans="1:21" ht="14.25" customHeight="1" x14ac:dyDescent="0.3">
      <c r="A205" s="86"/>
      <c r="B205" s="94" t="e">
        <f t="shared" ca="1" si="0"/>
        <v>#N/A</v>
      </c>
      <c r="C205" s="86"/>
      <c r="D205" s="90" t="e">
        <f t="shared" ca="1" si="1"/>
        <v>#N/A</v>
      </c>
      <c r="E205" s="90" t="s">
        <v>153</v>
      </c>
      <c r="F205" s="90"/>
      <c r="G205" s="90"/>
      <c r="H205" s="90" t="e">
        <f t="shared" ca="1" si="2"/>
        <v>#N/A</v>
      </c>
      <c r="I205" s="90" t="s">
        <v>153</v>
      </c>
      <c r="J205" s="47" t="e">
        <f t="shared" ca="1" si="3"/>
        <v>#N/A</v>
      </c>
      <c r="S205" s="102"/>
      <c r="T205" s="102"/>
      <c r="U205" s="102"/>
    </row>
    <row r="206" spans="1:21" ht="14.25" customHeight="1" x14ac:dyDescent="0.3">
      <c r="A206" s="86"/>
      <c r="B206" s="94" t="e">
        <f t="shared" ca="1" si="0"/>
        <v>#N/A</v>
      </c>
      <c r="C206" s="86"/>
      <c r="D206" s="90" t="e">
        <f t="shared" ca="1" si="1"/>
        <v>#N/A</v>
      </c>
      <c r="E206" s="90" t="s">
        <v>153</v>
      </c>
      <c r="F206" s="90"/>
      <c r="G206" s="90"/>
      <c r="H206" s="90" t="e">
        <f t="shared" ca="1" si="2"/>
        <v>#N/A</v>
      </c>
      <c r="I206" s="90" t="s">
        <v>153</v>
      </c>
      <c r="J206" s="47" t="e">
        <f t="shared" ca="1" si="3"/>
        <v>#N/A</v>
      </c>
      <c r="S206" s="102"/>
      <c r="T206" s="102"/>
      <c r="U206" s="102"/>
    </row>
    <row r="207" spans="1:21" ht="14.25" customHeight="1" x14ac:dyDescent="0.3">
      <c r="A207" s="86"/>
      <c r="B207" s="94" t="e">
        <f t="shared" ca="1" si="0"/>
        <v>#N/A</v>
      </c>
      <c r="C207" s="86"/>
      <c r="D207" s="90" t="e">
        <f t="shared" ca="1" si="1"/>
        <v>#N/A</v>
      </c>
      <c r="E207" s="90" t="s">
        <v>153</v>
      </c>
      <c r="F207" s="90"/>
      <c r="G207" s="90"/>
      <c r="H207" s="90" t="e">
        <f t="shared" ca="1" si="2"/>
        <v>#N/A</v>
      </c>
      <c r="I207" s="90" t="s">
        <v>153</v>
      </c>
      <c r="J207" s="47" t="e">
        <f t="shared" ca="1" si="3"/>
        <v>#N/A</v>
      </c>
      <c r="S207" s="102"/>
      <c r="T207" s="102"/>
      <c r="U207" s="102"/>
    </row>
    <row r="208" spans="1:21" ht="14.25" customHeight="1" x14ac:dyDescent="0.3">
      <c r="A208" s="86"/>
      <c r="B208" s="94" t="e">
        <f t="shared" ca="1" si="0"/>
        <v>#N/A</v>
      </c>
      <c r="C208" s="86"/>
      <c r="D208" s="90" t="e">
        <f t="shared" ca="1" si="1"/>
        <v>#N/A</v>
      </c>
      <c r="E208" s="90" t="s">
        <v>153</v>
      </c>
      <c r="F208" s="90"/>
      <c r="G208" s="90"/>
      <c r="H208" s="90" t="e">
        <f t="shared" ca="1" si="2"/>
        <v>#N/A</v>
      </c>
      <c r="I208" s="90" t="s">
        <v>153</v>
      </c>
      <c r="J208" s="47" t="e">
        <f t="shared" ca="1" si="3"/>
        <v>#N/A</v>
      </c>
      <c r="S208" s="102"/>
      <c r="T208" s="102"/>
      <c r="U208" s="102"/>
    </row>
    <row r="209" spans="1:21" ht="14.25" customHeight="1" x14ac:dyDescent="0.3">
      <c r="A209" s="86"/>
      <c r="B209" s="94" t="e">
        <f t="shared" ca="1" si="0"/>
        <v>#N/A</v>
      </c>
      <c r="C209" s="86"/>
      <c r="D209" s="90" t="e">
        <f t="shared" ca="1" si="1"/>
        <v>#N/A</v>
      </c>
      <c r="E209" s="90" t="s">
        <v>153</v>
      </c>
      <c r="F209" s="90"/>
      <c r="G209" s="90"/>
      <c r="H209" s="90" t="e">
        <f t="shared" ca="1" si="2"/>
        <v>#N/A</v>
      </c>
      <c r="I209" s="90" t="s">
        <v>153</v>
      </c>
      <c r="J209" s="47" t="e">
        <f t="shared" ca="1" si="3"/>
        <v>#N/A</v>
      </c>
      <c r="S209" s="102"/>
      <c r="T209" s="102"/>
      <c r="U209" s="102"/>
    </row>
    <row r="210" spans="1:21" ht="14.25" customHeight="1" x14ac:dyDescent="0.3">
      <c r="A210" s="86"/>
      <c r="B210" s="94" t="e">
        <f t="shared" ca="1" si="0"/>
        <v>#N/A</v>
      </c>
      <c r="C210" s="86"/>
      <c r="D210" s="90" t="e">
        <f t="shared" ca="1" si="1"/>
        <v>#N/A</v>
      </c>
      <c r="E210" s="90" t="s">
        <v>153</v>
      </c>
      <c r="F210" s="90"/>
      <c r="G210" s="90"/>
      <c r="H210" s="90" t="e">
        <f t="shared" ca="1" si="2"/>
        <v>#N/A</v>
      </c>
      <c r="I210" s="90" t="s">
        <v>153</v>
      </c>
      <c r="J210" s="47" t="e">
        <f t="shared" ca="1" si="3"/>
        <v>#N/A</v>
      </c>
      <c r="S210" s="102"/>
      <c r="T210" s="102"/>
      <c r="U210" s="102"/>
    </row>
    <row r="211" spans="1:21" ht="14.25" customHeight="1" x14ac:dyDescent="0.3">
      <c r="A211" s="86"/>
      <c r="B211" s="94" t="e">
        <f t="shared" ca="1" si="0"/>
        <v>#N/A</v>
      </c>
      <c r="C211" s="86"/>
      <c r="D211" s="90" t="e">
        <f t="shared" ca="1" si="1"/>
        <v>#N/A</v>
      </c>
      <c r="E211" s="90" t="s">
        <v>153</v>
      </c>
      <c r="F211" s="90"/>
      <c r="G211" s="90"/>
      <c r="H211" s="90" t="e">
        <f t="shared" ca="1" si="2"/>
        <v>#N/A</v>
      </c>
      <c r="I211" s="90" t="s">
        <v>153</v>
      </c>
      <c r="J211" s="47" t="e">
        <f t="shared" ca="1" si="3"/>
        <v>#N/A</v>
      </c>
      <c r="S211" s="102"/>
      <c r="T211" s="102"/>
      <c r="U211" s="102"/>
    </row>
    <row r="212" spans="1:21" ht="14.25" customHeight="1" x14ac:dyDescent="0.3">
      <c r="A212" s="86"/>
      <c r="B212" s="94" t="e">
        <f t="shared" ca="1" si="0"/>
        <v>#N/A</v>
      </c>
      <c r="C212" s="86"/>
      <c r="D212" s="90" t="e">
        <f t="shared" ca="1" si="1"/>
        <v>#N/A</v>
      </c>
      <c r="E212" s="90" t="s">
        <v>153</v>
      </c>
      <c r="F212" s="90"/>
      <c r="G212" s="90"/>
      <c r="H212" s="90" t="e">
        <f t="shared" ca="1" si="2"/>
        <v>#N/A</v>
      </c>
      <c r="I212" s="90" t="s">
        <v>153</v>
      </c>
      <c r="J212" s="47" t="e">
        <f t="shared" ca="1" si="3"/>
        <v>#N/A</v>
      </c>
      <c r="S212" s="102"/>
      <c r="T212" s="102"/>
      <c r="U212" s="102"/>
    </row>
    <row r="213" spans="1:21" ht="14.25" customHeight="1" x14ac:dyDescent="0.3">
      <c r="A213" s="86"/>
      <c r="B213" s="94" t="e">
        <f t="shared" ca="1" si="0"/>
        <v>#N/A</v>
      </c>
      <c r="C213" s="86"/>
      <c r="D213" s="90" t="e">
        <f t="shared" ca="1" si="1"/>
        <v>#N/A</v>
      </c>
      <c r="E213" s="90" t="s">
        <v>153</v>
      </c>
      <c r="F213" s="90"/>
      <c r="G213" s="90"/>
      <c r="H213" s="90" t="e">
        <f t="shared" ca="1" si="2"/>
        <v>#N/A</v>
      </c>
      <c r="I213" s="90" t="s">
        <v>153</v>
      </c>
      <c r="J213" s="47" t="e">
        <f t="shared" ca="1" si="3"/>
        <v>#N/A</v>
      </c>
      <c r="S213" s="102"/>
      <c r="T213" s="102"/>
      <c r="U213" s="102"/>
    </row>
    <row r="214" spans="1:21" ht="14.25" customHeight="1" x14ac:dyDescent="0.3">
      <c r="A214" s="86"/>
      <c r="B214" s="94" t="e">
        <f t="shared" ca="1" si="0"/>
        <v>#N/A</v>
      </c>
      <c r="C214" s="86"/>
      <c r="D214" s="90" t="e">
        <f t="shared" ca="1" si="1"/>
        <v>#N/A</v>
      </c>
      <c r="E214" s="90" t="s">
        <v>153</v>
      </c>
      <c r="F214" s="90"/>
      <c r="G214" s="90"/>
      <c r="H214" s="90" t="e">
        <f t="shared" ca="1" si="2"/>
        <v>#N/A</v>
      </c>
      <c r="I214" s="90" t="s">
        <v>153</v>
      </c>
      <c r="J214" s="47" t="e">
        <f t="shared" ca="1" si="3"/>
        <v>#N/A</v>
      </c>
      <c r="S214" s="102"/>
      <c r="T214" s="102"/>
      <c r="U214" s="102"/>
    </row>
    <row r="215" spans="1:21" ht="14.25" customHeight="1" x14ac:dyDescent="0.3">
      <c r="A215" s="86"/>
      <c r="B215" s="94" t="e">
        <f t="shared" ca="1" si="0"/>
        <v>#N/A</v>
      </c>
      <c r="C215" s="86"/>
      <c r="D215" s="90" t="e">
        <f t="shared" ca="1" si="1"/>
        <v>#N/A</v>
      </c>
      <c r="E215" s="90" t="s">
        <v>153</v>
      </c>
      <c r="F215" s="90"/>
      <c r="G215" s="90"/>
      <c r="H215" s="90" t="e">
        <f t="shared" ca="1" si="2"/>
        <v>#N/A</v>
      </c>
      <c r="I215" s="90" t="s">
        <v>153</v>
      </c>
      <c r="J215" s="47" t="e">
        <f t="shared" ca="1" si="3"/>
        <v>#N/A</v>
      </c>
      <c r="S215" s="102"/>
      <c r="T215" s="102"/>
      <c r="U215" s="102"/>
    </row>
    <row r="216" spans="1:21" ht="14.25" customHeight="1" x14ac:dyDescent="0.3">
      <c r="A216" s="86"/>
      <c r="B216" s="94" t="e">
        <f t="shared" ca="1" si="0"/>
        <v>#N/A</v>
      </c>
      <c r="C216" s="86"/>
      <c r="D216" s="90" t="e">
        <f t="shared" ca="1" si="1"/>
        <v>#N/A</v>
      </c>
      <c r="E216" s="90" t="s">
        <v>153</v>
      </c>
      <c r="F216" s="90"/>
      <c r="G216" s="90"/>
      <c r="H216" s="90" t="e">
        <f t="shared" ca="1" si="2"/>
        <v>#N/A</v>
      </c>
      <c r="I216" s="90" t="s">
        <v>153</v>
      </c>
      <c r="J216" s="47" t="e">
        <f t="shared" ca="1" si="3"/>
        <v>#N/A</v>
      </c>
      <c r="S216" s="102"/>
      <c r="T216" s="102"/>
      <c r="U216" s="102"/>
    </row>
    <row r="217" spans="1:21" ht="14.25" customHeight="1" x14ac:dyDescent="0.3">
      <c r="A217" s="86"/>
      <c r="B217" s="94" t="e">
        <f t="shared" ca="1" si="0"/>
        <v>#N/A</v>
      </c>
      <c r="C217" s="86"/>
      <c r="D217" s="90" t="e">
        <f t="shared" ca="1" si="1"/>
        <v>#N/A</v>
      </c>
      <c r="E217" s="90" t="s">
        <v>153</v>
      </c>
      <c r="F217" s="90"/>
      <c r="G217" s="90"/>
      <c r="H217" s="90" t="e">
        <f t="shared" ca="1" si="2"/>
        <v>#N/A</v>
      </c>
      <c r="I217" s="90" t="s">
        <v>153</v>
      </c>
      <c r="J217" s="47" t="e">
        <f t="shared" ca="1" si="3"/>
        <v>#N/A</v>
      </c>
      <c r="S217" s="102"/>
      <c r="T217" s="102"/>
      <c r="U217" s="102"/>
    </row>
    <row r="218" spans="1:21" ht="14.25" customHeight="1" x14ac:dyDescent="0.3">
      <c r="A218" s="86"/>
      <c r="B218" s="94" t="e">
        <f t="shared" ca="1" si="0"/>
        <v>#N/A</v>
      </c>
      <c r="C218" s="86"/>
      <c r="D218" s="90" t="e">
        <f t="shared" ca="1" si="1"/>
        <v>#N/A</v>
      </c>
      <c r="E218" s="90" t="s">
        <v>153</v>
      </c>
      <c r="F218" s="90"/>
      <c r="G218" s="90"/>
      <c r="H218" s="90" t="e">
        <f t="shared" ca="1" si="2"/>
        <v>#N/A</v>
      </c>
      <c r="I218" s="90" t="s">
        <v>153</v>
      </c>
      <c r="J218" s="47" t="e">
        <f t="shared" ca="1" si="3"/>
        <v>#N/A</v>
      </c>
      <c r="S218" s="102"/>
      <c r="T218" s="102"/>
      <c r="U218" s="102"/>
    </row>
    <row r="219" spans="1:21" ht="14.25" customHeight="1" x14ac:dyDescent="0.3">
      <c r="A219" s="86"/>
      <c r="B219" s="94" t="e">
        <f t="shared" ca="1" si="0"/>
        <v>#N/A</v>
      </c>
      <c r="C219" s="86"/>
      <c r="D219" s="90" t="e">
        <f t="shared" ca="1" si="1"/>
        <v>#N/A</v>
      </c>
      <c r="E219" s="90" t="s">
        <v>153</v>
      </c>
      <c r="F219" s="90"/>
      <c r="G219" s="90"/>
      <c r="H219" s="90" t="e">
        <f t="shared" ca="1" si="2"/>
        <v>#N/A</v>
      </c>
      <c r="I219" s="90" t="s">
        <v>153</v>
      </c>
      <c r="J219" s="47" t="e">
        <f t="shared" ca="1" si="3"/>
        <v>#N/A</v>
      </c>
      <c r="S219" s="102"/>
      <c r="T219" s="102"/>
      <c r="U219" s="102"/>
    </row>
    <row r="220" spans="1:21" ht="14.25" customHeight="1" x14ac:dyDescent="0.3">
      <c r="A220" s="86"/>
      <c r="B220" s="94" t="e">
        <f t="shared" ca="1" si="0"/>
        <v>#N/A</v>
      </c>
      <c r="C220" s="86"/>
      <c r="D220" s="90" t="e">
        <f t="shared" ca="1" si="1"/>
        <v>#N/A</v>
      </c>
      <c r="E220" s="90" t="s">
        <v>153</v>
      </c>
      <c r="F220" s="90"/>
      <c r="G220" s="90"/>
      <c r="H220" s="90" t="e">
        <f t="shared" ca="1" si="2"/>
        <v>#N/A</v>
      </c>
      <c r="I220" s="90" t="s">
        <v>153</v>
      </c>
      <c r="J220" s="47" t="e">
        <f t="shared" ca="1" si="3"/>
        <v>#N/A</v>
      </c>
      <c r="S220" s="102"/>
      <c r="T220" s="102"/>
      <c r="U220" s="102"/>
    </row>
    <row r="221" spans="1:21" ht="14.25" customHeight="1" x14ac:dyDescent="0.3">
      <c r="A221" s="86"/>
      <c r="B221" s="94" t="e">
        <f t="shared" ca="1" si="0"/>
        <v>#N/A</v>
      </c>
      <c r="C221" s="86"/>
      <c r="D221" s="90" t="e">
        <f t="shared" ca="1" si="1"/>
        <v>#N/A</v>
      </c>
      <c r="E221" s="90" t="s">
        <v>153</v>
      </c>
      <c r="F221" s="90"/>
      <c r="G221" s="90"/>
      <c r="H221" s="90" t="e">
        <f t="shared" ca="1" si="2"/>
        <v>#N/A</v>
      </c>
      <c r="I221" s="90" t="s">
        <v>153</v>
      </c>
      <c r="J221" s="47" t="e">
        <f t="shared" ca="1" si="3"/>
        <v>#N/A</v>
      </c>
      <c r="S221" s="102"/>
      <c r="T221" s="102"/>
      <c r="U221" s="102"/>
    </row>
    <row r="222" spans="1:21" ht="14.25" customHeight="1" x14ac:dyDescent="0.3">
      <c r="A222" s="86"/>
      <c r="B222" s="94" t="e">
        <f t="shared" ca="1" si="0"/>
        <v>#N/A</v>
      </c>
      <c r="C222" s="86"/>
      <c r="D222" s="90" t="e">
        <f t="shared" ca="1" si="1"/>
        <v>#N/A</v>
      </c>
      <c r="E222" s="90" t="s">
        <v>153</v>
      </c>
      <c r="F222" s="90"/>
      <c r="G222" s="90"/>
      <c r="H222" s="90" t="e">
        <f t="shared" ca="1" si="2"/>
        <v>#N/A</v>
      </c>
      <c r="I222" s="90" t="s">
        <v>153</v>
      </c>
      <c r="J222" s="47" t="e">
        <f t="shared" ca="1" si="3"/>
        <v>#N/A</v>
      </c>
      <c r="S222" s="102"/>
      <c r="T222" s="102"/>
      <c r="U222" s="102"/>
    </row>
    <row r="223" spans="1:21" ht="14.25" customHeight="1" x14ac:dyDescent="0.3">
      <c r="A223" s="86"/>
      <c r="B223" s="94" t="e">
        <f t="shared" ca="1" si="0"/>
        <v>#N/A</v>
      </c>
      <c r="C223" s="86"/>
      <c r="D223" s="90" t="e">
        <f t="shared" ca="1" si="1"/>
        <v>#N/A</v>
      </c>
      <c r="E223" s="90" t="s">
        <v>153</v>
      </c>
      <c r="F223" s="90"/>
      <c r="G223" s="90"/>
      <c r="H223" s="90" t="e">
        <f t="shared" ca="1" si="2"/>
        <v>#N/A</v>
      </c>
      <c r="I223" s="90" t="s">
        <v>153</v>
      </c>
      <c r="J223" s="47" t="e">
        <f t="shared" ca="1" si="3"/>
        <v>#N/A</v>
      </c>
      <c r="S223" s="102"/>
      <c r="T223" s="102"/>
      <c r="U223" s="102"/>
    </row>
    <row r="224" spans="1:21" ht="14.25" customHeight="1" x14ac:dyDescent="0.3">
      <c r="A224" s="86"/>
      <c r="B224" s="94" t="e">
        <f t="shared" ca="1" si="0"/>
        <v>#N/A</v>
      </c>
      <c r="C224" s="86"/>
      <c r="D224" s="90" t="e">
        <f t="shared" ca="1" si="1"/>
        <v>#N/A</v>
      </c>
      <c r="E224" s="90" t="s">
        <v>153</v>
      </c>
      <c r="F224" s="90"/>
      <c r="G224" s="90"/>
      <c r="H224" s="90" t="e">
        <f t="shared" ca="1" si="2"/>
        <v>#N/A</v>
      </c>
      <c r="I224" s="90" t="s">
        <v>153</v>
      </c>
      <c r="J224" s="47" t="e">
        <f t="shared" ca="1" si="3"/>
        <v>#N/A</v>
      </c>
      <c r="S224" s="102"/>
      <c r="T224" s="102"/>
      <c r="U224" s="102"/>
    </row>
    <row r="225" spans="1:21" ht="14.25" customHeight="1" x14ac:dyDescent="0.3">
      <c r="A225" s="86"/>
      <c r="B225" s="94" t="e">
        <f t="shared" ca="1" si="0"/>
        <v>#N/A</v>
      </c>
      <c r="C225" s="86"/>
      <c r="D225" s="90" t="e">
        <f t="shared" ca="1" si="1"/>
        <v>#N/A</v>
      </c>
      <c r="E225" s="90" t="s">
        <v>153</v>
      </c>
      <c r="F225" s="90"/>
      <c r="G225" s="90"/>
      <c r="H225" s="90" t="e">
        <f t="shared" ca="1" si="2"/>
        <v>#N/A</v>
      </c>
      <c r="I225" s="90" t="s">
        <v>153</v>
      </c>
      <c r="J225" s="47" t="e">
        <f t="shared" ca="1" si="3"/>
        <v>#N/A</v>
      </c>
      <c r="S225" s="102"/>
      <c r="T225" s="102"/>
      <c r="U225" s="102"/>
    </row>
    <row r="226" spans="1:21" ht="14.25" customHeight="1" x14ac:dyDescent="0.3">
      <c r="A226" s="86"/>
      <c r="B226" s="94" t="e">
        <f t="shared" ca="1" si="0"/>
        <v>#N/A</v>
      </c>
      <c r="C226" s="86"/>
      <c r="D226" s="90" t="e">
        <f t="shared" ca="1" si="1"/>
        <v>#N/A</v>
      </c>
      <c r="E226" s="90" t="s">
        <v>153</v>
      </c>
      <c r="F226" s="90"/>
      <c r="G226" s="90"/>
      <c r="H226" s="90" t="e">
        <f t="shared" ca="1" si="2"/>
        <v>#N/A</v>
      </c>
      <c r="I226" s="90" t="s">
        <v>153</v>
      </c>
      <c r="J226" s="47" t="e">
        <f t="shared" ca="1" si="3"/>
        <v>#N/A</v>
      </c>
      <c r="S226" s="102"/>
      <c r="T226" s="102"/>
      <c r="U226" s="102"/>
    </row>
    <row r="227" spans="1:21" ht="14.25" customHeight="1" x14ac:dyDescent="0.3">
      <c r="A227" s="86"/>
      <c r="B227" s="94" t="e">
        <f t="shared" ca="1" si="0"/>
        <v>#N/A</v>
      </c>
      <c r="C227" s="86"/>
      <c r="D227" s="90" t="e">
        <f t="shared" ca="1" si="1"/>
        <v>#N/A</v>
      </c>
      <c r="E227" s="90" t="s">
        <v>153</v>
      </c>
      <c r="F227" s="90"/>
      <c r="G227" s="90"/>
      <c r="H227" s="90" t="e">
        <f t="shared" ca="1" si="2"/>
        <v>#N/A</v>
      </c>
      <c r="I227" s="90" t="s">
        <v>153</v>
      </c>
      <c r="J227" s="47" t="e">
        <f t="shared" ca="1" si="3"/>
        <v>#N/A</v>
      </c>
      <c r="S227" s="102"/>
      <c r="T227" s="102"/>
      <c r="U227" s="102"/>
    </row>
    <row r="228" spans="1:21" ht="14.25" customHeight="1" x14ac:dyDescent="0.3">
      <c r="A228" s="86"/>
      <c r="B228" s="94" t="e">
        <f t="shared" ca="1" si="0"/>
        <v>#N/A</v>
      </c>
      <c r="C228" s="86"/>
      <c r="D228" s="90" t="e">
        <f t="shared" ca="1" si="1"/>
        <v>#N/A</v>
      </c>
      <c r="E228" s="90" t="s">
        <v>153</v>
      </c>
      <c r="F228" s="90"/>
      <c r="G228" s="90"/>
      <c r="H228" s="90" t="e">
        <f t="shared" ca="1" si="2"/>
        <v>#N/A</v>
      </c>
      <c r="I228" s="90" t="s">
        <v>153</v>
      </c>
      <c r="J228" s="47" t="e">
        <f t="shared" ca="1" si="3"/>
        <v>#N/A</v>
      </c>
      <c r="S228" s="102"/>
      <c r="T228" s="102"/>
      <c r="U228" s="102"/>
    </row>
    <row r="229" spans="1:21" ht="14.25" customHeight="1" x14ac:dyDescent="0.3">
      <c r="A229" s="86"/>
      <c r="B229" s="94" t="e">
        <f t="shared" ca="1" si="0"/>
        <v>#N/A</v>
      </c>
      <c r="C229" s="86"/>
      <c r="D229" s="90" t="e">
        <f t="shared" ca="1" si="1"/>
        <v>#N/A</v>
      </c>
      <c r="E229" s="90" t="s">
        <v>153</v>
      </c>
      <c r="F229" s="90"/>
      <c r="G229" s="90"/>
      <c r="H229" s="90" t="e">
        <f t="shared" ca="1" si="2"/>
        <v>#N/A</v>
      </c>
      <c r="I229" s="90" t="s">
        <v>153</v>
      </c>
      <c r="J229" s="47" t="e">
        <f t="shared" ca="1" si="3"/>
        <v>#N/A</v>
      </c>
      <c r="S229" s="102"/>
      <c r="T229" s="102"/>
      <c r="U229" s="102"/>
    </row>
    <row r="230" spans="1:21" ht="14.25" customHeight="1" x14ac:dyDescent="0.3">
      <c r="A230" s="86"/>
      <c r="B230" s="94" t="e">
        <f t="shared" ca="1" si="0"/>
        <v>#N/A</v>
      </c>
      <c r="C230" s="86"/>
      <c r="D230" s="90" t="e">
        <f t="shared" ca="1" si="1"/>
        <v>#N/A</v>
      </c>
      <c r="E230" s="90" t="s">
        <v>153</v>
      </c>
      <c r="F230" s="90"/>
      <c r="G230" s="90"/>
      <c r="H230" s="90" t="e">
        <f t="shared" ca="1" si="2"/>
        <v>#N/A</v>
      </c>
      <c r="I230" s="90" t="s">
        <v>153</v>
      </c>
      <c r="J230" s="47" t="e">
        <f t="shared" ca="1" si="3"/>
        <v>#N/A</v>
      </c>
      <c r="S230" s="102"/>
      <c r="T230" s="102"/>
      <c r="U230" s="102"/>
    </row>
    <row r="231" spans="1:21" ht="14.25" customHeight="1" x14ac:dyDescent="0.3">
      <c r="A231" s="86"/>
      <c r="B231" s="94" t="e">
        <f t="shared" ca="1" si="0"/>
        <v>#N/A</v>
      </c>
      <c r="C231" s="86"/>
      <c r="D231" s="90" t="e">
        <f t="shared" ca="1" si="1"/>
        <v>#N/A</v>
      </c>
      <c r="E231" s="90" t="s">
        <v>153</v>
      </c>
      <c r="F231" s="90"/>
      <c r="G231" s="90"/>
      <c r="H231" s="90" t="e">
        <f t="shared" ca="1" si="2"/>
        <v>#N/A</v>
      </c>
      <c r="I231" s="90" t="s">
        <v>153</v>
      </c>
      <c r="J231" s="47" t="e">
        <f t="shared" ca="1" si="3"/>
        <v>#N/A</v>
      </c>
      <c r="S231" s="102"/>
      <c r="T231" s="102"/>
      <c r="U231" s="102"/>
    </row>
    <row r="232" spans="1:21" ht="14.25" customHeight="1" x14ac:dyDescent="0.3">
      <c r="A232" s="86"/>
      <c r="B232" s="94" t="e">
        <f t="shared" ca="1" si="0"/>
        <v>#N/A</v>
      </c>
      <c r="C232" s="86"/>
      <c r="D232" s="90" t="e">
        <f t="shared" ca="1" si="1"/>
        <v>#N/A</v>
      </c>
      <c r="E232" s="90" t="s">
        <v>153</v>
      </c>
      <c r="F232" s="90"/>
      <c r="G232" s="90"/>
      <c r="H232" s="90" t="e">
        <f t="shared" ca="1" si="2"/>
        <v>#N/A</v>
      </c>
      <c r="I232" s="90" t="s">
        <v>153</v>
      </c>
      <c r="J232" s="47" t="e">
        <f t="shared" ca="1" si="3"/>
        <v>#N/A</v>
      </c>
      <c r="S232" s="102"/>
      <c r="T232" s="102"/>
      <c r="U232" s="102"/>
    </row>
    <row r="233" spans="1:21" ht="14.25" customHeight="1" x14ac:dyDescent="0.3">
      <c r="A233" s="86"/>
      <c r="B233" s="94" t="e">
        <f t="shared" ca="1" si="0"/>
        <v>#N/A</v>
      </c>
      <c r="C233" s="86"/>
      <c r="D233" s="90" t="e">
        <f t="shared" ca="1" si="1"/>
        <v>#N/A</v>
      </c>
      <c r="E233" s="90" t="s">
        <v>153</v>
      </c>
      <c r="F233" s="90"/>
      <c r="G233" s="90"/>
      <c r="H233" s="90" t="e">
        <f t="shared" ca="1" si="2"/>
        <v>#N/A</v>
      </c>
      <c r="I233" s="90" t="s">
        <v>153</v>
      </c>
      <c r="J233" s="47" t="e">
        <f t="shared" ca="1" si="3"/>
        <v>#N/A</v>
      </c>
      <c r="S233" s="102"/>
      <c r="T233" s="102"/>
      <c r="U233" s="102"/>
    </row>
    <row r="234" spans="1:21" ht="14.25" customHeight="1" x14ac:dyDescent="0.3">
      <c r="A234" s="86"/>
      <c r="B234" s="94" t="e">
        <f t="shared" ca="1" si="0"/>
        <v>#N/A</v>
      </c>
      <c r="C234" s="86"/>
      <c r="D234" s="90" t="e">
        <f t="shared" ca="1" si="1"/>
        <v>#N/A</v>
      </c>
      <c r="E234" s="90" t="s">
        <v>153</v>
      </c>
      <c r="F234" s="90"/>
      <c r="G234" s="90"/>
      <c r="H234" s="90" t="e">
        <f t="shared" ca="1" si="2"/>
        <v>#N/A</v>
      </c>
      <c r="I234" s="90" t="s">
        <v>153</v>
      </c>
      <c r="J234" s="47" t="e">
        <f t="shared" ca="1" si="3"/>
        <v>#N/A</v>
      </c>
      <c r="S234" s="102"/>
      <c r="T234" s="102"/>
      <c r="U234" s="102"/>
    </row>
    <row r="235" spans="1:21" ht="14.25" customHeight="1" x14ac:dyDescent="0.3">
      <c r="A235" s="86"/>
      <c r="B235" s="94" t="e">
        <f t="shared" ca="1" si="0"/>
        <v>#N/A</v>
      </c>
      <c r="C235" s="86"/>
      <c r="D235" s="90" t="e">
        <f t="shared" ca="1" si="1"/>
        <v>#N/A</v>
      </c>
      <c r="E235" s="90" t="s">
        <v>153</v>
      </c>
      <c r="F235" s="90"/>
      <c r="G235" s="90"/>
      <c r="H235" s="90" t="e">
        <f t="shared" ca="1" si="2"/>
        <v>#N/A</v>
      </c>
      <c r="I235" s="90" t="s">
        <v>153</v>
      </c>
      <c r="J235" s="47" t="e">
        <f t="shared" ca="1" si="3"/>
        <v>#N/A</v>
      </c>
      <c r="S235" s="102"/>
      <c r="T235" s="102"/>
      <c r="U235" s="102"/>
    </row>
    <row r="236" spans="1:21" ht="14.25" customHeight="1" x14ac:dyDescent="0.3">
      <c r="A236" s="86"/>
      <c r="B236" s="94" t="e">
        <f t="shared" ca="1" si="0"/>
        <v>#N/A</v>
      </c>
      <c r="C236" s="86"/>
      <c r="D236" s="90" t="e">
        <f t="shared" ca="1" si="1"/>
        <v>#N/A</v>
      </c>
      <c r="E236" s="90" t="s">
        <v>153</v>
      </c>
      <c r="F236" s="90"/>
      <c r="G236" s="90"/>
      <c r="H236" s="90" t="e">
        <f t="shared" ca="1" si="2"/>
        <v>#N/A</v>
      </c>
      <c r="I236" s="90" t="s">
        <v>153</v>
      </c>
      <c r="J236" s="47" t="e">
        <f t="shared" ca="1" si="3"/>
        <v>#N/A</v>
      </c>
      <c r="S236" s="102"/>
      <c r="T236" s="102"/>
      <c r="U236" s="102"/>
    </row>
    <row r="237" spans="1:21" ht="14.25" customHeight="1" x14ac:dyDescent="0.3">
      <c r="A237" s="86"/>
      <c r="B237" s="94" t="e">
        <f t="shared" ca="1" si="0"/>
        <v>#N/A</v>
      </c>
      <c r="C237" s="86"/>
      <c r="D237" s="90" t="e">
        <f t="shared" ca="1" si="1"/>
        <v>#N/A</v>
      </c>
      <c r="E237" s="90" t="s">
        <v>153</v>
      </c>
      <c r="F237" s="90"/>
      <c r="G237" s="90"/>
      <c r="H237" s="90" t="e">
        <f t="shared" ca="1" si="2"/>
        <v>#N/A</v>
      </c>
      <c r="I237" s="90" t="s">
        <v>153</v>
      </c>
      <c r="J237" s="47" t="e">
        <f t="shared" ca="1" si="3"/>
        <v>#N/A</v>
      </c>
      <c r="S237" s="102"/>
      <c r="T237" s="102"/>
      <c r="U237" s="102"/>
    </row>
    <row r="238" spans="1:21" ht="14.25" customHeight="1" x14ac:dyDescent="0.3">
      <c r="A238" s="86"/>
      <c r="B238" s="94" t="e">
        <f t="shared" ca="1" si="0"/>
        <v>#N/A</v>
      </c>
      <c r="C238" s="86"/>
      <c r="D238" s="90" t="e">
        <f t="shared" ca="1" si="1"/>
        <v>#N/A</v>
      </c>
      <c r="E238" s="90" t="s">
        <v>153</v>
      </c>
      <c r="F238" s="90"/>
      <c r="G238" s="90"/>
      <c r="H238" s="90" t="e">
        <f t="shared" ca="1" si="2"/>
        <v>#N/A</v>
      </c>
      <c r="I238" s="90" t="s">
        <v>153</v>
      </c>
      <c r="J238" s="47" t="e">
        <f t="shared" ca="1" si="3"/>
        <v>#N/A</v>
      </c>
      <c r="S238" s="102"/>
      <c r="T238" s="102"/>
      <c r="U238" s="102"/>
    </row>
    <row r="239" spans="1:21" ht="14.25" customHeight="1" x14ac:dyDescent="0.3">
      <c r="A239" s="86"/>
      <c r="B239" s="94" t="e">
        <f t="shared" ca="1" si="0"/>
        <v>#N/A</v>
      </c>
      <c r="C239" s="86"/>
      <c r="D239" s="90" t="e">
        <f t="shared" ca="1" si="1"/>
        <v>#N/A</v>
      </c>
      <c r="E239" s="90" t="s">
        <v>153</v>
      </c>
      <c r="F239" s="90"/>
      <c r="G239" s="90"/>
      <c r="H239" s="90" t="e">
        <f t="shared" ca="1" si="2"/>
        <v>#N/A</v>
      </c>
      <c r="I239" s="90" t="s">
        <v>153</v>
      </c>
      <c r="J239" s="47" t="e">
        <f t="shared" ca="1" si="3"/>
        <v>#N/A</v>
      </c>
      <c r="S239" s="102"/>
      <c r="T239" s="102"/>
      <c r="U239" s="102"/>
    </row>
    <row r="240" spans="1:21" ht="14.25" customHeight="1" x14ac:dyDescent="0.3">
      <c r="A240" s="86"/>
      <c r="B240" s="94" t="e">
        <f t="shared" ca="1" si="0"/>
        <v>#N/A</v>
      </c>
      <c r="C240" s="86"/>
      <c r="D240" s="90" t="e">
        <f t="shared" ca="1" si="1"/>
        <v>#N/A</v>
      </c>
      <c r="E240" s="90" t="s">
        <v>153</v>
      </c>
      <c r="F240" s="90"/>
      <c r="G240" s="90"/>
      <c r="H240" s="90" t="e">
        <f t="shared" ca="1" si="2"/>
        <v>#N/A</v>
      </c>
      <c r="I240" s="90" t="s">
        <v>153</v>
      </c>
      <c r="J240" s="47" t="e">
        <f t="shared" ca="1" si="3"/>
        <v>#N/A</v>
      </c>
      <c r="S240" s="102"/>
      <c r="T240" s="102"/>
      <c r="U240" s="102"/>
    </row>
    <row r="241" spans="1:21" ht="14.25" customHeight="1" x14ac:dyDescent="0.3">
      <c r="A241" s="86"/>
      <c r="B241" s="94" t="e">
        <f t="shared" ca="1" si="0"/>
        <v>#N/A</v>
      </c>
      <c r="C241" s="86"/>
      <c r="D241" s="90" t="e">
        <f t="shared" ca="1" si="1"/>
        <v>#N/A</v>
      </c>
      <c r="E241" s="90" t="s">
        <v>153</v>
      </c>
      <c r="F241" s="90"/>
      <c r="G241" s="90"/>
      <c r="H241" s="90" t="e">
        <f t="shared" ca="1" si="2"/>
        <v>#N/A</v>
      </c>
      <c r="I241" s="90" t="s">
        <v>153</v>
      </c>
      <c r="J241" s="47" t="e">
        <f t="shared" ca="1" si="3"/>
        <v>#N/A</v>
      </c>
      <c r="S241" s="102"/>
      <c r="T241" s="102"/>
      <c r="U241" s="102"/>
    </row>
    <row r="242" spans="1:21" ht="14.25" customHeight="1" x14ac:dyDescent="0.3">
      <c r="A242" s="86"/>
      <c r="B242" s="94" t="e">
        <f t="shared" ca="1" si="0"/>
        <v>#N/A</v>
      </c>
      <c r="C242" s="86"/>
      <c r="D242" s="90" t="e">
        <f t="shared" ca="1" si="1"/>
        <v>#N/A</v>
      </c>
      <c r="E242" s="90" t="s">
        <v>153</v>
      </c>
      <c r="F242" s="90"/>
      <c r="G242" s="90"/>
      <c r="H242" s="90" t="e">
        <f t="shared" ca="1" si="2"/>
        <v>#N/A</v>
      </c>
      <c r="I242" s="90" t="s">
        <v>153</v>
      </c>
      <c r="J242" s="47" t="e">
        <f t="shared" ca="1" si="3"/>
        <v>#N/A</v>
      </c>
      <c r="S242" s="102"/>
      <c r="T242" s="102"/>
      <c r="U242" s="102"/>
    </row>
    <row r="243" spans="1:21" ht="14.25" customHeight="1" x14ac:dyDescent="0.3">
      <c r="A243" s="86"/>
      <c r="B243" s="94" t="e">
        <f t="shared" ca="1" si="0"/>
        <v>#N/A</v>
      </c>
      <c r="C243" s="86"/>
      <c r="D243" s="90" t="e">
        <f t="shared" ca="1" si="1"/>
        <v>#N/A</v>
      </c>
      <c r="E243" s="90" t="s">
        <v>153</v>
      </c>
      <c r="F243" s="90"/>
      <c r="G243" s="90"/>
      <c r="H243" s="90" t="e">
        <f t="shared" ca="1" si="2"/>
        <v>#N/A</v>
      </c>
      <c r="I243" s="90" t="s">
        <v>153</v>
      </c>
      <c r="J243" s="47" t="e">
        <f t="shared" ca="1" si="3"/>
        <v>#N/A</v>
      </c>
      <c r="S243" s="102"/>
      <c r="T243" s="102"/>
      <c r="U243" s="102"/>
    </row>
    <row r="244" spans="1:21" ht="14.25" customHeight="1" x14ac:dyDescent="0.3">
      <c r="A244" s="86"/>
      <c r="B244" s="94" t="e">
        <f t="shared" ca="1" si="0"/>
        <v>#N/A</v>
      </c>
      <c r="C244" s="86"/>
      <c r="D244" s="90" t="e">
        <f t="shared" ca="1" si="1"/>
        <v>#N/A</v>
      </c>
      <c r="E244" s="90" t="s">
        <v>153</v>
      </c>
      <c r="F244" s="90"/>
      <c r="G244" s="90"/>
      <c r="H244" s="90" t="e">
        <f t="shared" ca="1" si="2"/>
        <v>#N/A</v>
      </c>
      <c r="I244" s="90" t="s">
        <v>153</v>
      </c>
      <c r="J244" s="47" t="e">
        <f t="shared" ca="1" si="3"/>
        <v>#N/A</v>
      </c>
      <c r="S244" s="102"/>
      <c r="T244" s="102"/>
      <c r="U244" s="102"/>
    </row>
    <row r="245" spans="1:21" ht="14.25" customHeight="1" x14ac:dyDescent="0.3">
      <c r="A245" s="86"/>
      <c r="B245" s="94" t="e">
        <f t="shared" ca="1" si="0"/>
        <v>#N/A</v>
      </c>
      <c r="C245" s="86"/>
      <c r="D245" s="90" t="e">
        <f t="shared" ca="1" si="1"/>
        <v>#N/A</v>
      </c>
      <c r="E245" s="90" t="s">
        <v>153</v>
      </c>
      <c r="F245" s="90"/>
      <c r="G245" s="90"/>
      <c r="H245" s="90" t="e">
        <f t="shared" ca="1" si="2"/>
        <v>#N/A</v>
      </c>
      <c r="I245" s="90" t="s">
        <v>153</v>
      </c>
      <c r="J245" s="47" t="e">
        <f t="shared" ca="1" si="3"/>
        <v>#N/A</v>
      </c>
      <c r="S245" s="102"/>
      <c r="T245" s="102"/>
      <c r="U245" s="102"/>
    </row>
    <row r="246" spans="1:21" ht="14.25" customHeight="1" x14ac:dyDescent="0.3">
      <c r="A246" s="86"/>
      <c r="B246" s="94" t="e">
        <f t="shared" ca="1" si="0"/>
        <v>#N/A</v>
      </c>
      <c r="C246" s="86"/>
      <c r="D246" s="90" t="e">
        <f t="shared" ca="1" si="1"/>
        <v>#N/A</v>
      </c>
      <c r="E246" s="90" t="s">
        <v>153</v>
      </c>
      <c r="F246" s="90"/>
      <c r="G246" s="90"/>
      <c r="H246" s="90" t="e">
        <f t="shared" ca="1" si="2"/>
        <v>#N/A</v>
      </c>
      <c r="I246" s="90" t="s">
        <v>153</v>
      </c>
      <c r="J246" s="47" t="e">
        <f t="shared" ca="1" si="3"/>
        <v>#N/A</v>
      </c>
      <c r="S246" s="102"/>
      <c r="T246" s="102"/>
      <c r="U246" s="102"/>
    </row>
    <row r="247" spans="1:21" ht="14.25" customHeight="1" x14ac:dyDescent="0.3">
      <c r="A247" s="86"/>
      <c r="B247" s="94" t="e">
        <f t="shared" ca="1" si="0"/>
        <v>#N/A</v>
      </c>
      <c r="C247" s="86"/>
      <c r="D247" s="90" t="e">
        <f t="shared" ca="1" si="1"/>
        <v>#N/A</v>
      </c>
      <c r="E247" s="90" t="s">
        <v>153</v>
      </c>
      <c r="F247" s="90"/>
      <c r="G247" s="90"/>
      <c r="H247" s="90" t="e">
        <f t="shared" ca="1" si="2"/>
        <v>#N/A</v>
      </c>
      <c r="I247" s="90" t="s">
        <v>153</v>
      </c>
      <c r="J247" s="47" t="e">
        <f t="shared" ca="1" si="3"/>
        <v>#N/A</v>
      </c>
      <c r="S247" s="102"/>
      <c r="T247" s="102"/>
      <c r="U247" s="102"/>
    </row>
    <row r="248" spans="1:21" ht="14.25" customHeight="1" x14ac:dyDescent="0.3">
      <c r="A248" s="86"/>
      <c r="B248" s="94" t="e">
        <f t="shared" ca="1" si="0"/>
        <v>#N/A</v>
      </c>
      <c r="C248" s="86"/>
      <c r="D248" s="90" t="e">
        <f t="shared" ca="1" si="1"/>
        <v>#N/A</v>
      </c>
      <c r="E248" s="90" t="s">
        <v>153</v>
      </c>
      <c r="F248" s="90"/>
      <c r="G248" s="90"/>
      <c r="H248" s="90" t="e">
        <f t="shared" ca="1" si="2"/>
        <v>#N/A</v>
      </c>
      <c r="I248" s="90" t="s">
        <v>153</v>
      </c>
      <c r="J248" s="47" t="e">
        <f t="shared" ca="1" si="3"/>
        <v>#N/A</v>
      </c>
      <c r="S248" s="102"/>
      <c r="T248" s="102"/>
      <c r="U248" s="102"/>
    </row>
    <row r="249" spans="1:21" ht="14.25" customHeight="1" x14ac:dyDescent="0.3">
      <c r="A249" s="86"/>
      <c r="B249" s="94" t="e">
        <f t="shared" ca="1" si="0"/>
        <v>#N/A</v>
      </c>
      <c r="C249" s="86"/>
      <c r="D249" s="90" t="e">
        <f t="shared" ca="1" si="1"/>
        <v>#N/A</v>
      </c>
      <c r="E249" s="90" t="s">
        <v>153</v>
      </c>
      <c r="F249" s="90"/>
      <c r="G249" s="90"/>
      <c r="H249" s="90" t="e">
        <f t="shared" ca="1" si="2"/>
        <v>#N/A</v>
      </c>
      <c r="I249" s="90" t="s">
        <v>153</v>
      </c>
      <c r="J249" s="47" t="e">
        <f t="shared" ca="1" si="3"/>
        <v>#N/A</v>
      </c>
      <c r="S249" s="102"/>
      <c r="T249" s="102"/>
      <c r="U249" s="102"/>
    </row>
    <row r="250" spans="1:21" ht="14.25" customHeight="1" x14ac:dyDescent="0.3">
      <c r="A250" s="86"/>
      <c r="B250" s="94" t="e">
        <f t="shared" ca="1" si="0"/>
        <v>#N/A</v>
      </c>
      <c r="C250" s="86"/>
      <c r="D250" s="90" t="e">
        <f t="shared" ca="1" si="1"/>
        <v>#N/A</v>
      </c>
      <c r="E250" s="90" t="s">
        <v>153</v>
      </c>
      <c r="F250" s="90"/>
      <c r="G250" s="90"/>
      <c r="H250" s="90" t="e">
        <f t="shared" ca="1" si="2"/>
        <v>#N/A</v>
      </c>
      <c r="I250" s="90" t="s">
        <v>153</v>
      </c>
      <c r="J250" s="47" t="e">
        <f t="shared" ca="1" si="3"/>
        <v>#N/A</v>
      </c>
      <c r="S250" s="102"/>
      <c r="T250" s="102"/>
      <c r="U250" s="102"/>
    </row>
    <row r="251" spans="1:21" ht="14.25" customHeight="1" x14ac:dyDescent="0.3">
      <c r="A251" s="86"/>
      <c r="B251" s="94" t="e">
        <f t="shared" ca="1" si="0"/>
        <v>#N/A</v>
      </c>
      <c r="C251" s="86"/>
      <c r="D251" s="90" t="e">
        <f t="shared" ca="1" si="1"/>
        <v>#N/A</v>
      </c>
      <c r="E251" s="90" t="s">
        <v>153</v>
      </c>
      <c r="F251" s="90"/>
      <c r="G251" s="90"/>
      <c r="H251" s="90" t="e">
        <f t="shared" ca="1" si="2"/>
        <v>#N/A</v>
      </c>
      <c r="I251" s="90" t="s">
        <v>153</v>
      </c>
      <c r="J251" s="47" t="e">
        <f t="shared" ca="1" si="3"/>
        <v>#N/A</v>
      </c>
      <c r="S251" s="102"/>
      <c r="T251" s="102"/>
      <c r="U251" s="102"/>
    </row>
    <row r="252" spans="1:21" ht="14.25" customHeight="1" x14ac:dyDescent="0.3">
      <c r="A252" s="86"/>
      <c r="B252" s="94" t="e">
        <f t="shared" ca="1" si="0"/>
        <v>#N/A</v>
      </c>
      <c r="C252" s="86"/>
      <c r="D252" s="90" t="e">
        <f t="shared" ca="1" si="1"/>
        <v>#N/A</v>
      </c>
      <c r="E252" s="90" t="s">
        <v>153</v>
      </c>
      <c r="F252" s="90"/>
      <c r="G252" s="90"/>
      <c r="H252" s="90" t="e">
        <f t="shared" ca="1" si="2"/>
        <v>#N/A</v>
      </c>
      <c r="I252" s="90" t="s">
        <v>153</v>
      </c>
      <c r="J252" s="47" t="e">
        <f t="shared" ca="1" si="3"/>
        <v>#N/A</v>
      </c>
      <c r="S252" s="102"/>
      <c r="T252" s="102"/>
      <c r="U252" s="102"/>
    </row>
    <row r="253" spans="1:21" ht="14.25" customHeight="1" x14ac:dyDescent="0.3">
      <c r="A253" s="86"/>
      <c r="B253" s="94" t="e">
        <f t="shared" ca="1" si="0"/>
        <v>#N/A</v>
      </c>
      <c r="C253" s="86"/>
      <c r="D253" s="90" t="e">
        <f t="shared" ca="1" si="1"/>
        <v>#N/A</v>
      </c>
      <c r="E253" s="90" t="s">
        <v>153</v>
      </c>
      <c r="F253" s="90"/>
      <c r="G253" s="90"/>
      <c r="H253" s="90" t="e">
        <f t="shared" ca="1" si="2"/>
        <v>#N/A</v>
      </c>
      <c r="I253" s="90" t="s">
        <v>153</v>
      </c>
      <c r="J253" s="47" t="e">
        <f t="shared" ca="1" si="3"/>
        <v>#N/A</v>
      </c>
      <c r="S253" s="102"/>
      <c r="T253" s="102"/>
      <c r="U253" s="102"/>
    </row>
    <row r="254" spans="1:21" ht="14.25" customHeight="1" x14ac:dyDescent="0.3">
      <c r="A254" s="86"/>
      <c r="B254" s="94" t="e">
        <f t="shared" ca="1" si="0"/>
        <v>#N/A</v>
      </c>
      <c r="C254" s="86"/>
      <c r="D254" s="90" t="e">
        <f t="shared" ca="1" si="1"/>
        <v>#N/A</v>
      </c>
      <c r="E254" s="90" t="s">
        <v>153</v>
      </c>
      <c r="F254" s="90"/>
      <c r="G254" s="90"/>
      <c r="H254" s="90" t="e">
        <f t="shared" ca="1" si="2"/>
        <v>#N/A</v>
      </c>
      <c r="I254" s="90" t="s">
        <v>153</v>
      </c>
      <c r="J254" s="47" t="e">
        <f t="shared" ca="1" si="3"/>
        <v>#N/A</v>
      </c>
      <c r="S254" s="102"/>
      <c r="T254" s="102"/>
      <c r="U254" s="102"/>
    </row>
    <row r="255" spans="1:21" ht="14.25" customHeight="1" x14ac:dyDescent="0.3">
      <c r="A255" s="86"/>
      <c r="B255" s="94" t="e">
        <f t="shared" ca="1" si="0"/>
        <v>#N/A</v>
      </c>
      <c r="C255" s="86"/>
      <c r="D255" s="90" t="e">
        <f t="shared" ca="1" si="1"/>
        <v>#N/A</v>
      </c>
      <c r="E255" s="90" t="s">
        <v>153</v>
      </c>
      <c r="F255" s="90"/>
      <c r="G255" s="90"/>
      <c r="H255" s="90" t="e">
        <f t="shared" ca="1" si="2"/>
        <v>#N/A</v>
      </c>
      <c r="I255" s="90" t="s">
        <v>153</v>
      </c>
      <c r="J255" s="47" t="e">
        <f t="shared" ca="1" si="3"/>
        <v>#N/A</v>
      </c>
      <c r="S255" s="102"/>
      <c r="T255" s="102"/>
      <c r="U255" s="102"/>
    </row>
    <row r="256" spans="1:21" ht="14.25" customHeight="1" x14ac:dyDescent="0.3">
      <c r="A256" s="86"/>
      <c r="B256" s="94" t="e">
        <f t="shared" ca="1" si="0"/>
        <v>#N/A</v>
      </c>
      <c r="C256" s="86"/>
      <c r="D256" s="90" t="e">
        <f t="shared" ca="1" si="1"/>
        <v>#N/A</v>
      </c>
      <c r="E256" s="90" t="s">
        <v>153</v>
      </c>
      <c r="F256" s="90"/>
      <c r="G256" s="90"/>
      <c r="H256" s="90" t="e">
        <f t="shared" ca="1" si="2"/>
        <v>#N/A</v>
      </c>
      <c r="I256" s="90" t="s">
        <v>153</v>
      </c>
      <c r="J256" s="47" t="e">
        <f t="shared" ca="1" si="3"/>
        <v>#N/A</v>
      </c>
      <c r="S256" s="102"/>
      <c r="T256" s="102"/>
      <c r="U256" s="102"/>
    </row>
    <row r="257" spans="1:21" ht="14.25" customHeight="1" x14ac:dyDescent="0.3">
      <c r="A257" s="86"/>
      <c r="B257" s="94" t="e">
        <f t="shared" ref="B257:B451" ca="1" si="9">VLOOKUP(A257,TermekKod_data,2,FALSE)</f>
        <v>#N/A</v>
      </c>
      <c r="C257" s="86"/>
      <c r="D257" s="90" t="e">
        <f t="shared" ref="D257:D451" ca="1" si="10">VLOOKUP($A257,TermekKod_data,8,0)</f>
        <v>#N/A</v>
      </c>
      <c r="E257" s="90" t="s">
        <v>153</v>
      </c>
      <c r="F257" s="90"/>
      <c r="G257" s="90"/>
      <c r="H257" s="90" t="e">
        <f t="shared" ref="H257:H451" ca="1" si="11">VLOOKUP($A257,TermekKod_data,9,0)</f>
        <v>#N/A</v>
      </c>
      <c r="I257" s="90" t="s">
        <v>153</v>
      </c>
      <c r="J257" s="47" t="e">
        <f t="shared" ref="J257:J451" ca="1" si="12">VLOOKUP(A257,TermekKod_data,3,FALSE)</f>
        <v>#N/A</v>
      </c>
      <c r="S257" s="102"/>
      <c r="T257" s="102"/>
      <c r="U257" s="102"/>
    </row>
    <row r="258" spans="1:21" ht="14.25" customHeight="1" x14ac:dyDescent="0.3">
      <c r="A258" s="86"/>
      <c r="B258" s="94" t="e">
        <f t="shared" ca="1" si="9"/>
        <v>#N/A</v>
      </c>
      <c r="C258" s="86"/>
      <c r="D258" s="90" t="e">
        <f t="shared" ca="1" si="10"/>
        <v>#N/A</v>
      </c>
      <c r="E258" s="90" t="s">
        <v>153</v>
      </c>
      <c r="F258" s="90"/>
      <c r="G258" s="90"/>
      <c r="H258" s="90" t="e">
        <f t="shared" ca="1" si="11"/>
        <v>#N/A</v>
      </c>
      <c r="I258" s="90" t="s">
        <v>153</v>
      </c>
      <c r="J258" s="47" t="e">
        <f t="shared" ca="1" si="12"/>
        <v>#N/A</v>
      </c>
      <c r="S258" s="102"/>
      <c r="T258" s="102"/>
      <c r="U258" s="102"/>
    </row>
    <row r="259" spans="1:21" ht="14.25" customHeight="1" x14ac:dyDescent="0.3">
      <c r="A259" s="86"/>
      <c r="B259" s="94" t="e">
        <f t="shared" ca="1" si="9"/>
        <v>#N/A</v>
      </c>
      <c r="C259" s="86"/>
      <c r="D259" s="90" t="e">
        <f t="shared" ca="1" si="10"/>
        <v>#N/A</v>
      </c>
      <c r="E259" s="90" t="s">
        <v>153</v>
      </c>
      <c r="F259" s="90"/>
      <c r="G259" s="90"/>
      <c r="H259" s="90" t="e">
        <f t="shared" ca="1" si="11"/>
        <v>#N/A</v>
      </c>
      <c r="I259" s="90" t="s">
        <v>153</v>
      </c>
      <c r="J259" s="47" t="e">
        <f t="shared" ca="1" si="12"/>
        <v>#N/A</v>
      </c>
      <c r="S259" s="102"/>
      <c r="T259" s="102"/>
      <c r="U259" s="102"/>
    </row>
    <row r="260" spans="1:21" ht="14.25" customHeight="1" x14ac:dyDescent="0.3">
      <c r="A260" s="86"/>
      <c r="B260" s="94" t="e">
        <f t="shared" ca="1" si="9"/>
        <v>#N/A</v>
      </c>
      <c r="C260" s="86"/>
      <c r="D260" s="90" t="e">
        <f t="shared" ca="1" si="10"/>
        <v>#N/A</v>
      </c>
      <c r="E260" s="90" t="s">
        <v>153</v>
      </c>
      <c r="F260" s="90"/>
      <c r="G260" s="90"/>
      <c r="H260" s="90" t="e">
        <f t="shared" ca="1" si="11"/>
        <v>#N/A</v>
      </c>
      <c r="I260" s="90" t="s">
        <v>153</v>
      </c>
      <c r="J260" s="47" t="e">
        <f t="shared" ca="1" si="12"/>
        <v>#N/A</v>
      </c>
      <c r="S260" s="102"/>
      <c r="T260" s="102"/>
      <c r="U260" s="102"/>
    </row>
    <row r="261" spans="1:21" ht="14.25" customHeight="1" x14ac:dyDescent="0.3">
      <c r="A261" s="86"/>
      <c r="B261" s="94" t="e">
        <f t="shared" ca="1" si="9"/>
        <v>#N/A</v>
      </c>
      <c r="C261" s="86"/>
      <c r="D261" s="90" t="e">
        <f t="shared" ca="1" si="10"/>
        <v>#N/A</v>
      </c>
      <c r="E261" s="90" t="s">
        <v>153</v>
      </c>
      <c r="F261" s="90"/>
      <c r="G261" s="90"/>
      <c r="H261" s="90" t="e">
        <f t="shared" ca="1" si="11"/>
        <v>#N/A</v>
      </c>
      <c r="I261" s="90" t="s">
        <v>153</v>
      </c>
      <c r="J261" s="47" t="e">
        <f t="shared" ca="1" si="12"/>
        <v>#N/A</v>
      </c>
      <c r="S261" s="102"/>
      <c r="T261" s="102"/>
      <c r="U261" s="102"/>
    </row>
    <row r="262" spans="1:21" ht="14.25" customHeight="1" x14ac:dyDescent="0.3">
      <c r="A262" s="86"/>
      <c r="B262" s="94" t="e">
        <f t="shared" ca="1" si="9"/>
        <v>#N/A</v>
      </c>
      <c r="C262" s="86"/>
      <c r="D262" s="90" t="e">
        <f t="shared" ca="1" si="10"/>
        <v>#N/A</v>
      </c>
      <c r="E262" s="90" t="s">
        <v>153</v>
      </c>
      <c r="F262" s="90"/>
      <c r="G262" s="90"/>
      <c r="H262" s="90" t="e">
        <f t="shared" ca="1" si="11"/>
        <v>#N/A</v>
      </c>
      <c r="I262" s="90" t="s">
        <v>153</v>
      </c>
      <c r="J262" s="47" t="e">
        <f t="shared" ca="1" si="12"/>
        <v>#N/A</v>
      </c>
      <c r="S262" s="102"/>
      <c r="T262" s="102"/>
      <c r="U262" s="102"/>
    </row>
    <row r="263" spans="1:21" ht="14.25" customHeight="1" x14ac:dyDescent="0.3">
      <c r="A263" s="86"/>
      <c r="B263" s="94" t="e">
        <f t="shared" ca="1" si="9"/>
        <v>#N/A</v>
      </c>
      <c r="C263" s="86"/>
      <c r="D263" s="90" t="e">
        <f t="shared" ca="1" si="10"/>
        <v>#N/A</v>
      </c>
      <c r="E263" s="90" t="s">
        <v>153</v>
      </c>
      <c r="F263" s="90"/>
      <c r="G263" s="90"/>
      <c r="H263" s="90" t="e">
        <f t="shared" ca="1" si="11"/>
        <v>#N/A</v>
      </c>
      <c r="I263" s="90" t="s">
        <v>153</v>
      </c>
      <c r="J263" s="47" t="e">
        <f t="shared" ca="1" si="12"/>
        <v>#N/A</v>
      </c>
      <c r="S263" s="102"/>
      <c r="T263" s="102"/>
      <c r="U263" s="102"/>
    </row>
    <row r="264" spans="1:21" ht="14.25" customHeight="1" x14ac:dyDescent="0.3">
      <c r="A264" s="86"/>
      <c r="B264" s="94" t="e">
        <f t="shared" ca="1" si="9"/>
        <v>#N/A</v>
      </c>
      <c r="C264" s="86"/>
      <c r="D264" s="90" t="e">
        <f t="shared" ca="1" si="10"/>
        <v>#N/A</v>
      </c>
      <c r="E264" s="90" t="s">
        <v>153</v>
      </c>
      <c r="F264" s="90"/>
      <c r="G264" s="90"/>
      <c r="H264" s="90" t="e">
        <f t="shared" ca="1" si="11"/>
        <v>#N/A</v>
      </c>
      <c r="I264" s="90" t="s">
        <v>153</v>
      </c>
      <c r="J264" s="47" t="e">
        <f t="shared" ca="1" si="12"/>
        <v>#N/A</v>
      </c>
      <c r="S264" s="102"/>
      <c r="T264" s="102"/>
      <c r="U264" s="102"/>
    </row>
    <row r="265" spans="1:21" ht="14.25" customHeight="1" x14ac:dyDescent="0.3">
      <c r="A265" s="86"/>
      <c r="B265" s="94" t="e">
        <f t="shared" ca="1" si="9"/>
        <v>#N/A</v>
      </c>
      <c r="C265" s="86"/>
      <c r="D265" s="90" t="e">
        <f t="shared" ca="1" si="10"/>
        <v>#N/A</v>
      </c>
      <c r="E265" s="90" t="s">
        <v>153</v>
      </c>
      <c r="F265" s="90"/>
      <c r="G265" s="90"/>
      <c r="H265" s="90" t="e">
        <f t="shared" ca="1" si="11"/>
        <v>#N/A</v>
      </c>
      <c r="I265" s="90" t="s">
        <v>153</v>
      </c>
      <c r="J265" s="47" t="e">
        <f t="shared" ca="1" si="12"/>
        <v>#N/A</v>
      </c>
      <c r="S265" s="102"/>
      <c r="T265" s="102"/>
      <c r="U265" s="102"/>
    </row>
    <row r="266" spans="1:21" ht="14.25" customHeight="1" x14ac:dyDescent="0.3">
      <c r="A266" s="86"/>
      <c r="B266" s="94" t="e">
        <f t="shared" ca="1" si="9"/>
        <v>#N/A</v>
      </c>
      <c r="C266" s="86"/>
      <c r="D266" s="90" t="e">
        <f t="shared" ca="1" si="10"/>
        <v>#N/A</v>
      </c>
      <c r="E266" s="90" t="s">
        <v>153</v>
      </c>
      <c r="F266" s="90"/>
      <c r="G266" s="90"/>
      <c r="H266" s="90" t="e">
        <f t="shared" ca="1" si="11"/>
        <v>#N/A</v>
      </c>
      <c r="I266" s="90" t="s">
        <v>153</v>
      </c>
      <c r="J266" s="47" t="e">
        <f t="shared" ca="1" si="12"/>
        <v>#N/A</v>
      </c>
      <c r="S266" s="102"/>
      <c r="T266" s="102"/>
      <c r="U266" s="102"/>
    </row>
    <row r="267" spans="1:21" ht="14.25" customHeight="1" x14ac:dyDescent="0.3">
      <c r="A267" s="86"/>
      <c r="B267" s="94" t="e">
        <f t="shared" ca="1" si="9"/>
        <v>#N/A</v>
      </c>
      <c r="C267" s="86"/>
      <c r="D267" s="90" t="e">
        <f t="shared" ca="1" si="10"/>
        <v>#N/A</v>
      </c>
      <c r="E267" s="90" t="s">
        <v>153</v>
      </c>
      <c r="F267" s="90"/>
      <c r="G267" s="90"/>
      <c r="H267" s="90" t="e">
        <f t="shared" ca="1" si="11"/>
        <v>#N/A</v>
      </c>
      <c r="I267" s="90" t="s">
        <v>153</v>
      </c>
      <c r="J267" s="47" t="e">
        <f t="shared" ca="1" si="12"/>
        <v>#N/A</v>
      </c>
      <c r="S267" s="102"/>
      <c r="T267" s="102"/>
      <c r="U267" s="102"/>
    </row>
    <row r="268" spans="1:21" ht="14.25" customHeight="1" x14ac:dyDescent="0.3">
      <c r="A268" s="86"/>
      <c r="B268" s="94" t="e">
        <f t="shared" ca="1" si="9"/>
        <v>#N/A</v>
      </c>
      <c r="C268" s="86"/>
      <c r="D268" s="90" t="e">
        <f t="shared" ca="1" si="10"/>
        <v>#N/A</v>
      </c>
      <c r="E268" s="90" t="s">
        <v>153</v>
      </c>
      <c r="F268" s="90"/>
      <c r="G268" s="90"/>
      <c r="H268" s="90" t="e">
        <f t="shared" ca="1" si="11"/>
        <v>#N/A</v>
      </c>
      <c r="I268" s="90" t="s">
        <v>153</v>
      </c>
      <c r="J268" s="47" t="e">
        <f t="shared" ca="1" si="12"/>
        <v>#N/A</v>
      </c>
      <c r="S268" s="102"/>
      <c r="T268" s="102"/>
      <c r="U268" s="102"/>
    </row>
    <row r="269" spans="1:21" ht="14.25" customHeight="1" x14ac:dyDescent="0.3">
      <c r="A269" s="86"/>
      <c r="B269" s="94" t="e">
        <f t="shared" ca="1" si="9"/>
        <v>#N/A</v>
      </c>
      <c r="C269" s="86"/>
      <c r="D269" s="90" t="e">
        <f t="shared" ca="1" si="10"/>
        <v>#N/A</v>
      </c>
      <c r="E269" s="90" t="s">
        <v>153</v>
      </c>
      <c r="F269" s="90"/>
      <c r="G269" s="90"/>
      <c r="H269" s="90" t="e">
        <f t="shared" ca="1" si="11"/>
        <v>#N/A</v>
      </c>
      <c r="I269" s="90" t="s">
        <v>153</v>
      </c>
      <c r="J269" s="47" t="e">
        <f t="shared" ca="1" si="12"/>
        <v>#N/A</v>
      </c>
      <c r="S269" s="102"/>
      <c r="T269" s="102"/>
      <c r="U269" s="102"/>
    </row>
    <row r="270" spans="1:21" ht="14.25" customHeight="1" x14ac:dyDescent="0.3">
      <c r="A270" s="86"/>
      <c r="B270" s="94" t="e">
        <f t="shared" ca="1" si="9"/>
        <v>#N/A</v>
      </c>
      <c r="C270" s="86"/>
      <c r="D270" s="90" t="e">
        <f t="shared" ca="1" si="10"/>
        <v>#N/A</v>
      </c>
      <c r="E270" s="90" t="s">
        <v>153</v>
      </c>
      <c r="F270" s="90"/>
      <c r="G270" s="90"/>
      <c r="H270" s="90" t="e">
        <f t="shared" ca="1" si="11"/>
        <v>#N/A</v>
      </c>
      <c r="I270" s="90" t="s">
        <v>153</v>
      </c>
      <c r="J270" s="47" t="e">
        <f t="shared" ca="1" si="12"/>
        <v>#N/A</v>
      </c>
      <c r="S270" s="102"/>
      <c r="T270" s="102"/>
      <c r="U270" s="102"/>
    </row>
    <row r="271" spans="1:21" ht="14.25" customHeight="1" x14ac:dyDescent="0.3">
      <c r="A271" s="86"/>
      <c r="B271" s="94" t="e">
        <f t="shared" ca="1" si="9"/>
        <v>#N/A</v>
      </c>
      <c r="C271" s="86"/>
      <c r="D271" s="90" t="e">
        <f t="shared" ca="1" si="10"/>
        <v>#N/A</v>
      </c>
      <c r="E271" s="90" t="s">
        <v>153</v>
      </c>
      <c r="F271" s="90"/>
      <c r="G271" s="90"/>
      <c r="H271" s="90" t="e">
        <f t="shared" ca="1" si="11"/>
        <v>#N/A</v>
      </c>
      <c r="I271" s="90" t="s">
        <v>153</v>
      </c>
      <c r="J271" s="47" t="e">
        <f t="shared" ca="1" si="12"/>
        <v>#N/A</v>
      </c>
      <c r="S271" s="102"/>
      <c r="T271" s="102"/>
      <c r="U271" s="102"/>
    </row>
    <row r="272" spans="1:21" ht="14.25" customHeight="1" x14ac:dyDescent="0.3">
      <c r="A272" s="86"/>
      <c r="B272" s="94" t="e">
        <f t="shared" ca="1" si="9"/>
        <v>#N/A</v>
      </c>
      <c r="C272" s="86"/>
      <c r="D272" s="90" t="e">
        <f t="shared" ca="1" si="10"/>
        <v>#N/A</v>
      </c>
      <c r="E272" s="90" t="s">
        <v>153</v>
      </c>
      <c r="F272" s="90"/>
      <c r="G272" s="90"/>
      <c r="H272" s="90" t="e">
        <f t="shared" ca="1" si="11"/>
        <v>#N/A</v>
      </c>
      <c r="I272" s="90" t="s">
        <v>153</v>
      </c>
      <c r="J272" s="47" t="e">
        <f t="shared" ca="1" si="12"/>
        <v>#N/A</v>
      </c>
      <c r="S272" s="102"/>
      <c r="T272" s="102"/>
      <c r="U272" s="102"/>
    </row>
    <row r="273" spans="1:21" ht="14.25" customHeight="1" x14ac:dyDescent="0.3">
      <c r="A273" s="86"/>
      <c r="B273" s="94" t="e">
        <f t="shared" ca="1" si="9"/>
        <v>#N/A</v>
      </c>
      <c r="C273" s="86"/>
      <c r="D273" s="90" t="e">
        <f t="shared" ca="1" si="10"/>
        <v>#N/A</v>
      </c>
      <c r="E273" s="90" t="s">
        <v>153</v>
      </c>
      <c r="F273" s="90"/>
      <c r="G273" s="90"/>
      <c r="H273" s="90" t="e">
        <f t="shared" ca="1" si="11"/>
        <v>#N/A</v>
      </c>
      <c r="I273" s="90" t="s">
        <v>153</v>
      </c>
      <c r="J273" s="47" t="e">
        <f t="shared" ca="1" si="12"/>
        <v>#N/A</v>
      </c>
      <c r="S273" s="102"/>
      <c r="T273" s="102"/>
      <c r="U273" s="102"/>
    </row>
    <row r="274" spans="1:21" ht="14.25" customHeight="1" x14ac:dyDescent="0.3">
      <c r="A274" s="86"/>
      <c r="B274" s="94" t="e">
        <f t="shared" ca="1" si="9"/>
        <v>#N/A</v>
      </c>
      <c r="C274" s="86"/>
      <c r="D274" s="90" t="e">
        <f t="shared" ca="1" si="10"/>
        <v>#N/A</v>
      </c>
      <c r="E274" s="90" t="s">
        <v>153</v>
      </c>
      <c r="F274" s="90"/>
      <c r="G274" s="90"/>
      <c r="H274" s="90" t="e">
        <f t="shared" ca="1" si="11"/>
        <v>#N/A</v>
      </c>
      <c r="I274" s="90" t="s">
        <v>153</v>
      </c>
      <c r="J274" s="47" t="e">
        <f t="shared" ca="1" si="12"/>
        <v>#N/A</v>
      </c>
      <c r="S274" s="102"/>
      <c r="T274" s="102"/>
      <c r="U274" s="102"/>
    </row>
    <row r="275" spans="1:21" ht="14.25" customHeight="1" x14ac:dyDescent="0.3">
      <c r="A275" s="86"/>
      <c r="B275" s="94" t="e">
        <f t="shared" ca="1" si="9"/>
        <v>#N/A</v>
      </c>
      <c r="C275" s="86"/>
      <c r="D275" s="90" t="e">
        <f t="shared" ca="1" si="10"/>
        <v>#N/A</v>
      </c>
      <c r="E275" s="90" t="s">
        <v>153</v>
      </c>
      <c r="F275" s="90"/>
      <c r="G275" s="90"/>
      <c r="H275" s="90" t="e">
        <f t="shared" ca="1" si="11"/>
        <v>#N/A</v>
      </c>
      <c r="I275" s="90" t="s">
        <v>153</v>
      </c>
      <c r="J275" s="47" t="e">
        <f t="shared" ca="1" si="12"/>
        <v>#N/A</v>
      </c>
      <c r="S275" s="102"/>
      <c r="T275" s="102"/>
      <c r="U275" s="102"/>
    </row>
    <row r="276" spans="1:21" ht="14.25" customHeight="1" x14ac:dyDescent="0.3">
      <c r="A276" s="86"/>
      <c r="B276" s="94" t="e">
        <f t="shared" ca="1" si="9"/>
        <v>#N/A</v>
      </c>
      <c r="C276" s="86"/>
      <c r="D276" s="90" t="e">
        <f t="shared" ca="1" si="10"/>
        <v>#N/A</v>
      </c>
      <c r="E276" s="90" t="s">
        <v>153</v>
      </c>
      <c r="F276" s="90"/>
      <c r="G276" s="90"/>
      <c r="H276" s="90" t="e">
        <f t="shared" ca="1" si="11"/>
        <v>#N/A</v>
      </c>
      <c r="I276" s="90" t="s">
        <v>153</v>
      </c>
      <c r="J276" s="47" t="e">
        <f t="shared" ca="1" si="12"/>
        <v>#N/A</v>
      </c>
      <c r="S276" s="102"/>
      <c r="T276" s="102"/>
      <c r="U276" s="102"/>
    </row>
    <row r="277" spans="1:21" ht="14.25" customHeight="1" x14ac:dyDescent="0.3">
      <c r="A277" s="86"/>
      <c r="B277" s="94" t="e">
        <f t="shared" ca="1" si="9"/>
        <v>#N/A</v>
      </c>
      <c r="C277" s="86"/>
      <c r="D277" s="90" t="e">
        <f t="shared" ca="1" si="10"/>
        <v>#N/A</v>
      </c>
      <c r="E277" s="90" t="s">
        <v>153</v>
      </c>
      <c r="F277" s="90"/>
      <c r="G277" s="90"/>
      <c r="H277" s="90" t="e">
        <f t="shared" ca="1" si="11"/>
        <v>#N/A</v>
      </c>
      <c r="I277" s="90" t="s">
        <v>153</v>
      </c>
      <c r="J277" s="47" t="e">
        <f t="shared" ca="1" si="12"/>
        <v>#N/A</v>
      </c>
      <c r="S277" s="102"/>
      <c r="T277" s="102"/>
      <c r="U277" s="102"/>
    </row>
    <row r="278" spans="1:21" ht="14.25" customHeight="1" x14ac:dyDescent="0.3">
      <c r="A278" s="86"/>
      <c r="B278" s="94" t="e">
        <f t="shared" ca="1" si="9"/>
        <v>#N/A</v>
      </c>
      <c r="C278" s="86"/>
      <c r="D278" s="90" t="e">
        <f t="shared" ca="1" si="10"/>
        <v>#N/A</v>
      </c>
      <c r="E278" s="90" t="s">
        <v>153</v>
      </c>
      <c r="F278" s="90"/>
      <c r="G278" s="90"/>
      <c r="H278" s="90" t="e">
        <f t="shared" ca="1" si="11"/>
        <v>#N/A</v>
      </c>
      <c r="I278" s="90" t="s">
        <v>153</v>
      </c>
      <c r="J278" s="47" t="e">
        <f t="shared" ca="1" si="12"/>
        <v>#N/A</v>
      </c>
      <c r="S278" s="102"/>
      <c r="T278" s="102"/>
      <c r="U278" s="102"/>
    </row>
    <row r="279" spans="1:21" ht="14.25" customHeight="1" x14ac:dyDescent="0.3">
      <c r="A279" s="86"/>
      <c r="B279" s="94" t="e">
        <f t="shared" ca="1" si="9"/>
        <v>#N/A</v>
      </c>
      <c r="C279" s="86"/>
      <c r="D279" s="90" t="e">
        <f t="shared" ca="1" si="10"/>
        <v>#N/A</v>
      </c>
      <c r="E279" s="90" t="s">
        <v>153</v>
      </c>
      <c r="F279" s="90"/>
      <c r="G279" s="90"/>
      <c r="H279" s="90" t="e">
        <f t="shared" ca="1" si="11"/>
        <v>#N/A</v>
      </c>
      <c r="I279" s="90" t="s">
        <v>153</v>
      </c>
      <c r="J279" s="47" t="e">
        <f t="shared" ca="1" si="12"/>
        <v>#N/A</v>
      </c>
      <c r="S279" s="102"/>
      <c r="T279" s="102"/>
      <c r="U279" s="102"/>
    </row>
    <row r="280" spans="1:21" ht="14.25" customHeight="1" x14ac:dyDescent="0.3">
      <c r="A280" s="86"/>
      <c r="B280" s="94" t="e">
        <f t="shared" ca="1" si="9"/>
        <v>#N/A</v>
      </c>
      <c r="C280" s="86"/>
      <c r="D280" s="90" t="e">
        <f t="shared" ca="1" si="10"/>
        <v>#N/A</v>
      </c>
      <c r="E280" s="90" t="s">
        <v>153</v>
      </c>
      <c r="F280" s="90"/>
      <c r="G280" s="90"/>
      <c r="H280" s="90" t="e">
        <f t="shared" ca="1" si="11"/>
        <v>#N/A</v>
      </c>
      <c r="I280" s="90" t="s">
        <v>153</v>
      </c>
      <c r="J280" s="47" t="e">
        <f t="shared" ca="1" si="12"/>
        <v>#N/A</v>
      </c>
      <c r="S280" s="102"/>
      <c r="T280" s="102"/>
      <c r="U280" s="102"/>
    </row>
    <row r="281" spans="1:21" ht="14.25" customHeight="1" x14ac:dyDescent="0.3">
      <c r="A281" s="86"/>
      <c r="B281" s="94" t="e">
        <f t="shared" ca="1" si="9"/>
        <v>#N/A</v>
      </c>
      <c r="C281" s="86"/>
      <c r="D281" s="90" t="e">
        <f t="shared" ca="1" si="10"/>
        <v>#N/A</v>
      </c>
      <c r="E281" s="90" t="s">
        <v>153</v>
      </c>
      <c r="F281" s="90"/>
      <c r="G281" s="90"/>
      <c r="H281" s="90" t="e">
        <f t="shared" ca="1" si="11"/>
        <v>#N/A</v>
      </c>
      <c r="I281" s="90" t="s">
        <v>153</v>
      </c>
      <c r="J281" s="47" t="e">
        <f t="shared" ca="1" si="12"/>
        <v>#N/A</v>
      </c>
      <c r="S281" s="102"/>
      <c r="T281" s="102"/>
      <c r="U281" s="102"/>
    </row>
    <row r="282" spans="1:21" ht="14.25" customHeight="1" x14ac:dyDescent="0.3">
      <c r="A282" s="86"/>
      <c r="B282" s="94" t="e">
        <f t="shared" ca="1" si="9"/>
        <v>#N/A</v>
      </c>
      <c r="C282" s="86"/>
      <c r="D282" s="90" t="e">
        <f t="shared" ca="1" si="10"/>
        <v>#N/A</v>
      </c>
      <c r="E282" s="90" t="s">
        <v>153</v>
      </c>
      <c r="F282" s="90"/>
      <c r="G282" s="90"/>
      <c r="H282" s="90" t="e">
        <f t="shared" ca="1" si="11"/>
        <v>#N/A</v>
      </c>
      <c r="I282" s="90" t="s">
        <v>153</v>
      </c>
      <c r="J282" s="47" t="e">
        <f t="shared" ca="1" si="12"/>
        <v>#N/A</v>
      </c>
      <c r="S282" s="102"/>
      <c r="T282" s="102"/>
      <c r="U282" s="102"/>
    </row>
    <row r="283" spans="1:21" ht="14.25" customHeight="1" x14ac:dyDescent="0.3">
      <c r="A283" s="86"/>
      <c r="B283" s="94" t="e">
        <f t="shared" ca="1" si="9"/>
        <v>#N/A</v>
      </c>
      <c r="C283" s="86"/>
      <c r="D283" s="90" t="e">
        <f t="shared" ca="1" si="10"/>
        <v>#N/A</v>
      </c>
      <c r="E283" s="90" t="s">
        <v>153</v>
      </c>
      <c r="F283" s="90"/>
      <c r="G283" s="90"/>
      <c r="H283" s="90" t="e">
        <f t="shared" ca="1" si="11"/>
        <v>#N/A</v>
      </c>
      <c r="I283" s="90" t="s">
        <v>153</v>
      </c>
      <c r="J283" s="47" t="e">
        <f t="shared" ca="1" si="12"/>
        <v>#N/A</v>
      </c>
      <c r="S283" s="102"/>
      <c r="T283" s="102"/>
      <c r="U283" s="102"/>
    </row>
    <row r="284" spans="1:21" ht="14.25" customHeight="1" x14ac:dyDescent="0.3">
      <c r="A284" s="86"/>
      <c r="B284" s="94" t="e">
        <f t="shared" ca="1" si="9"/>
        <v>#N/A</v>
      </c>
      <c r="C284" s="86"/>
      <c r="D284" s="90" t="e">
        <f t="shared" ca="1" si="10"/>
        <v>#N/A</v>
      </c>
      <c r="E284" s="90" t="s">
        <v>153</v>
      </c>
      <c r="F284" s="90"/>
      <c r="G284" s="90"/>
      <c r="H284" s="90" t="e">
        <f t="shared" ca="1" si="11"/>
        <v>#N/A</v>
      </c>
      <c r="I284" s="90" t="s">
        <v>153</v>
      </c>
      <c r="J284" s="47" t="e">
        <f t="shared" ca="1" si="12"/>
        <v>#N/A</v>
      </c>
      <c r="S284" s="102"/>
      <c r="T284" s="102"/>
      <c r="U284" s="102"/>
    </row>
    <row r="285" spans="1:21" ht="14.25" customHeight="1" x14ac:dyDescent="0.3">
      <c r="A285" s="86"/>
      <c r="B285" s="94" t="e">
        <f t="shared" ca="1" si="9"/>
        <v>#N/A</v>
      </c>
      <c r="C285" s="86"/>
      <c r="D285" s="90" t="e">
        <f t="shared" ca="1" si="10"/>
        <v>#N/A</v>
      </c>
      <c r="E285" s="90" t="s">
        <v>153</v>
      </c>
      <c r="F285" s="90"/>
      <c r="G285" s="90"/>
      <c r="H285" s="90" t="e">
        <f t="shared" ca="1" si="11"/>
        <v>#N/A</v>
      </c>
      <c r="I285" s="90" t="s">
        <v>153</v>
      </c>
      <c r="J285" s="47" t="e">
        <f t="shared" ca="1" si="12"/>
        <v>#N/A</v>
      </c>
      <c r="S285" s="102"/>
      <c r="T285" s="102"/>
      <c r="U285" s="102"/>
    </row>
    <row r="286" spans="1:21" ht="14.25" customHeight="1" x14ac:dyDescent="0.3">
      <c r="A286" s="86"/>
      <c r="B286" s="94" t="e">
        <f t="shared" ca="1" si="9"/>
        <v>#N/A</v>
      </c>
      <c r="C286" s="86"/>
      <c r="D286" s="90" t="e">
        <f t="shared" ca="1" si="10"/>
        <v>#N/A</v>
      </c>
      <c r="E286" s="90" t="s">
        <v>153</v>
      </c>
      <c r="F286" s="90"/>
      <c r="G286" s="90"/>
      <c r="H286" s="90" t="e">
        <f t="shared" ca="1" si="11"/>
        <v>#N/A</v>
      </c>
      <c r="I286" s="90" t="s">
        <v>153</v>
      </c>
      <c r="J286" s="47" t="e">
        <f t="shared" ca="1" si="12"/>
        <v>#N/A</v>
      </c>
      <c r="S286" s="102"/>
      <c r="T286" s="102"/>
      <c r="U286" s="102"/>
    </row>
    <row r="287" spans="1:21" ht="14.25" customHeight="1" x14ac:dyDescent="0.3">
      <c r="A287" s="86"/>
      <c r="B287" s="94" t="e">
        <f t="shared" ca="1" si="9"/>
        <v>#N/A</v>
      </c>
      <c r="C287" s="86"/>
      <c r="D287" s="90" t="e">
        <f t="shared" ca="1" si="10"/>
        <v>#N/A</v>
      </c>
      <c r="E287" s="90" t="s">
        <v>153</v>
      </c>
      <c r="F287" s="90"/>
      <c r="G287" s="90"/>
      <c r="H287" s="90" t="e">
        <f t="shared" ca="1" si="11"/>
        <v>#N/A</v>
      </c>
      <c r="I287" s="90" t="s">
        <v>153</v>
      </c>
      <c r="J287" s="47" t="e">
        <f t="shared" ca="1" si="12"/>
        <v>#N/A</v>
      </c>
      <c r="S287" s="102"/>
      <c r="T287" s="102"/>
      <c r="U287" s="102"/>
    </row>
    <row r="288" spans="1:21" ht="14.25" customHeight="1" x14ac:dyDescent="0.3">
      <c r="A288" s="86"/>
      <c r="B288" s="94" t="e">
        <f t="shared" ca="1" si="9"/>
        <v>#N/A</v>
      </c>
      <c r="C288" s="86"/>
      <c r="D288" s="90" t="e">
        <f t="shared" ca="1" si="10"/>
        <v>#N/A</v>
      </c>
      <c r="E288" s="90" t="s">
        <v>153</v>
      </c>
      <c r="F288" s="90"/>
      <c r="G288" s="90"/>
      <c r="H288" s="90" t="e">
        <f t="shared" ca="1" si="11"/>
        <v>#N/A</v>
      </c>
      <c r="I288" s="90" t="s">
        <v>153</v>
      </c>
      <c r="J288" s="47" t="e">
        <f t="shared" ca="1" si="12"/>
        <v>#N/A</v>
      </c>
      <c r="S288" s="102"/>
      <c r="T288" s="102"/>
      <c r="U288" s="102"/>
    </row>
    <row r="289" spans="1:21" ht="14.25" customHeight="1" x14ac:dyDescent="0.3">
      <c r="A289" s="86"/>
      <c r="B289" s="94" t="e">
        <f t="shared" ca="1" si="9"/>
        <v>#N/A</v>
      </c>
      <c r="C289" s="86"/>
      <c r="D289" s="90" t="e">
        <f t="shared" ca="1" si="10"/>
        <v>#N/A</v>
      </c>
      <c r="E289" s="90" t="s">
        <v>153</v>
      </c>
      <c r="F289" s="90"/>
      <c r="G289" s="90"/>
      <c r="H289" s="90" t="e">
        <f t="shared" ca="1" si="11"/>
        <v>#N/A</v>
      </c>
      <c r="I289" s="90" t="s">
        <v>153</v>
      </c>
      <c r="J289" s="47" t="e">
        <f t="shared" ca="1" si="12"/>
        <v>#N/A</v>
      </c>
      <c r="S289" s="102"/>
      <c r="T289" s="102"/>
      <c r="U289" s="102"/>
    </row>
    <row r="290" spans="1:21" ht="14.25" customHeight="1" x14ac:dyDescent="0.3">
      <c r="A290" s="86"/>
      <c r="B290" s="94" t="e">
        <f t="shared" ca="1" si="9"/>
        <v>#N/A</v>
      </c>
      <c r="C290" s="86"/>
      <c r="D290" s="90" t="e">
        <f t="shared" ca="1" si="10"/>
        <v>#N/A</v>
      </c>
      <c r="E290" s="90" t="s">
        <v>153</v>
      </c>
      <c r="F290" s="90"/>
      <c r="G290" s="90"/>
      <c r="H290" s="90" t="e">
        <f t="shared" ca="1" si="11"/>
        <v>#N/A</v>
      </c>
      <c r="I290" s="90" t="s">
        <v>153</v>
      </c>
      <c r="J290" s="47" t="e">
        <f t="shared" ca="1" si="12"/>
        <v>#N/A</v>
      </c>
      <c r="S290" s="102"/>
      <c r="T290" s="102"/>
      <c r="U290" s="102"/>
    </row>
    <row r="291" spans="1:21" ht="14.25" customHeight="1" x14ac:dyDescent="0.3">
      <c r="A291" s="86"/>
      <c r="B291" s="94" t="e">
        <f t="shared" ca="1" si="9"/>
        <v>#N/A</v>
      </c>
      <c r="C291" s="86"/>
      <c r="D291" s="90" t="e">
        <f t="shared" ca="1" si="10"/>
        <v>#N/A</v>
      </c>
      <c r="E291" s="90" t="s">
        <v>153</v>
      </c>
      <c r="F291" s="90"/>
      <c r="G291" s="90"/>
      <c r="H291" s="90" t="e">
        <f t="shared" ca="1" si="11"/>
        <v>#N/A</v>
      </c>
      <c r="I291" s="90" t="s">
        <v>153</v>
      </c>
      <c r="J291" s="47" t="e">
        <f t="shared" ca="1" si="12"/>
        <v>#N/A</v>
      </c>
      <c r="S291" s="102"/>
      <c r="T291" s="102"/>
      <c r="U291" s="102"/>
    </row>
    <row r="292" spans="1:21" ht="14.25" customHeight="1" x14ac:dyDescent="0.3">
      <c r="A292" s="86"/>
      <c r="B292" s="94" t="e">
        <f t="shared" ca="1" si="9"/>
        <v>#N/A</v>
      </c>
      <c r="C292" s="86"/>
      <c r="D292" s="90" t="e">
        <f t="shared" ca="1" si="10"/>
        <v>#N/A</v>
      </c>
      <c r="E292" s="90" t="s">
        <v>153</v>
      </c>
      <c r="F292" s="90"/>
      <c r="G292" s="90"/>
      <c r="H292" s="90" t="e">
        <f t="shared" ca="1" si="11"/>
        <v>#N/A</v>
      </c>
      <c r="I292" s="90" t="s">
        <v>153</v>
      </c>
      <c r="J292" s="47" t="e">
        <f t="shared" ca="1" si="12"/>
        <v>#N/A</v>
      </c>
      <c r="S292" s="102"/>
      <c r="T292" s="102"/>
      <c r="U292" s="102"/>
    </row>
    <row r="293" spans="1:21" ht="14.25" customHeight="1" x14ac:dyDescent="0.3">
      <c r="A293" s="86"/>
      <c r="B293" s="94" t="e">
        <f t="shared" ca="1" si="9"/>
        <v>#N/A</v>
      </c>
      <c r="C293" s="86"/>
      <c r="D293" s="90" t="e">
        <f t="shared" ca="1" si="10"/>
        <v>#N/A</v>
      </c>
      <c r="E293" s="90" t="s">
        <v>153</v>
      </c>
      <c r="F293" s="90"/>
      <c r="G293" s="90"/>
      <c r="H293" s="90" t="e">
        <f t="shared" ca="1" si="11"/>
        <v>#N/A</v>
      </c>
      <c r="I293" s="90" t="s">
        <v>153</v>
      </c>
      <c r="J293" s="47" t="e">
        <f t="shared" ca="1" si="12"/>
        <v>#N/A</v>
      </c>
      <c r="S293" s="102"/>
      <c r="T293" s="102"/>
      <c r="U293" s="102"/>
    </row>
    <row r="294" spans="1:21" ht="14.25" customHeight="1" x14ac:dyDescent="0.3">
      <c r="A294" s="86"/>
      <c r="B294" s="94" t="e">
        <f t="shared" ca="1" si="9"/>
        <v>#N/A</v>
      </c>
      <c r="C294" s="86"/>
      <c r="D294" s="90" t="e">
        <f t="shared" ca="1" si="10"/>
        <v>#N/A</v>
      </c>
      <c r="E294" s="90" t="s">
        <v>153</v>
      </c>
      <c r="F294" s="90"/>
      <c r="G294" s="90"/>
      <c r="H294" s="90" t="e">
        <f t="shared" ca="1" si="11"/>
        <v>#N/A</v>
      </c>
      <c r="I294" s="90" t="s">
        <v>153</v>
      </c>
      <c r="J294" s="47" t="e">
        <f t="shared" ca="1" si="12"/>
        <v>#N/A</v>
      </c>
      <c r="S294" s="102"/>
      <c r="T294" s="102"/>
      <c r="U294" s="102"/>
    </row>
    <row r="295" spans="1:21" ht="14.25" customHeight="1" x14ac:dyDescent="0.3">
      <c r="A295" s="86"/>
      <c r="B295" s="94" t="e">
        <f t="shared" ca="1" si="9"/>
        <v>#N/A</v>
      </c>
      <c r="C295" s="86"/>
      <c r="D295" s="90" t="e">
        <f t="shared" ca="1" si="10"/>
        <v>#N/A</v>
      </c>
      <c r="E295" s="90" t="s">
        <v>153</v>
      </c>
      <c r="F295" s="90"/>
      <c r="G295" s="90"/>
      <c r="H295" s="90" t="e">
        <f t="shared" ca="1" si="11"/>
        <v>#N/A</v>
      </c>
      <c r="I295" s="90" t="s">
        <v>153</v>
      </c>
      <c r="J295" s="47" t="e">
        <f t="shared" ca="1" si="12"/>
        <v>#N/A</v>
      </c>
      <c r="S295" s="102"/>
      <c r="T295" s="102"/>
      <c r="U295" s="102"/>
    </row>
    <row r="296" spans="1:21" ht="14.25" customHeight="1" x14ac:dyDescent="0.3">
      <c r="A296" s="86"/>
      <c r="B296" s="94" t="e">
        <f t="shared" ca="1" si="9"/>
        <v>#N/A</v>
      </c>
      <c r="C296" s="86"/>
      <c r="D296" s="90" t="e">
        <f t="shared" ca="1" si="10"/>
        <v>#N/A</v>
      </c>
      <c r="E296" s="90" t="s">
        <v>153</v>
      </c>
      <c r="F296" s="90"/>
      <c r="G296" s="90"/>
      <c r="H296" s="90" t="e">
        <f t="shared" ca="1" si="11"/>
        <v>#N/A</v>
      </c>
      <c r="I296" s="90" t="s">
        <v>153</v>
      </c>
      <c r="J296" s="47" t="e">
        <f t="shared" ca="1" si="12"/>
        <v>#N/A</v>
      </c>
      <c r="S296" s="102"/>
      <c r="T296" s="102"/>
      <c r="U296" s="102"/>
    </row>
    <row r="297" spans="1:21" ht="14.25" customHeight="1" x14ac:dyDescent="0.3">
      <c r="A297" s="86"/>
      <c r="B297" s="94" t="e">
        <f t="shared" ca="1" si="9"/>
        <v>#N/A</v>
      </c>
      <c r="C297" s="86"/>
      <c r="D297" s="90" t="e">
        <f t="shared" ca="1" si="10"/>
        <v>#N/A</v>
      </c>
      <c r="E297" s="90" t="s">
        <v>153</v>
      </c>
      <c r="F297" s="90"/>
      <c r="G297" s="90"/>
      <c r="H297" s="90" t="e">
        <f t="shared" ca="1" si="11"/>
        <v>#N/A</v>
      </c>
      <c r="I297" s="90" t="s">
        <v>153</v>
      </c>
      <c r="J297" s="47" t="e">
        <f t="shared" ca="1" si="12"/>
        <v>#N/A</v>
      </c>
      <c r="S297" s="102"/>
      <c r="T297" s="102"/>
      <c r="U297" s="102"/>
    </row>
    <row r="298" spans="1:21" ht="14.25" customHeight="1" x14ac:dyDescent="0.3">
      <c r="A298" s="86"/>
      <c r="B298" s="94" t="e">
        <f t="shared" ca="1" si="9"/>
        <v>#N/A</v>
      </c>
      <c r="C298" s="86"/>
      <c r="D298" s="90" t="e">
        <f t="shared" ca="1" si="10"/>
        <v>#N/A</v>
      </c>
      <c r="E298" s="90" t="s">
        <v>153</v>
      </c>
      <c r="F298" s="90"/>
      <c r="G298" s="90"/>
      <c r="H298" s="90" t="e">
        <f t="shared" ca="1" si="11"/>
        <v>#N/A</v>
      </c>
      <c r="I298" s="90" t="s">
        <v>153</v>
      </c>
      <c r="J298" s="47" t="e">
        <f t="shared" ca="1" si="12"/>
        <v>#N/A</v>
      </c>
      <c r="S298" s="102"/>
      <c r="T298" s="102"/>
      <c r="U298" s="102"/>
    </row>
    <row r="299" spans="1:21" ht="14.25" customHeight="1" x14ac:dyDescent="0.3">
      <c r="A299" s="86"/>
      <c r="B299" s="94" t="e">
        <f t="shared" ca="1" si="9"/>
        <v>#N/A</v>
      </c>
      <c r="C299" s="86"/>
      <c r="D299" s="90" t="e">
        <f t="shared" ca="1" si="10"/>
        <v>#N/A</v>
      </c>
      <c r="E299" s="90" t="s">
        <v>153</v>
      </c>
      <c r="F299" s="90"/>
      <c r="G299" s="90"/>
      <c r="H299" s="90" t="e">
        <f t="shared" ca="1" si="11"/>
        <v>#N/A</v>
      </c>
      <c r="I299" s="90" t="s">
        <v>153</v>
      </c>
      <c r="J299" s="47" t="e">
        <f t="shared" ca="1" si="12"/>
        <v>#N/A</v>
      </c>
      <c r="S299" s="102"/>
      <c r="T299" s="102"/>
      <c r="U299" s="102"/>
    </row>
    <row r="300" spans="1:21" ht="14.25" customHeight="1" x14ac:dyDescent="0.3">
      <c r="A300" s="86"/>
      <c r="B300" s="94" t="e">
        <f t="shared" ca="1" si="9"/>
        <v>#N/A</v>
      </c>
      <c r="C300" s="86"/>
      <c r="D300" s="90" t="e">
        <f t="shared" ca="1" si="10"/>
        <v>#N/A</v>
      </c>
      <c r="E300" s="90" t="s">
        <v>153</v>
      </c>
      <c r="F300" s="90"/>
      <c r="G300" s="90"/>
      <c r="H300" s="90" t="e">
        <f t="shared" ca="1" si="11"/>
        <v>#N/A</v>
      </c>
      <c r="I300" s="90" t="s">
        <v>153</v>
      </c>
      <c r="J300" s="47" t="e">
        <f t="shared" ca="1" si="12"/>
        <v>#N/A</v>
      </c>
      <c r="S300" s="102"/>
      <c r="T300" s="102"/>
      <c r="U300" s="102"/>
    </row>
    <row r="301" spans="1:21" ht="14.25" customHeight="1" x14ac:dyDescent="0.3">
      <c r="A301" s="86"/>
      <c r="B301" s="94" t="e">
        <f t="shared" ca="1" si="9"/>
        <v>#N/A</v>
      </c>
      <c r="C301" s="86"/>
      <c r="D301" s="90" t="e">
        <f t="shared" ca="1" si="10"/>
        <v>#N/A</v>
      </c>
      <c r="E301" s="90" t="s">
        <v>153</v>
      </c>
      <c r="F301" s="90"/>
      <c r="G301" s="90"/>
      <c r="H301" s="90" t="e">
        <f t="shared" ca="1" si="11"/>
        <v>#N/A</v>
      </c>
      <c r="I301" s="90" t="s">
        <v>153</v>
      </c>
      <c r="J301" s="47" t="e">
        <f t="shared" ca="1" si="12"/>
        <v>#N/A</v>
      </c>
      <c r="S301" s="102"/>
      <c r="T301" s="102"/>
      <c r="U301" s="102"/>
    </row>
    <row r="302" spans="1:21" ht="14.25" customHeight="1" x14ac:dyDescent="0.3">
      <c r="A302" s="86"/>
      <c r="B302" s="94" t="e">
        <f t="shared" ca="1" si="9"/>
        <v>#N/A</v>
      </c>
      <c r="C302" s="86"/>
      <c r="D302" s="90" t="e">
        <f t="shared" ca="1" si="10"/>
        <v>#N/A</v>
      </c>
      <c r="E302" s="90" t="s">
        <v>153</v>
      </c>
      <c r="F302" s="90"/>
      <c r="G302" s="90"/>
      <c r="H302" s="90" t="e">
        <f t="shared" ca="1" si="11"/>
        <v>#N/A</v>
      </c>
      <c r="I302" s="90" t="s">
        <v>153</v>
      </c>
      <c r="J302" s="47" t="e">
        <f t="shared" ca="1" si="12"/>
        <v>#N/A</v>
      </c>
      <c r="S302" s="102"/>
      <c r="T302" s="102"/>
      <c r="U302" s="102"/>
    </row>
    <row r="303" spans="1:21" ht="14.25" customHeight="1" x14ac:dyDescent="0.3">
      <c r="A303" s="86"/>
      <c r="B303" s="94" t="e">
        <f t="shared" ca="1" si="9"/>
        <v>#N/A</v>
      </c>
      <c r="C303" s="86"/>
      <c r="D303" s="90" t="e">
        <f t="shared" ca="1" si="10"/>
        <v>#N/A</v>
      </c>
      <c r="E303" s="90" t="s">
        <v>153</v>
      </c>
      <c r="F303" s="90"/>
      <c r="G303" s="90"/>
      <c r="H303" s="90" t="e">
        <f t="shared" ca="1" si="11"/>
        <v>#N/A</v>
      </c>
      <c r="I303" s="90" t="s">
        <v>153</v>
      </c>
      <c r="J303" s="47" t="e">
        <f t="shared" ca="1" si="12"/>
        <v>#N/A</v>
      </c>
      <c r="S303" s="102"/>
      <c r="T303" s="102"/>
      <c r="U303" s="102"/>
    </row>
    <row r="304" spans="1:21" ht="14.25" customHeight="1" x14ac:dyDescent="0.3">
      <c r="A304" s="86"/>
      <c r="B304" s="94" t="e">
        <f t="shared" ca="1" si="9"/>
        <v>#N/A</v>
      </c>
      <c r="C304" s="86"/>
      <c r="D304" s="90" t="e">
        <f t="shared" ca="1" si="10"/>
        <v>#N/A</v>
      </c>
      <c r="E304" s="90" t="s">
        <v>153</v>
      </c>
      <c r="F304" s="90"/>
      <c r="G304" s="90"/>
      <c r="H304" s="90" t="e">
        <f t="shared" ca="1" si="11"/>
        <v>#N/A</v>
      </c>
      <c r="I304" s="90" t="s">
        <v>153</v>
      </c>
      <c r="J304" s="47" t="e">
        <f t="shared" ca="1" si="12"/>
        <v>#N/A</v>
      </c>
      <c r="S304" s="102"/>
      <c r="T304" s="102"/>
      <c r="U304" s="102"/>
    </row>
    <row r="305" spans="1:21" ht="14.25" customHeight="1" x14ac:dyDescent="0.3">
      <c r="A305" s="86"/>
      <c r="B305" s="94" t="e">
        <f t="shared" ca="1" si="9"/>
        <v>#N/A</v>
      </c>
      <c r="C305" s="86"/>
      <c r="D305" s="90" t="e">
        <f t="shared" ca="1" si="10"/>
        <v>#N/A</v>
      </c>
      <c r="E305" s="90" t="s">
        <v>153</v>
      </c>
      <c r="F305" s="90"/>
      <c r="G305" s="90"/>
      <c r="H305" s="90" t="e">
        <f t="shared" ca="1" si="11"/>
        <v>#N/A</v>
      </c>
      <c r="I305" s="90" t="s">
        <v>153</v>
      </c>
      <c r="J305" s="47" t="e">
        <f t="shared" ca="1" si="12"/>
        <v>#N/A</v>
      </c>
      <c r="S305" s="102"/>
      <c r="T305" s="102"/>
      <c r="U305" s="102"/>
    </row>
    <row r="306" spans="1:21" ht="14.25" customHeight="1" x14ac:dyDescent="0.3">
      <c r="A306" s="86"/>
      <c r="B306" s="94" t="e">
        <f t="shared" ca="1" si="9"/>
        <v>#N/A</v>
      </c>
      <c r="C306" s="86"/>
      <c r="D306" s="90" t="e">
        <f t="shared" ca="1" si="10"/>
        <v>#N/A</v>
      </c>
      <c r="E306" s="90" t="s">
        <v>153</v>
      </c>
      <c r="F306" s="90"/>
      <c r="G306" s="90"/>
      <c r="H306" s="90" t="e">
        <f t="shared" ca="1" si="11"/>
        <v>#N/A</v>
      </c>
      <c r="I306" s="90" t="s">
        <v>153</v>
      </c>
      <c r="J306" s="47" t="e">
        <f t="shared" ca="1" si="12"/>
        <v>#N/A</v>
      </c>
      <c r="S306" s="102"/>
      <c r="T306" s="102"/>
      <c r="U306" s="102"/>
    </row>
    <row r="307" spans="1:21" ht="14.25" customHeight="1" x14ac:dyDescent="0.3">
      <c r="A307" s="86"/>
      <c r="B307" s="94" t="e">
        <f t="shared" ca="1" si="9"/>
        <v>#N/A</v>
      </c>
      <c r="C307" s="86"/>
      <c r="D307" s="90" t="e">
        <f t="shared" ca="1" si="10"/>
        <v>#N/A</v>
      </c>
      <c r="E307" s="90" t="s">
        <v>153</v>
      </c>
      <c r="F307" s="90"/>
      <c r="G307" s="90"/>
      <c r="H307" s="90" t="e">
        <f t="shared" ca="1" si="11"/>
        <v>#N/A</v>
      </c>
      <c r="I307" s="90" t="s">
        <v>153</v>
      </c>
      <c r="J307" s="47" t="e">
        <f t="shared" ca="1" si="12"/>
        <v>#N/A</v>
      </c>
      <c r="S307" s="102"/>
      <c r="T307" s="102"/>
      <c r="U307" s="102"/>
    </row>
    <row r="308" spans="1:21" ht="14.25" customHeight="1" x14ac:dyDescent="0.3">
      <c r="A308" s="86"/>
      <c r="B308" s="94" t="e">
        <f t="shared" ca="1" si="9"/>
        <v>#N/A</v>
      </c>
      <c r="C308" s="86"/>
      <c r="D308" s="90" t="e">
        <f t="shared" ca="1" si="10"/>
        <v>#N/A</v>
      </c>
      <c r="E308" s="90" t="s">
        <v>153</v>
      </c>
      <c r="F308" s="90"/>
      <c r="G308" s="90"/>
      <c r="H308" s="90" t="e">
        <f t="shared" ca="1" si="11"/>
        <v>#N/A</v>
      </c>
      <c r="I308" s="90" t="s">
        <v>153</v>
      </c>
      <c r="J308" s="47" t="e">
        <f t="shared" ca="1" si="12"/>
        <v>#N/A</v>
      </c>
      <c r="S308" s="102"/>
      <c r="T308" s="102"/>
      <c r="U308" s="102"/>
    </row>
    <row r="309" spans="1:21" ht="14.25" customHeight="1" x14ac:dyDescent="0.3">
      <c r="A309" s="86"/>
      <c r="B309" s="94" t="e">
        <f t="shared" ca="1" si="9"/>
        <v>#N/A</v>
      </c>
      <c r="C309" s="86"/>
      <c r="D309" s="90" t="e">
        <f t="shared" ca="1" si="10"/>
        <v>#N/A</v>
      </c>
      <c r="E309" s="90" t="s">
        <v>153</v>
      </c>
      <c r="F309" s="90"/>
      <c r="G309" s="90"/>
      <c r="H309" s="90" t="e">
        <f t="shared" ca="1" si="11"/>
        <v>#N/A</v>
      </c>
      <c r="I309" s="90" t="s">
        <v>153</v>
      </c>
      <c r="J309" s="47" t="e">
        <f t="shared" ca="1" si="12"/>
        <v>#N/A</v>
      </c>
      <c r="S309" s="102"/>
      <c r="T309" s="102"/>
      <c r="U309" s="102"/>
    </row>
    <row r="310" spans="1:21" ht="14.25" customHeight="1" x14ac:dyDescent="0.3">
      <c r="A310" s="86"/>
      <c r="B310" s="94" t="e">
        <f t="shared" ca="1" si="9"/>
        <v>#N/A</v>
      </c>
      <c r="C310" s="86"/>
      <c r="D310" s="90" t="e">
        <f t="shared" ca="1" si="10"/>
        <v>#N/A</v>
      </c>
      <c r="E310" s="90" t="s">
        <v>153</v>
      </c>
      <c r="F310" s="90"/>
      <c r="G310" s="90"/>
      <c r="H310" s="90" t="e">
        <f t="shared" ca="1" si="11"/>
        <v>#N/A</v>
      </c>
      <c r="I310" s="90" t="s">
        <v>153</v>
      </c>
      <c r="J310" s="47" t="e">
        <f t="shared" ca="1" si="12"/>
        <v>#N/A</v>
      </c>
      <c r="S310" s="102"/>
      <c r="T310" s="102"/>
      <c r="U310" s="102"/>
    </row>
    <row r="311" spans="1:21" ht="14.25" customHeight="1" x14ac:dyDescent="0.3">
      <c r="A311" s="86"/>
      <c r="B311" s="94" t="e">
        <f t="shared" ca="1" si="9"/>
        <v>#N/A</v>
      </c>
      <c r="C311" s="86"/>
      <c r="D311" s="90" t="e">
        <f t="shared" ca="1" si="10"/>
        <v>#N/A</v>
      </c>
      <c r="E311" s="90" t="s">
        <v>153</v>
      </c>
      <c r="F311" s="90"/>
      <c r="G311" s="90"/>
      <c r="H311" s="90" t="e">
        <f t="shared" ca="1" si="11"/>
        <v>#N/A</v>
      </c>
      <c r="I311" s="90" t="s">
        <v>153</v>
      </c>
      <c r="J311" s="47" t="e">
        <f t="shared" ca="1" si="12"/>
        <v>#N/A</v>
      </c>
      <c r="S311" s="102"/>
      <c r="T311" s="102"/>
      <c r="U311" s="102"/>
    </row>
    <row r="312" spans="1:21" ht="14.25" customHeight="1" x14ac:dyDescent="0.3">
      <c r="A312" s="86"/>
      <c r="B312" s="94" t="e">
        <f t="shared" ca="1" si="9"/>
        <v>#N/A</v>
      </c>
      <c r="C312" s="86"/>
      <c r="D312" s="90" t="e">
        <f t="shared" ca="1" si="10"/>
        <v>#N/A</v>
      </c>
      <c r="E312" s="90" t="s">
        <v>153</v>
      </c>
      <c r="F312" s="90"/>
      <c r="G312" s="90"/>
      <c r="H312" s="90" t="e">
        <f t="shared" ca="1" si="11"/>
        <v>#N/A</v>
      </c>
      <c r="I312" s="90" t="s">
        <v>153</v>
      </c>
      <c r="J312" s="47" t="e">
        <f t="shared" ca="1" si="12"/>
        <v>#N/A</v>
      </c>
      <c r="S312" s="102"/>
      <c r="T312" s="102"/>
      <c r="U312" s="102"/>
    </row>
    <row r="313" spans="1:21" ht="14.25" customHeight="1" x14ac:dyDescent="0.3">
      <c r="A313" s="86"/>
      <c r="B313" s="94" t="e">
        <f t="shared" ca="1" si="9"/>
        <v>#N/A</v>
      </c>
      <c r="C313" s="86"/>
      <c r="D313" s="90" t="e">
        <f t="shared" ca="1" si="10"/>
        <v>#N/A</v>
      </c>
      <c r="E313" s="90" t="s">
        <v>153</v>
      </c>
      <c r="F313" s="90"/>
      <c r="G313" s="90"/>
      <c r="H313" s="90" t="e">
        <f t="shared" ca="1" si="11"/>
        <v>#N/A</v>
      </c>
      <c r="I313" s="90" t="s">
        <v>153</v>
      </c>
      <c r="J313" s="47" t="e">
        <f t="shared" ca="1" si="12"/>
        <v>#N/A</v>
      </c>
      <c r="S313" s="102"/>
      <c r="T313" s="102"/>
      <c r="U313" s="102"/>
    </row>
    <row r="314" spans="1:21" ht="14.25" customHeight="1" x14ac:dyDescent="0.3">
      <c r="A314" s="86"/>
      <c r="B314" s="94" t="e">
        <f t="shared" ca="1" si="9"/>
        <v>#N/A</v>
      </c>
      <c r="C314" s="86"/>
      <c r="D314" s="90" t="e">
        <f t="shared" ca="1" si="10"/>
        <v>#N/A</v>
      </c>
      <c r="E314" s="90" t="s">
        <v>153</v>
      </c>
      <c r="F314" s="90"/>
      <c r="G314" s="90"/>
      <c r="H314" s="90" t="e">
        <f t="shared" ca="1" si="11"/>
        <v>#N/A</v>
      </c>
      <c r="I314" s="90" t="s">
        <v>153</v>
      </c>
      <c r="J314" s="47" t="e">
        <f t="shared" ca="1" si="12"/>
        <v>#N/A</v>
      </c>
      <c r="S314" s="102"/>
      <c r="T314" s="102"/>
      <c r="U314" s="102"/>
    </row>
    <row r="315" spans="1:21" ht="14.25" customHeight="1" x14ac:dyDescent="0.3">
      <c r="A315" s="86"/>
      <c r="B315" s="94" t="e">
        <f t="shared" ca="1" si="9"/>
        <v>#N/A</v>
      </c>
      <c r="C315" s="86"/>
      <c r="D315" s="90" t="e">
        <f t="shared" ca="1" si="10"/>
        <v>#N/A</v>
      </c>
      <c r="E315" s="90" t="s">
        <v>153</v>
      </c>
      <c r="F315" s="90"/>
      <c r="G315" s="90"/>
      <c r="H315" s="90" t="e">
        <f t="shared" ca="1" si="11"/>
        <v>#N/A</v>
      </c>
      <c r="I315" s="90" t="s">
        <v>153</v>
      </c>
      <c r="J315" s="47" t="e">
        <f t="shared" ca="1" si="12"/>
        <v>#N/A</v>
      </c>
      <c r="S315" s="102"/>
      <c r="T315" s="102"/>
      <c r="U315" s="102"/>
    </row>
    <row r="316" spans="1:21" ht="14.25" customHeight="1" x14ac:dyDescent="0.3">
      <c r="A316" s="86"/>
      <c r="B316" s="94" t="e">
        <f t="shared" ca="1" si="9"/>
        <v>#N/A</v>
      </c>
      <c r="C316" s="86"/>
      <c r="D316" s="90" t="e">
        <f t="shared" ca="1" si="10"/>
        <v>#N/A</v>
      </c>
      <c r="E316" s="90" t="s">
        <v>153</v>
      </c>
      <c r="F316" s="90"/>
      <c r="G316" s="90"/>
      <c r="H316" s="90" t="e">
        <f t="shared" ca="1" si="11"/>
        <v>#N/A</v>
      </c>
      <c r="I316" s="90" t="s">
        <v>153</v>
      </c>
      <c r="J316" s="47" t="e">
        <f t="shared" ca="1" si="12"/>
        <v>#N/A</v>
      </c>
      <c r="S316" s="102"/>
      <c r="T316" s="102"/>
      <c r="U316" s="102"/>
    </row>
    <row r="317" spans="1:21" ht="14.25" customHeight="1" x14ac:dyDescent="0.3">
      <c r="A317" s="86"/>
      <c r="B317" s="94" t="e">
        <f t="shared" ca="1" si="9"/>
        <v>#N/A</v>
      </c>
      <c r="C317" s="86"/>
      <c r="D317" s="90" t="e">
        <f t="shared" ca="1" si="10"/>
        <v>#N/A</v>
      </c>
      <c r="E317" s="90" t="s">
        <v>153</v>
      </c>
      <c r="F317" s="90"/>
      <c r="G317" s="90"/>
      <c r="H317" s="90" t="e">
        <f t="shared" ca="1" si="11"/>
        <v>#N/A</v>
      </c>
      <c r="I317" s="90" t="s">
        <v>153</v>
      </c>
      <c r="J317" s="47" t="e">
        <f t="shared" ca="1" si="12"/>
        <v>#N/A</v>
      </c>
      <c r="S317" s="102"/>
      <c r="T317" s="102"/>
      <c r="U317" s="102"/>
    </row>
    <row r="318" spans="1:21" ht="14.25" customHeight="1" x14ac:dyDescent="0.3">
      <c r="A318" s="86"/>
      <c r="B318" s="94" t="e">
        <f t="shared" ca="1" si="9"/>
        <v>#N/A</v>
      </c>
      <c r="C318" s="86"/>
      <c r="D318" s="90" t="e">
        <f t="shared" ca="1" si="10"/>
        <v>#N/A</v>
      </c>
      <c r="E318" s="90" t="s">
        <v>153</v>
      </c>
      <c r="F318" s="90"/>
      <c r="G318" s="90"/>
      <c r="H318" s="90" t="e">
        <f t="shared" ca="1" si="11"/>
        <v>#N/A</v>
      </c>
      <c r="I318" s="90" t="s">
        <v>153</v>
      </c>
      <c r="J318" s="47" t="e">
        <f t="shared" ca="1" si="12"/>
        <v>#N/A</v>
      </c>
      <c r="S318" s="102"/>
      <c r="T318" s="102"/>
      <c r="U318" s="102"/>
    </row>
    <row r="319" spans="1:21" ht="14.25" customHeight="1" x14ac:dyDescent="0.3">
      <c r="A319" s="86"/>
      <c r="B319" s="94" t="e">
        <f t="shared" ca="1" si="9"/>
        <v>#N/A</v>
      </c>
      <c r="C319" s="86"/>
      <c r="D319" s="90" t="e">
        <f t="shared" ca="1" si="10"/>
        <v>#N/A</v>
      </c>
      <c r="E319" s="90" t="s">
        <v>153</v>
      </c>
      <c r="F319" s="90"/>
      <c r="G319" s="90"/>
      <c r="H319" s="90" t="e">
        <f t="shared" ca="1" si="11"/>
        <v>#N/A</v>
      </c>
      <c r="I319" s="90" t="s">
        <v>153</v>
      </c>
      <c r="J319" s="47" t="e">
        <f t="shared" ca="1" si="12"/>
        <v>#N/A</v>
      </c>
      <c r="S319" s="102"/>
      <c r="T319" s="102"/>
      <c r="U319" s="102"/>
    </row>
    <row r="320" spans="1:21" ht="14.25" customHeight="1" x14ac:dyDescent="0.3">
      <c r="A320" s="86"/>
      <c r="B320" s="94" t="e">
        <f t="shared" ca="1" si="9"/>
        <v>#N/A</v>
      </c>
      <c r="C320" s="86"/>
      <c r="D320" s="90" t="e">
        <f t="shared" ca="1" si="10"/>
        <v>#N/A</v>
      </c>
      <c r="E320" s="90" t="s">
        <v>153</v>
      </c>
      <c r="F320" s="90"/>
      <c r="G320" s="90"/>
      <c r="H320" s="90" t="e">
        <f t="shared" ca="1" si="11"/>
        <v>#N/A</v>
      </c>
      <c r="I320" s="90" t="s">
        <v>153</v>
      </c>
      <c r="J320" s="47" t="e">
        <f t="shared" ca="1" si="12"/>
        <v>#N/A</v>
      </c>
      <c r="S320" s="102"/>
      <c r="T320" s="102"/>
      <c r="U320" s="102"/>
    </row>
    <row r="321" spans="1:21" ht="14.25" customHeight="1" x14ac:dyDescent="0.3">
      <c r="A321" s="86"/>
      <c r="B321" s="94" t="e">
        <f t="shared" ca="1" si="9"/>
        <v>#N/A</v>
      </c>
      <c r="C321" s="86"/>
      <c r="D321" s="90" t="e">
        <f t="shared" ca="1" si="10"/>
        <v>#N/A</v>
      </c>
      <c r="E321" s="90" t="s">
        <v>153</v>
      </c>
      <c r="F321" s="90"/>
      <c r="G321" s="90"/>
      <c r="H321" s="90" t="e">
        <f t="shared" ca="1" si="11"/>
        <v>#N/A</v>
      </c>
      <c r="I321" s="90" t="s">
        <v>153</v>
      </c>
      <c r="J321" s="47" t="e">
        <f t="shared" ca="1" si="12"/>
        <v>#N/A</v>
      </c>
      <c r="S321" s="102"/>
      <c r="T321" s="102"/>
      <c r="U321" s="102"/>
    </row>
    <row r="322" spans="1:21" ht="14.25" customHeight="1" x14ac:dyDescent="0.3">
      <c r="A322" s="86"/>
      <c r="B322" s="94" t="e">
        <f t="shared" ca="1" si="9"/>
        <v>#N/A</v>
      </c>
      <c r="C322" s="86"/>
      <c r="D322" s="90" t="e">
        <f t="shared" ca="1" si="10"/>
        <v>#N/A</v>
      </c>
      <c r="E322" s="90" t="s">
        <v>153</v>
      </c>
      <c r="F322" s="90"/>
      <c r="G322" s="90"/>
      <c r="H322" s="90" t="e">
        <f t="shared" ca="1" si="11"/>
        <v>#N/A</v>
      </c>
      <c r="I322" s="90" t="s">
        <v>153</v>
      </c>
      <c r="J322" s="47" t="e">
        <f t="shared" ca="1" si="12"/>
        <v>#N/A</v>
      </c>
      <c r="S322" s="102"/>
      <c r="T322" s="102"/>
      <c r="U322" s="102"/>
    </row>
    <row r="323" spans="1:21" ht="14.25" customHeight="1" x14ac:dyDescent="0.3">
      <c r="A323" s="86"/>
      <c r="B323" s="94" t="e">
        <f t="shared" ca="1" si="9"/>
        <v>#N/A</v>
      </c>
      <c r="C323" s="86"/>
      <c r="D323" s="90" t="e">
        <f t="shared" ca="1" si="10"/>
        <v>#N/A</v>
      </c>
      <c r="E323" s="90" t="s">
        <v>153</v>
      </c>
      <c r="F323" s="90"/>
      <c r="G323" s="90"/>
      <c r="H323" s="90" t="e">
        <f t="shared" ca="1" si="11"/>
        <v>#N/A</v>
      </c>
      <c r="I323" s="90" t="s">
        <v>153</v>
      </c>
      <c r="J323" s="47" t="e">
        <f t="shared" ca="1" si="12"/>
        <v>#N/A</v>
      </c>
      <c r="S323" s="102"/>
      <c r="T323" s="102"/>
      <c r="U323" s="102"/>
    </row>
    <row r="324" spans="1:21" ht="14.25" customHeight="1" x14ac:dyDescent="0.3">
      <c r="A324" s="86"/>
      <c r="B324" s="94" t="e">
        <f t="shared" ca="1" si="9"/>
        <v>#N/A</v>
      </c>
      <c r="C324" s="86"/>
      <c r="D324" s="90" t="e">
        <f t="shared" ca="1" si="10"/>
        <v>#N/A</v>
      </c>
      <c r="E324" s="90" t="s">
        <v>153</v>
      </c>
      <c r="F324" s="90"/>
      <c r="G324" s="90"/>
      <c r="H324" s="90" t="e">
        <f t="shared" ca="1" si="11"/>
        <v>#N/A</v>
      </c>
      <c r="I324" s="90" t="s">
        <v>153</v>
      </c>
      <c r="J324" s="47" t="e">
        <f t="shared" ca="1" si="12"/>
        <v>#N/A</v>
      </c>
      <c r="S324" s="102"/>
      <c r="T324" s="102"/>
      <c r="U324" s="102"/>
    </row>
    <row r="325" spans="1:21" ht="14.25" customHeight="1" x14ac:dyDescent="0.3">
      <c r="A325" s="86"/>
      <c r="B325" s="94" t="e">
        <f t="shared" ca="1" si="9"/>
        <v>#N/A</v>
      </c>
      <c r="C325" s="86"/>
      <c r="D325" s="90" t="e">
        <f t="shared" ca="1" si="10"/>
        <v>#N/A</v>
      </c>
      <c r="E325" s="90" t="s">
        <v>153</v>
      </c>
      <c r="F325" s="90"/>
      <c r="G325" s="90"/>
      <c r="H325" s="90" t="e">
        <f t="shared" ca="1" si="11"/>
        <v>#N/A</v>
      </c>
      <c r="I325" s="90" t="s">
        <v>153</v>
      </c>
      <c r="J325" s="47" t="e">
        <f t="shared" ca="1" si="12"/>
        <v>#N/A</v>
      </c>
      <c r="S325" s="102"/>
      <c r="T325" s="102"/>
      <c r="U325" s="102"/>
    </row>
    <row r="326" spans="1:21" ht="14.25" customHeight="1" x14ac:dyDescent="0.3">
      <c r="A326" s="86"/>
      <c r="B326" s="94" t="e">
        <f t="shared" ca="1" si="9"/>
        <v>#N/A</v>
      </c>
      <c r="C326" s="86"/>
      <c r="D326" s="90" t="e">
        <f t="shared" ca="1" si="10"/>
        <v>#N/A</v>
      </c>
      <c r="E326" s="90" t="s">
        <v>153</v>
      </c>
      <c r="F326" s="90"/>
      <c r="G326" s="90"/>
      <c r="H326" s="90" t="e">
        <f t="shared" ca="1" si="11"/>
        <v>#N/A</v>
      </c>
      <c r="I326" s="90" t="s">
        <v>153</v>
      </c>
      <c r="J326" s="47" t="e">
        <f t="shared" ca="1" si="12"/>
        <v>#N/A</v>
      </c>
      <c r="S326" s="102"/>
      <c r="T326" s="102"/>
      <c r="U326" s="102"/>
    </row>
    <row r="327" spans="1:21" ht="14.25" customHeight="1" x14ac:dyDescent="0.3">
      <c r="A327" s="86"/>
      <c r="B327" s="94" t="e">
        <f t="shared" ca="1" si="9"/>
        <v>#N/A</v>
      </c>
      <c r="C327" s="86"/>
      <c r="D327" s="90" t="e">
        <f t="shared" ca="1" si="10"/>
        <v>#N/A</v>
      </c>
      <c r="E327" s="90" t="s">
        <v>153</v>
      </c>
      <c r="F327" s="90"/>
      <c r="G327" s="90"/>
      <c r="H327" s="90" t="e">
        <f t="shared" ca="1" si="11"/>
        <v>#N/A</v>
      </c>
      <c r="I327" s="90" t="s">
        <v>153</v>
      </c>
      <c r="J327" s="47" t="e">
        <f t="shared" ca="1" si="12"/>
        <v>#N/A</v>
      </c>
      <c r="S327" s="102"/>
      <c r="T327" s="102"/>
      <c r="U327" s="102"/>
    </row>
    <row r="328" spans="1:21" ht="14.25" customHeight="1" x14ac:dyDescent="0.3">
      <c r="A328" s="86"/>
      <c r="B328" s="94" t="e">
        <f t="shared" ca="1" si="9"/>
        <v>#N/A</v>
      </c>
      <c r="C328" s="86"/>
      <c r="D328" s="90" t="e">
        <f t="shared" ca="1" si="10"/>
        <v>#N/A</v>
      </c>
      <c r="E328" s="90" t="s">
        <v>153</v>
      </c>
      <c r="F328" s="90"/>
      <c r="G328" s="90"/>
      <c r="H328" s="90" t="e">
        <f t="shared" ca="1" si="11"/>
        <v>#N/A</v>
      </c>
      <c r="I328" s="90" t="s">
        <v>153</v>
      </c>
      <c r="J328" s="47" t="e">
        <f t="shared" ca="1" si="12"/>
        <v>#N/A</v>
      </c>
      <c r="S328" s="102"/>
      <c r="T328" s="102"/>
      <c r="U328" s="102"/>
    </row>
    <row r="329" spans="1:21" ht="14.25" customHeight="1" x14ac:dyDescent="0.3">
      <c r="A329" s="86"/>
      <c r="B329" s="94" t="e">
        <f t="shared" ca="1" si="9"/>
        <v>#N/A</v>
      </c>
      <c r="C329" s="86"/>
      <c r="D329" s="90" t="e">
        <f t="shared" ca="1" si="10"/>
        <v>#N/A</v>
      </c>
      <c r="E329" s="90" t="s">
        <v>153</v>
      </c>
      <c r="F329" s="90"/>
      <c r="G329" s="90"/>
      <c r="H329" s="90" t="e">
        <f t="shared" ca="1" si="11"/>
        <v>#N/A</v>
      </c>
      <c r="I329" s="90" t="s">
        <v>153</v>
      </c>
      <c r="J329" s="47" t="e">
        <f t="shared" ca="1" si="12"/>
        <v>#N/A</v>
      </c>
      <c r="S329" s="102"/>
      <c r="T329" s="102"/>
      <c r="U329" s="102"/>
    </row>
    <row r="330" spans="1:21" ht="14.25" customHeight="1" x14ac:dyDescent="0.3">
      <c r="A330" s="86"/>
      <c r="B330" s="94" t="e">
        <f t="shared" ca="1" si="9"/>
        <v>#N/A</v>
      </c>
      <c r="C330" s="86"/>
      <c r="D330" s="90" t="e">
        <f t="shared" ca="1" si="10"/>
        <v>#N/A</v>
      </c>
      <c r="E330" s="90" t="s">
        <v>153</v>
      </c>
      <c r="F330" s="90"/>
      <c r="G330" s="90"/>
      <c r="H330" s="90" t="e">
        <f t="shared" ca="1" si="11"/>
        <v>#N/A</v>
      </c>
      <c r="I330" s="90" t="s">
        <v>153</v>
      </c>
      <c r="J330" s="47" t="e">
        <f t="shared" ca="1" si="12"/>
        <v>#N/A</v>
      </c>
      <c r="S330" s="102"/>
      <c r="T330" s="102"/>
      <c r="U330" s="102"/>
    </row>
    <row r="331" spans="1:21" ht="14.25" customHeight="1" x14ac:dyDescent="0.3">
      <c r="A331" s="86"/>
      <c r="B331" s="94" t="e">
        <f t="shared" ca="1" si="9"/>
        <v>#N/A</v>
      </c>
      <c r="C331" s="86"/>
      <c r="D331" s="90" t="e">
        <f t="shared" ca="1" si="10"/>
        <v>#N/A</v>
      </c>
      <c r="E331" s="90" t="s">
        <v>153</v>
      </c>
      <c r="F331" s="90"/>
      <c r="G331" s="90"/>
      <c r="H331" s="90" t="e">
        <f t="shared" ca="1" si="11"/>
        <v>#N/A</v>
      </c>
      <c r="I331" s="90" t="s">
        <v>153</v>
      </c>
      <c r="J331" s="47" t="e">
        <f t="shared" ca="1" si="12"/>
        <v>#N/A</v>
      </c>
      <c r="S331" s="102"/>
      <c r="T331" s="102"/>
      <c r="U331" s="102"/>
    </row>
    <row r="332" spans="1:21" ht="14.25" customHeight="1" x14ac:dyDescent="0.3">
      <c r="A332" s="86"/>
      <c r="B332" s="94" t="e">
        <f t="shared" ca="1" si="9"/>
        <v>#N/A</v>
      </c>
      <c r="C332" s="86"/>
      <c r="D332" s="90" t="e">
        <f t="shared" ca="1" si="10"/>
        <v>#N/A</v>
      </c>
      <c r="E332" s="90" t="s">
        <v>153</v>
      </c>
      <c r="F332" s="90"/>
      <c r="G332" s="90"/>
      <c r="H332" s="90" t="e">
        <f t="shared" ca="1" si="11"/>
        <v>#N/A</v>
      </c>
      <c r="I332" s="90" t="s">
        <v>153</v>
      </c>
      <c r="J332" s="47" t="e">
        <f t="shared" ca="1" si="12"/>
        <v>#N/A</v>
      </c>
      <c r="S332" s="102"/>
      <c r="T332" s="102"/>
      <c r="U332" s="102"/>
    </row>
    <row r="333" spans="1:21" ht="14.25" customHeight="1" x14ac:dyDescent="0.3">
      <c r="A333" s="86"/>
      <c r="B333" s="94" t="e">
        <f t="shared" ca="1" si="9"/>
        <v>#N/A</v>
      </c>
      <c r="C333" s="86"/>
      <c r="D333" s="90" t="e">
        <f t="shared" ca="1" si="10"/>
        <v>#N/A</v>
      </c>
      <c r="E333" s="90" t="s">
        <v>153</v>
      </c>
      <c r="F333" s="90"/>
      <c r="G333" s="90"/>
      <c r="H333" s="90" t="e">
        <f t="shared" ca="1" si="11"/>
        <v>#N/A</v>
      </c>
      <c r="I333" s="90" t="s">
        <v>153</v>
      </c>
      <c r="J333" s="47" t="e">
        <f t="shared" ca="1" si="12"/>
        <v>#N/A</v>
      </c>
      <c r="S333" s="102"/>
      <c r="T333" s="102"/>
      <c r="U333" s="102"/>
    </row>
    <row r="334" spans="1:21" ht="14.25" customHeight="1" x14ac:dyDescent="0.3">
      <c r="A334" s="86"/>
      <c r="B334" s="94" t="e">
        <f t="shared" ca="1" si="9"/>
        <v>#N/A</v>
      </c>
      <c r="C334" s="86"/>
      <c r="D334" s="90" t="e">
        <f t="shared" ca="1" si="10"/>
        <v>#N/A</v>
      </c>
      <c r="E334" s="90" t="s">
        <v>153</v>
      </c>
      <c r="F334" s="90"/>
      <c r="G334" s="90"/>
      <c r="H334" s="90" t="e">
        <f t="shared" ca="1" si="11"/>
        <v>#N/A</v>
      </c>
      <c r="I334" s="90" t="s">
        <v>153</v>
      </c>
      <c r="J334" s="47" t="e">
        <f t="shared" ca="1" si="12"/>
        <v>#N/A</v>
      </c>
      <c r="S334" s="102"/>
      <c r="T334" s="102"/>
      <c r="U334" s="102"/>
    </row>
    <row r="335" spans="1:21" ht="14.25" customHeight="1" x14ac:dyDescent="0.3">
      <c r="A335" s="86"/>
      <c r="B335" s="94" t="e">
        <f t="shared" ca="1" si="9"/>
        <v>#N/A</v>
      </c>
      <c r="C335" s="86"/>
      <c r="D335" s="90" t="e">
        <f t="shared" ca="1" si="10"/>
        <v>#N/A</v>
      </c>
      <c r="E335" s="90" t="s">
        <v>153</v>
      </c>
      <c r="F335" s="90"/>
      <c r="G335" s="90"/>
      <c r="H335" s="90" t="e">
        <f t="shared" ca="1" si="11"/>
        <v>#N/A</v>
      </c>
      <c r="I335" s="90" t="s">
        <v>153</v>
      </c>
      <c r="J335" s="47" t="e">
        <f t="shared" ca="1" si="12"/>
        <v>#N/A</v>
      </c>
      <c r="S335" s="102"/>
      <c r="T335" s="102"/>
      <c r="U335" s="102"/>
    </row>
    <row r="336" spans="1:21" ht="14.25" customHeight="1" x14ac:dyDescent="0.3">
      <c r="A336" s="86"/>
      <c r="B336" s="94" t="e">
        <f t="shared" ca="1" si="9"/>
        <v>#N/A</v>
      </c>
      <c r="C336" s="86"/>
      <c r="D336" s="90" t="e">
        <f t="shared" ca="1" si="10"/>
        <v>#N/A</v>
      </c>
      <c r="E336" s="90" t="s">
        <v>153</v>
      </c>
      <c r="F336" s="90"/>
      <c r="G336" s="90"/>
      <c r="H336" s="90" t="e">
        <f t="shared" ca="1" si="11"/>
        <v>#N/A</v>
      </c>
      <c r="I336" s="90" t="s">
        <v>153</v>
      </c>
      <c r="J336" s="47" t="e">
        <f t="shared" ca="1" si="12"/>
        <v>#N/A</v>
      </c>
      <c r="S336" s="102"/>
      <c r="T336" s="102"/>
      <c r="U336" s="102"/>
    </row>
    <row r="337" spans="1:21" ht="14.25" customHeight="1" x14ac:dyDescent="0.3">
      <c r="A337" s="86"/>
      <c r="B337" s="94" t="e">
        <f t="shared" ca="1" si="9"/>
        <v>#N/A</v>
      </c>
      <c r="C337" s="86"/>
      <c r="D337" s="90" t="e">
        <f t="shared" ca="1" si="10"/>
        <v>#N/A</v>
      </c>
      <c r="E337" s="90" t="s">
        <v>153</v>
      </c>
      <c r="F337" s="90"/>
      <c r="G337" s="90"/>
      <c r="H337" s="90" t="e">
        <f t="shared" ca="1" si="11"/>
        <v>#N/A</v>
      </c>
      <c r="I337" s="90" t="s">
        <v>153</v>
      </c>
      <c r="J337" s="47" t="e">
        <f t="shared" ca="1" si="12"/>
        <v>#N/A</v>
      </c>
      <c r="S337" s="102"/>
      <c r="T337" s="102"/>
      <c r="U337" s="102"/>
    </row>
    <row r="338" spans="1:21" ht="14.25" customHeight="1" x14ac:dyDescent="0.3">
      <c r="A338" s="86"/>
      <c r="B338" s="94" t="e">
        <f t="shared" ca="1" si="9"/>
        <v>#N/A</v>
      </c>
      <c r="C338" s="86"/>
      <c r="D338" s="90" t="e">
        <f t="shared" ca="1" si="10"/>
        <v>#N/A</v>
      </c>
      <c r="E338" s="90" t="s">
        <v>153</v>
      </c>
      <c r="F338" s="90"/>
      <c r="G338" s="90"/>
      <c r="H338" s="90" t="e">
        <f t="shared" ca="1" si="11"/>
        <v>#N/A</v>
      </c>
      <c r="I338" s="90" t="s">
        <v>153</v>
      </c>
      <c r="J338" s="47" t="e">
        <f t="shared" ca="1" si="12"/>
        <v>#N/A</v>
      </c>
      <c r="S338" s="102"/>
      <c r="T338" s="102"/>
      <c r="U338" s="102"/>
    </row>
    <row r="339" spans="1:21" ht="14.25" customHeight="1" x14ac:dyDescent="0.3">
      <c r="A339" s="86"/>
      <c r="B339" s="94" t="e">
        <f t="shared" ca="1" si="9"/>
        <v>#N/A</v>
      </c>
      <c r="C339" s="86"/>
      <c r="D339" s="90" t="e">
        <f t="shared" ca="1" si="10"/>
        <v>#N/A</v>
      </c>
      <c r="E339" s="90" t="s">
        <v>153</v>
      </c>
      <c r="F339" s="90"/>
      <c r="G339" s="90"/>
      <c r="H339" s="90" t="e">
        <f t="shared" ca="1" si="11"/>
        <v>#N/A</v>
      </c>
      <c r="I339" s="90" t="s">
        <v>153</v>
      </c>
      <c r="J339" s="47" t="e">
        <f t="shared" ca="1" si="12"/>
        <v>#N/A</v>
      </c>
      <c r="S339" s="102"/>
      <c r="T339" s="102"/>
      <c r="U339" s="102"/>
    </row>
    <row r="340" spans="1:21" ht="14.25" customHeight="1" x14ac:dyDescent="0.3">
      <c r="A340" s="86"/>
      <c r="B340" s="94" t="e">
        <f t="shared" ca="1" si="9"/>
        <v>#N/A</v>
      </c>
      <c r="C340" s="86"/>
      <c r="D340" s="90" t="e">
        <f t="shared" ca="1" si="10"/>
        <v>#N/A</v>
      </c>
      <c r="E340" s="90" t="s">
        <v>153</v>
      </c>
      <c r="F340" s="90"/>
      <c r="G340" s="90"/>
      <c r="H340" s="90" t="e">
        <f t="shared" ca="1" si="11"/>
        <v>#N/A</v>
      </c>
      <c r="I340" s="90" t="s">
        <v>153</v>
      </c>
      <c r="J340" s="47" t="e">
        <f t="shared" ca="1" si="12"/>
        <v>#N/A</v>
      </c>
      <c r="S340" s="102"/>
      <c r="T340" s="102"/>
      <c r="U340" s="102"/>
    </row>
    <row r="341" spans="1:21" ht="14.25" customHeight="1" x14ac:dyDescent="0.3">
      <c r="A341" s="86"/>
      <c r="B341" s="94" t="e">
        <f t="shared" ca="1" si="9"/>
        <v>#N/A</v>
      </c>
      <c r="C341" s="86"/>
      <c r="D341" s="90" t="e">
        <f t="shared" ca="1" si="10"/>
        <v>#N/A</v>
      </c>
      <c r="E341" s="90" t="s">
        <v>153</v>
      </c>
      <c r="F341" s="90"/>
      <c r="G341" s="90"/>
      <c r="H341" s="90" t="e">
        <f t="shared" ca="1" si="11"/>
        <v>#N/A</v>
      </c>
      <c r="I341" s="90" t="s">
        <v>153</v>
      </c>
      <c r="J341" s="47" t="e">
        <f t="shared" ca="1" si="12"/>
        <v>#N/A</v>
      </c>
      <c r="S341" s="102"/>
      <c r="T341" s="102"/>
      <c r="U341" s="102"/>
    </row>
    <row r="342" spans="1:21" ht="14.25" customHeight="1" x14ac:dyDescent="0.3">
      <c r="A342" s="86"/>
      <c r="B342" s="94" t="e">
        <f t="shared" ca="1" si="9"/>
        <v>#N/A</v>
      </c>
      <c r="C342" s="86"/>
      <c r="D342" s="90" t="e">
        <f t="shared" ca="1" si="10"/>
        <v>#N/A</v>
      </c>
      <c r="E342" s="90" t="s">
        <v>153</v>
      </c>
      <c r="F342" s="90"/>
      <c r="G342" s="90"/>
      <c r="H342" s="90" t="e">
        <f t="shared" ca="1" si="11"/>
        <v>#N/A</v>
      </c>
      <c r="I342" s="90" t="s">
        <v>153</v>
      </c>
      <c r="J342" s="47" t="e">
        <f t="shared" ca="1" si="12"/>
        <v>#N/A</v>
      </c>
      <c r="S342" s="102"/>
      <c r="T342" s="102"/>
      <c r="U342" s="102"/>
    </row>
    <row r="343" spans="1:21" ht="14.25" customHeight="1" x14ac:dyDescent="0.3">
      <c r="A343" s="86"/>
      <c r="B343" s="94" t="e">
        <f t="shared" ca="1" si="9"/>
        <v>#N/A</v>
      </c>
      <c r="C343" s="86"/>
      <c r="D343" s="90" t="e">
        <f t="shared" ca="1" si="10"/>
        <v>#N/A</v>
      </c>
      <c r="E343" s="90" t="s">
        <v>153</v>
      </c>
      <c r="F343" s="90"/>
      <c r="G343" s="90"/>
      <c r="H343" s="90" t="e">
        <f t="shared" ca="1" si="11"/>
        <v>#N/A</v>
      </c>
      <c r="I343" s="90" t="s">
        <v>153</v>
      </c>
      <c r="J343" s="47" t="e">
        <f t="shared" ca="1" si="12"/>
        <v>#N/A</v>
      </c>
      <c r="S343" s="102"/>
      <c r="T343" s="102"/>
      <c r="U343" s="102"/>
    </row>
    <row r="344" spans="1:21" ht="14.25" customHeight="1" x14ac:dyDescent="0.3">
      <c r="A344" s="86"/>
      <c r="B344" s="94" t="e">
        <f t="shared" ca="1" si="9"/>
        <v>#N/A</v>
      </c>
      <c r="C344" s="86"/>
      <c r="D344" s="90" t="e">
        <f t="shared" ca="1" si="10"/>
        <v>#N/A</v>
      </c>
      <c r="E344" s="90" t="s">
        <v>153</v>
      </c>
      <c r="F344" s="90"/>
      <c r="G344" s="90"/>
      <c r="H344" s="90" t="e">
        <f t="shared" ca="1" si="11"/>
        <v>#N/A</v>
      </c>
      <c r="I344" s="90" t="s">
        <v>153</v>
      </c>
      <c r="J344" s="47" t="e">
        <f t="shared" ca="1" si="12"/>
        <v>#N/A</v>
      </c>
      <c r="S344" s="102"/>
      <c r="T344" s="102"/>
      <c r="U344" s="102"/>
    </row>
    <row r="345" spans="1:21" ht="14.25" customHeight="1" x14ac:dyDescent="0.3">
      <c r="A345" s="86"/>
      <c r="B345" s="94" t="e">
        <f t="shared" ca="1" si="9"/>
        <v>#N/A</v>
      </c>
      <c r="C345" s="86"/>
      <c r="D345" s="90" t="e">
        <f t="shared" ca="1" si="10"/>
        <v>#N/A</v>
      </c>
      <c r="E345" s="90" t="s">
        <v>153</v>
      </c>
      <c r="F345" s="90"/>
      <c r="G345" s="90"/>
      <c r="H345" s="90" t="e">
        <f t="shared" ca="1" si="11"/>
        <v>#N/A</v>
      </c>
      <c r="I345" s="90" t="s">
        <v>153</v>
      </c>
      <c r="J345" s="47" t="e">
        <f t="shared" ca="1" si="12"/>
        <v>#N/A</v>
      </c>
      <c r="S345" s="102"/>
      <c r="T345" s="102"/>
      <c r="U345" s="102"/>
    </row>
    <row r="346" spans="1:21" ht="14.25" customHeight="1" x14ac:dyDescent="0.3">
      <c r="A346" s="86"/>
      <c r="B346" s="94" t="e">
        <f t="shared" ca="1" si="9"/>
        <v>#N/A</v>
      </c>
      <c r="C346" s="86"/>
      <c r="D346" s="90" t="e">
        <f t="shared" ca="1" si="10"/>
        <v>#N/A</v>
      </c>
      <c r="E346" s="90" t="s">
        <v>153</v>
      </c>
      <c r="F346" s="90"/>
      <c r="G346" s="90"/>
      <c r="H346" s="90" t="e">
        <f t="shared" ca="1" si="11"/>
        <v>#N/A</v>
      </c>
      <c r="I346" s="90" t="s">
        <v>153</v>
      </c>
      <c r="J346" s="47" t="e">
        <f t="shared" ca="1" si="12"/>
        <v>#N/A</v>
      </c>
      <c r="S346" s="102"/>
      <c r="T346" s="102"/>
      <c r="U346" s="102"/>
    </row>
    <row r="347" spans="1:21" ht="14.25" customHeight="1" x14ac:dyDescent="0.3">
      <c r="A347" s="86"/>
      <c r="B347" s="94" t="e">
        <f t="shared" ca="1" si="9"/>
        <v>#N/A</v>
      </c>
      <c r="C347" s="86"/>
      <c r="D347" s="90" t="e">
        <f t="shared" ca="1" si="10"/>
        <v>#N/A</v>
      </c>
      <c r="E347" s="90" t="s">
        <v>153</v>
      </c>
      <c r="F347" s="90"/>
      <c r="G347" s="90"/>
      <c r="H347" s="90" t="e">
        <f t="shared" ca="1" si="11"/>
        <v>#N/A</v>
      </c>
      <c r="I347" s="90" t="s">
        <v>153</v>
      </c>
      <c r="J347" s="47" t="e">
        <f t="shared" ca="1" si="12"/>
        <v>#N/A</v>
      </c>
      <c r="S347" s="102"/>
      <c r="T347" s="102"/>
      <c r="U347" s="102"/>
    </row>
    <row r="348" spans="1:21" ht="14.25" customHeight="1" x14ac:dyDescent="0.3">
      <c r="A348" s="86"/>
      <c r="B348" s="94" t="e">
        <f t="shared" ca="1" si="9"/>
        <v>#N/A</v>
      </c>
      <c r="C348" s="86"/>
      <c r="D348" s="90" t="e">
        <f t="shared" ca="1" si="10"/>
        <v>#N/A</v>
      </c>
      <c r="E348" s="90" t="s">
        <v>153</v>
      </c>
      <c r="F348" s="90"/>
      <c r="G348" s="90"/>
      <c r="H348" s="90" t="e">
        <f t="shared" ca="1" si="11"/>
        <v>#N/A</v>
      </c>
      <c r="I348" s="90" t="s">
        <v>153</v>
      </c>
      <c r="J348" s="47" t="e">
        <f t="shared" ca="1" si="12"/>
        <v>#N/A</v>
      </c>
      <c r="S348" s="102"/>
      <c r="T348" s="102"/>
      <c r="U348" s="102"/>
    </row>
    <row r="349" spans="1:21" ht="14.25" customHeight="1" x14ac:dyDescent="0.3">
      <c r="A349" s="86"/>
      <c r="B349" s="94" t="e">
        <f t="shared" ca="1" si="9"/>
        <v>#N/A</v>
      </c>
      <c r="C349" s="86"/>
      <c r="D349" s="90" t="e">
        <f t="shared" ca="1" si="10"/>
        <v>#N/A</v>
      </c>
      <c r="E349" s="90" t="s">
        <v>153</v>
      </c>
      <c r="F349" s="90"/>
      <c r="G349" s="90"/>
      <c r="H349" s="90" t="e">
        <f t="shared" ca="1" si="11"/>
        <v>#N/A</v>
      </c>
      <c r="I349" s="90" t="s">
        <v>153</v>
      </c>
      <c r="J349" s="47" t="e">
        <f t="shared" ca="1" si="12"/>
        <v>#N/A</v>
      </c>
      <c r="S349" s="102"/>
      <c r="T349" s="102"/>
      <c r="U349" s="102"/>
    </row>
    <row r="350" spans="1:21" ht="14.25" customHeight="1" x14ac:dyDescent="0.3">
      <c r="A350" s="86"/>
      <c r="B350" s="94" t="e">
        <f t="shared" ca="1" si="9"/>
        <v>#N/A</v>
      </c>
      <c r="C350" s="86"/>
      <c r="D350" s="90" t="e">
        <f t="shared" ca="1" si="10"/>
        <v>#N/A</v>
      </c>
      <c r="E350" s="90" t="s">
        <v>153</v>
      </c>
      <c r="F350" s="90"/>
      <c r="G350" s="90"/>
      <c r="H350" s="90" t="e">
        <f t="shared" ca="1" si="11"/>
        <v>#N/A</v>
      </c>
      <c r="I350" s="90" t="s">
        <v>153</v>
      </c>
      <c r="J350" s="47" t="e">
        <f t="shared" ca="1" si="12"/>
        <v>#N/A</v>
      </c>
      <c r="S350" s="102"/>
      <c r="T350" s="102"/>
      <c r="U350" s="102"/>
    </row>
    <row r="351" spans="1:21" ht="14.25" customHeight="1" x14ac:dyDescent="0.3">
      <c r="A351" s="86"/>
      <c r="B351" s="94" t="e">
        <f t="shared" ca="1" si="9"/>
        <v>#N/A</v>
      </c>
      <c r="C351" s="86"/>
      <c r="D351" s="90" t="e">
        <f t="shared" ca="1" si="10"/>
        <v>#N/A</v>
      </c>
      <c r="E351" s="90" t="s">
        <v>153</v>
      </c>
      <c r="F351" s="90"/>
      <c r="G351" s="90"/>
      <c r="H351" s="90" t="e">
        <f t="shared" ca="1" si="11"/>
        <v>#N/A</v>
      </c>
      <c r="I351" s="90" t="s">
        <v>153</v>
      </c>
      <c r="J351" s="47" t="e">
        <f t="shared" ca="1" si="12"/>
        <v>#N/A</v>
      </c>
      <c r="S351" s="102"/>
      <c r="T351" s="102"/>
      <c r="U351" s="102"/>
    </row>
    <row r="352" spans="1:21" ht="14.25" customHeight="1" x14ac:dyDescent="0.3">
      <c r="A352" s="86"/>
      <c r="B352" s="94" t="e">
        <f t="shared" ca="1" si="9"/>
        <v>#N/A</v>
      </c>
      <c r="C352" s="86"/>
      <c r="D352" s="90" t="e">
        <f t="shared" ca="1" si="10"/>
        <v>#N/A</v>
      </c>
      <c r="E352" s="90" t="s">
        <v>153</v>
      </c>
      <c r="F352" s="90"/>
      <c r="G352" s="90"/>
      <c r="H352" s="90" t="e">
        <f t="shared" ca="1" si="11"/>
        <v>#N/A</v>
      </c>
      <c r="I352" s="90" t="s">
        <v>153</v>
      </c>
      <c r="J352" s="47" t="e">
        <f t="shared" ca="1" si="12"/>
        <v>#N/A</v>
      </c>
      <c r="S352" s="102"/>
      <c r="T352" s="102"/>
      <c r="U352" s="102"/>
    </row>
    <row r="353" spans="1:21" ht="14.25" customHeight="1" x14ac:dyDescent="0.3">
      <c r="A353" s="86"/>
      <c r="B353" s="94" t="e">
        <f t="shared" ca="1" si="9"/>
        <v>#N/A</v>
      </c>
      <c r="C353" s="86"/>
      <c r="D353" s="90" t="e">
        <f t="shared" ca="1" si="10"/>
        <v>#N/A</v>
      </c>
      <c r="E353" s="90" t="s">
        <v>153</v>
      </c>
      <c r="F353" s="90"/>
      <c r="G353" s="90"/>
      <c r="H353" s="90" t="e">
        <f t="shared" ca="1" si="11"/>
        <v>#N/A</v>
      </c>
      <c r="I353" s="90" t="s">
        <v>153</v>
      </c>
      <c r="J353" s="47" t="e">
        <f t="shared" ca="1" si="12"/>
        <v>#N/A</v>
      </c>
      <c r="S353" s="102"/>
      <c r="T353" s="102"/>
      <c r="U353" s="102"/>
    </row>
    <row r="354" spans="1:21" ht="14.25" customHeight="1" x14ac:dyDescent="0.3">
      <c r="A354" s="86"/>
      <c r="B354" s="94" t="e">
        <f t="shared" ca="1" si="9"/>
        <v>#N/A</v>
      </c>
      <c r="C354" s="86"/>
      <c r="D354" s="90" t="e">
        <f t="shared" ca="1" si="10"/>
        <v>#N/A</v>
      </c>
      <c r="E354" s="90" t="s">
        <v>153</v>
      </c>
      <c r="F354" s="90"/>
      <c r="G354" s="90"/>
      <c r="H354" s="90" t="e">
        <f t="shared" ca="1" si="11"/>
        <v>#N/A</v>
      </c>
      <c r="I354" s="90" t="s">
        <v>153</v>
      </c>
      <c r="J354" s="47" t="e">
        <f t="shared" ca="1" si="12"/>
        <v>#N/A</v>
      </c>
      <c r="S354" s="102"/>
      <c r="T354" s="102"/>
      <c r="U354" s="102"/>
    </row>
    <row r="355" spans="1:21" ht="14.25" customHeight="1" x14ac:dyDescent="0.3">
      <c r="A355" s="86"/>
      <c r="B355" s="94" t="e">
        <f t="shared" ca="1" si="9"/>
        <v>#N/A</v>
      </c>
      <c r="C355" s="86"/>
      <c r="D355" s="90" t="e">
        <f t="shared" ca="1" si="10"/>
        <v>#N/A</v>
      </c>
      <c r="E355" s="90" t="s">
        <v>153</v>
      </c>
      <c r="F355" s="90"/>
      <c r="G355" s="90"/>
      <c r="H355" s="90" t="e">
        <f t="shared" ca="1" si="11"/>
        <v>#N/A</v>
      </c>
      <c r="I355" s="90" t="s">
        <v>153</v>
      </c>
      <c r="J355" s="47" t="e">
        <f t="shared" ca="1" si="12"/>
        <v>#N/A</v>
      </c>
      <c r="S355" s="102"/>
      <c r="T355" s="102"/>
      <c r="U355" s="102"/>
    </row>
    <row r="356" spans="1:21" ht="14.25" customHeight="1" x14ac:dyDescent="0.3">
      <c r="A356" s="86"/>
      <c r="B356" s="94" t="e">
        <f t="shared" ca="1" si="9"/>
        <v>#N/A</v>
      </c>
      <c r="C356" s="86"/>
      <c r="D356" s="90" t="e">
        <f t="shared" ca="1" si="10"/>
        <v>#N/A</v>
      </c>
      <c r="E356" s="90" t="s">
        <v>153</v>
      </c>
      <c r="F356" s="90"/>
      <c r="G356" s="90"/>
      <c r="H356" s="90" t="e">
        <f t="shared" ca="1" si="11"/>
        <v>#N/A</v>
      </c>
      <c r="I356" s="90" t="s">
        <v>153</v>
      </c>
      <c r="J356" s="47" t="e">
        <f t="shared" ca="1" si="12"/>
        <v>#N/A</v>
      </c>
      <c r="S356" s="102"/>
      <c r="T356" s="102"/>
      <c r="U356" s="102"/>
    </row>
    <row r="357" spans="1:21" ht="14.25" customHeight="1" x14ac:dyDescent="0.3">
      <c r="A357" s="86"/>
      <c r="B357" s="94" t="e">
        <f t="shared" ca="1" si="9"/>
        <v>#N/A</v>
      </c>
      <c r="C357" s="86"/>
      <c r="D357" s="90" t="e">
        <f t="shared" ca="1" si="10"/>
        <v>#N/A</v>
      </c>
      <c r="E357" s="90" t="s">
        <v>153</v>
      </c>
      <c r="F357" s="90"/>
      <c r="G357" s="90"/>
      <c r="H357" s="90" t="e">
        <f t="shared" ca="1" si="11"/>
        <v>#N/A</v>
      </c>
      <c r="I357" s="90" t="s">
        <v>153</v>
      </c>
      <c r="J357" s="47" t="e">
        <f t="shared" ca="1" si="12"/>
        <v>#N/A</v>
      </c>
      <c r="S357" s="102"/>
      <c r="T357" s="102"/>
      <c r="U357" s="102"/>
    </row>
    <row r="358" spans="1:21" ht="14.25" customHeight="1" x14ac:dyDescent="0.3">
      <c r="A358" s="86"/>
      <c r="B358" s="94" t="e">
        <f t="shared" ca="1" si="9"/>
        <v>#N/A</v>
      </c>
      <c r="C358" s="86"/>
      <c r="D358" s="90" t="e">
        <f t="shared" ca="1" si="10"/>
        <v>#N/A</v>
      </c>
      <c r="E358" s="90" t="s">
        <v>153</v>
      </c>
      <c r="F358" s="90"/>
      <c r="G358" s="90"/>
      <c r="H358" s="90" t="e">
        <f t="shared" ca="1" si="11"/>
        <v>#N/A</v>
      </c>
      <c r="I358" s="90" t="s">
        <v>153</v>
      </c>
      <c r="J358" s="47" t="e">
        <f t="shared" ca="1" si="12"/>
        <v>#N/A</v>
      </c>
      <c r="S358" s="102"/>
      <c r="T358" s="102"/>
      <c r="U358" s="102"/>
    </row>
    <row r="359" spans="1:21" ht="14.25" customHeight="1" x14ac:dyDescent="0.3">
      <c r="A359" s="86"/>
      <c r="B359" s="94" t="e">
        <f t="shared" ca="1" si="9"/>
        <v>#N/A</v>
      </c>
      <c r="C359" s="86"/>
      <c r="D359" s="90" t="e">
        <f t="shared" ca="1" si="10"/>
        <v>#N/A</v>
      </c>
      <c r="E359" s="90" t="s">
        <v>153</v>
      </c>
      <c r="F359" s="90"/>
      <c r="G359" s="90"/>
      <c r="H359" s="90" t="e">
        <f t="shared" ca="1" si="11"/>
        <v>#N/A</v>
      </c>
      <c r="I359" s="90" t="s">
        <v>153</v>
      </c>
      <c r="J359" s="47" t="e">
        <f t="shared" ca="1" si="12"/>
        <v>#N/A</v>
      </c>
      <c r="S359" s="102"/>
      <c r="T359" s="102"/>
      <c r="U359" s="102"/>
    </row>
    <row r="360" spans="1:21" ht="14.25" customHeight="1" x14ac:dyDescent="0.3">
      <c r="A360" s="86"/>
      <c r="B360" s="94" t="e">
        <f t="shared" ca="1" si="9"/>
        <v>#N/A</v>
      </c>
      <c r="C360" s="86"/>
      <c r="D360" s="90" t="e">
        <f t="shared" ca="1" si="10"/>
        <v>#N/A</v>
      </c>
      <c r="E360" s="90" t="s">
        <v>153</v>
      </c>
      <c r="F360" s="90"/>
      <c r="G360" s="90"/>
      <c r="H360" s="90" t="e">
        <f t="shared" ca="1" si="11"/>
        <v>#N/A</v>
      </c>
      <c r="I360" s="90" t="s">
        <v>153</v>
      </c>
      <c r="J360" s="47" t="e">
        <f t="shared" ca="1" si="12"/>
        <v>#N/A</v>
      </c>
      <c r="S360" s="102"/>
      <c r="T360" s="102"/>
      <c r="U360" s="102"/>
    </row>
    <row r="361" spans="1:21" ht="14.25" customHeight="1" x14ac:dyDescent="0.3">
      <c r="A361" s="86"/>
      <c r="B361" s="94" t="e">
        <f t="shared" ca="1" si="9"/>
        <v>#N/A</v>
      </c>
      <c r="C361" s="86"/>
      <c r="D361" s="90" t="e">
        <f t="shared" ca="1" si="10"/>
        <v>#N/A</v>
      </c>
      <c r="E361" s="90" t="s">
        <v>153</v>
      </c>
      <c r="F361" s="90"/>
      <c r="G361" s="90"/>
      <c r="H361" s="90" t="e">
        <f t="shared" ca="1" si="11"/>
        <v>#N/A</v>
      </c>
      <c r="I361" s="90" t="s">
        <v>153</v>
      </c>
      <c r="J361" s="47" t="e">
        <f t="shared" ca="1" si="12"/>
        <v>#N/A</v>
      </c>
      <c r="S361" s="102"/>
      <c r="T361" s="102"/>
      <c r="U361" s="102"/>
    </row>
    <row r="362" spans="1:21" ht="14.25" customHeight="1" x14ac:dyDescent="0.3">
      <c r="A362" s="86"/>
      <c r="B362" s="94" t="e">
        <f t="shared" ca="1" si="9"/>
        <v>#N/A</v>
      </c>
      <c r="C362" s="86"/>
      <c r="D362" s="90" t="e">
        <f t="shared" ca="1" si="10"/>
        <v>#N/A</v>
      </c>
      <c r="E362" s="90" t="s">
        <v>153</v>
      </c>
      <c r="F362" s="90"/>
      <c r="G362" s="90"/>
      <c r="H362" s="90" t="e">
        <f t="shared" ca="1" si="11"/>
        <v>#N/A</v>
      </c>
      <c r="I362" s="90" t="s">
        <v>153</v>
      </c>
      <c r="J362" s="47" t="e">
        <f t="shared" ca="1" si="12"/>
        <v>#N/A</v>
      </c>
      <c r="S362" s="102"/>
      <c r="T362" s="102"/>
      <c r="U362" s="102"/>
    </row>
    <row r="363" spans="1:21" ht="14.25" customHeight="1" x14ac:dyDescent="0.3">
      <c r="A363" s="86"/>
      <c r="B363" s="94" t="e">
        <f t="shared" ca="1" si="9"/>
        <v>#N/A</v>
      </c>
      <c r="C363" s="86"/>
      <c r="D363" s="90" t="e">
        <f t="shared" ca="1" si="10"/>
        <v>#N/A</v>
      </c>
      <c r="E363" s="90" t="s">
        <v>153</v>
      </c>
      <c r="F363" s="90"/>
      <c r="G363" s="90"/>
      <c r="H363" s="90" t="e">
        <f t="shared" ca="1" si="11"/>
        <v>#N/A</v>
      </c>
      <c r="I363" s="90" t="s">
        <v>153</v>
      </c>
      <c r="J363" s="47" t="e">
        <f t="shared" ca="1" si="12"/>
        <v>#N/A</v>
      </c>
      <c r="S363" s="102"/>
      <c r="T363" s="102"/>
      <c r="U363" s="102"/>
    </row>
    <row r="364" spans="1:21" ht="14.25" customHeight="1" x14ac:dyDescent="0.3">
      <c r="A364" s="86"/>
      <c r="B364" s="94" t="e">
        <f t="shared" ca="1" si="9"/>
        <v>#N/A</v>
      </c>
      <c r="C364" s="86"/>
      <c r="D364" s="90" t="e">
        <f t="shared" ca="1" si="10"/>
        <v>#N/A</v>
      </c>
      <c r="E364" s="90" t="s">
        <v>153</v>
      </c>
      <c r="F364" s="90"/>
      <c r="G364" s="90"/>
      <c r="H364" s="90" t="e">
        <f t="shared" ca="1" si="11"/>
        <v>#N/A</v>
      </c>
      <c r="I364" s="90" t="s">
        <v>153</v>
      </c>
      <c r="J364" s="47" t="e">
        <f t="shared" ca="1" si="12"/>
        <v>#N/A</v>
      </c>
      <c r="S364" s="102"/>
      <c r="T364" s="102"/>
      <c r="U364" s="102"/>
    </row>
    <row r="365" spans="1:21" ht="14.25" customHeight="1" x14ac:dyDescent="0.3">
      <c r="A365" s="86"/>
      <c r="B365" s="94" t="e">
        <f t="shared" ca="1" si="9"/>
        <v>#N/A</v>
      </c>
      <c r="C365" s="86"/>
      <c r="D365" s="90" t="e">
        <f t="shared" ca="1" si="10"/>
        <v>#N/A</v>
      </c>
      <c r="E365" s="90" t="s">
        <v>153</v>
      </c>
      <c r="F365" s="90"/>
      <c r="G365" s="90"/>
      <c r="H365" s="90" t="e">
        <f t="shared" ca="1" si="11"/>
        <v>#N/A</v>
      </c>
      <c r="I365" s="90" t="s">
        <v>153</v>
      </c>
      <c r="J365" s="47" t="e">
        <f t="shared" ca="1" si="12"/>
        <v>#N/A</v>
      </c>
      <c r="S365" s="102"/>
      <c r="T365" s="102"/>
      <c r="U365" s="102"/>
    </row>
    <row r="366" spans="1:21" ht="14.25" customHeight="1" x14ac:dyDescent="0.3">
      <c r="A366" s="86"/>
      <c r="B366" s="94" t="e">
        <f t="shared" ca="1" si="9"/>
        <v>#N/A</v>
      </c>
      <c r="C366" s="86"/>
      <c r="D366" s="90" t="e">
        <f t="shared" ca="1" si="10"/>
        <v>#N/A</v>
      </c>
      <c r="E366" s="90" t="s">
        <v>153</v>
      </c>
      <c r="F366" s="90"/>
      <c r="G366" s="90"/>
      <c r="H366" s="90" t="e">
        <f t="shared" ca="1" si="11"/>
        <v>#N/A</v>
      </c>
      <c r="I366" s="90" t="s">
        <v>153</v>
      </c>
      <c r="J366" s="47" t="e">
        <f t="shared" ca="1" si="12"/>
        <v>#N/A</v>
      </c>
      <c r="S366" s="102"/>
      <c r="T366" s="102"/>
      <c r="U366" s="102"/>
    </row>
    <row r="367" spans="1:21" ht="14.25" customHeight="1" x14ac:dyDescent="0.3">
      <c r="A367" s="86"/>
      <c r="B367" s="94" t="e">
        <f t="shared" ca="1" si="9"/>
        <v>#N/A</v>
      </c>
      <c r="C367" s="86"/>
      <c r="D367" s="90" t="e">
        <f t="shared" ca="1" si="10"/>
        <v>#N/A</v>
      </c>
      <c r="E367" s="90" t="s">
        <v>153</v>
      </c>
      <c r="F367" s="90"/>
      <c r="G367" s="90"/>
      <c r="H367" s="90" t="e">
        <f t="shared" ca="1" si="11"/>
        <v>#N/A</v>
      </c>
      <c r="I367" s="90" t="s">
        <v>153</v>
      </c>
      <c r="J367" s="47" t="e">
        <f t="shared" ca="1" si="12"/>
        <v>#N/A</v>
      </c>
      <c r="S367" s="102"/>
      <c r="T367" s="102"/>
      <c r="U367" s="102"/>
    </row>
    <row r="368" spans="1:21" ht="14.25" customHeight="1" x14ac:dyDescent="0.3">
      <c r="A368" s="86"/>
      <c r="B368" s="94" t="e">
        <f t="shared" ca="1" si="9"/>
        <v>#N/A</v>
      </c>
      <c r="C368" s="86"/>
      <c r="D368" s="90" t="e">
        <f t="shared" ca="1" si="10"/>
        <v>#N/A</v>
      </c>
      <c r="E368" s="90" t="s">
        <v>153</v>
      </c>
      <c r="F368" s="90"/>
      <c r="G368" s="90"/>
      <c r="H368" s="90" t="e">
        <f t="shared" ca="1" si="11"/>
        <v>#N/A</v>
      </c>
      <c r="I368" s="90" t="s">
        <v>153</v>
      </c>
      <c r="J368" s="47" t="e">
        <f t="shared" ca="1" si="12"/>
        <v>#N/A</v>
      </c>
      <c r="S368" s="102"/>
      <c r="T368" s="102"/>
      <c r="U368" s="102"/>
    </row>
    <row r="369" spans="1:21" ht="14.25" customHeight="1" x14ac:dyDescent="0.3">
      <c r="A369" s="86"/>
      <c r="B369" s="94" t="e">
        <f t="shared" ca="1" si="9"/>
        <v>#N/A</v>
      </c>
      <c r="C369" s="86"/>
      <c r="D369" s="90" t="e">
        <f t="shared" ca="1" si="10"/>
        <v>#N/A</v>
      </c>
      <c r="E369" s="90" t="s">
        <v>153</v>
      </c>
      <c r="F369" s="90"/>
      <c r="G369" s="90"/>
      <c r="H369" s="90" t="e">
        <f t="shared" ca="1" si="11"/>
        <v>#N/A</v>
      </c>
      <c r="I369" s="90" t="s">
        <v>153</v>
      </c>
      <c r="J369" s="47" t="e">
        <f t="shared" ca="1" si="12"/>
        <v>#N/A</v>
      </c>
      <c r="S369" s="102"/>
      <c r="T369" s="102"/>
      <c r="U369" s="102"/>
    </row>
    <row r="370" spans="1:21" ht="14.25" customHeight="1" x14ac:dyDescent="0.3">
      <c r="A370" s="86"/>
      <c r="B370" s="94" t="e">
        <f t="shared" ca="1" si="9"/>
        <v>#N/A</v>
      </c>
      <c r="C370" s="86"/>
      <c r="D370" s="90" t="e">
        <f t="shared" ca="1" si="10"/>
        <v>#N/A</v>
      </c>
      <c r="E370" s="90" t="s">
        <v>153</v>
      </c>
      <c r="F370" s="90"/>
      <c r="G370" s="90"/>
      <c r="H370" s="90" t="e">
        <f t="shared" ca="1" si="11"/>
        <v>#N/A</v>
      </c>
      <c r="I370" s="90" t="s">
        <v>153</v>
      </c>
      <c r="J370" s="47" t="e">
        <f t="shared" ca="1" si="12"/>
        <v>#N/A</v>
      </c>
      <c r="S370" s="102"/>
      <c r="T370" s="102"/>
      <c r="U370" s="102"/>
    </row>
    <row r="371" spans="1:21" ht="14.25" customHeight="1" x14ac:dyDescent="0.3">
      <c r="A371" s="86"/>
      <c r="B371" s="94" t="e">
        <f t="shared" ca="1" si="9"/>
        <v>#N/A</v>
      </c>
      <c r="C371" s="86"/>
      <c r="D371" s="90" t="e">
        <f t="shared" ca="1" si="10"/>
        <v>#N/A</v>
      </c>
      <c r="E371" s="90" t="s">
        <v>153</v>
      </c>
      <c r="F371" s="90"/>
      <c r="G371" s="90"/>
      <c r="H371" s="90" t="e">
        <f t="shared" ca="1" si="11"/>
        <v>#N/A</v>
      </c>
      <c r="I371" s="90" t="s">
        <v>153</v>
      </c>
      <c r="J371" s="47" t="e">
        <f t="shared" ca="1" si="12"/>
        <v>#N/A</v>
      </c>
      <c r="S371" s="102"/>
      <c r="T371" s="102"/>
      <c r="U371" s="102"/>
    </row>
    <row r="372" spans="1:21" ht="14.25" customHeight="1" x14ac:dyDescent="0.3">
      <c r="A372" s="86"/>
      <c r="B372" s="94" t="e">
        <f t="shared" ca="1" si="9"/>
        <v>#N/A</v>
      </c>
      <c r="C372" s="86"/>
      <c r="D372" s="90" t="e">
        <f t="shared" ca="1" si="10"/>
        <v>#N/A</v>
      </c>
      <c r="E372" s="90" t="s">
        <v>153</v>
      </c>
      <c r="F372" s="90"/>
      <c r="G372" s="90"/>
      <c r="H372" s="90" t="e">
        <f t="shared" ca="1" si="11"/>
        <v>#N/A</v>
      </c>
      <c r="I372" s="90" t="s">
        <v>153</v>
      </c>
      <c r="J372" s="47" t="e">
        <f t="shared" ca="1" si="12"/>
        <v>#N/A</v>
      </c>
      <c r="S372" s="102"/>
      <c r="T372" s="102"/>
      <c r="U372" s="102"/>
    </row>
    <row r="373" spans="1:21" ht="14.25" customHeight="1" x14ac:dyDescent="0.3">
      <c r="A373" s="86"/>
      <c r="B373" s="94" t="e">
        <f t="shared" ca="1" si="9"/>
        <v>#N/A</v>
      </c>
      <c r="C373" s="86"/>
      <c r="D373" s="90" t="e">
        <f t="shared" ca="1" si="10"/>
        <v>#N/A</v>
      </c>
      <c r="E373" s="90" t="s">
        <v>153</v>
      </c>
      <c r="F373" s="90"/>
      <c r="G373" s="90"/>
      <c r="H373" s="90" t="e">
        <f t="shared" ca="1" si="11"/>
        <v>#N/A</v>
      </c>
      <c r="I373" s="90" t="s">
        <v>153</v>
      </c>
      <c r="J373" s="47" t="e">
        <f t="shared" ca="1" si="12"/>
        <v>#N/A</v>
      </c>
      <c r="S373" s="102"/>
      <c r="T373" s="102"/>
      <c r="U373" s="102"/>
    </row>
    <row r="374" spans="1:21" ht="14.25" customHeight="1" x14ac:dyDescent="0.3">
      <c r="A374" s="86"/>
      <c r="B374" s="94" t="e">
        <f t="shared" ca="1" si="9"/>
        <v>#N/A</v>
      </c>
      <c r="C374" s="86"/>
      <c r="D374" s="90" t="e">
        <f t="shared" ca="1" si="10"/>
        <v>#N/A</v>
      </c>
      <c r="E374" s="90" t="s">
        <v>153</v>
      </c>
      <c r="F374" s="90"/>
      <c r="G374" s="90"/>
      <c r="H374" s="90" t="e">
        <f t="shared" ca="1" si="11"/>
        <v>#N/A</v>
      </c>
      <c r="I374" s="90" t="s">
        <v>153</v>
      </c>
      <c r="J374" s="47" t="e">
        <f t="shared" ca="1" si="12"/>
        <v>#N/A</v>
      </c>
      <c r="S374" s="102"/>
      <c r="T374" s="102"/>
      <c r="U374" s="102"/>
    </row>
    <row r="375" spans="1:21" ht="14.25" customHeight="1" x14ac:dyDescent="0.3">
      <c r="A375" s="86"/>
      <c r="B375" s="94" t="e">
        <f t="shared" ca="1" si="9"/>
        <v>#N/A</v>
      </c>
      <c r="C375" s="86"/>
      <c r="D375" s="90" t="e">
        <f t="shared" ca="1" si="10"/>
        <v>#N/A</v>
      </c>
      <c r="E375" s="90" t="s">
        <v>153</v>
      </c>
      <c r="F375" s="90"/>
      <c r="G375" s="90"/>
      <c r="H375" s="90" t="e">
        <f t="shared" ca="1" si="11"/>
        <v>#N/A</v>
      </c>
      <c r="I375" s="90" t="s">
        <v>153</v>
      </c>
      <c r="J375" s="47" t="e">
        <f t="shared" ca="1" si="12"/>
        <v>#N/A</v>
      </c>
      <c r="S375" s="102"/>
      <c r="T375" s="102"/>
      <c r="U375" s="102"/>
    </row>
    <row r="376" spans="1:21" ht="14.25" customHeight="1" x14ac:dyDescent="0.3">
      <c r="A376" s="86"/>
      <c r="B376" s="94" t="e">
        <f t="shared" ca="1" si="9"/>
        <v>#N/A</v>
      </c>
      <c r="C376" s="86"/>
      <c r="D376" s="90" t="e">
        <f t="shared" ca="1" si="10"/>
        <v>#N/A</v>
      </c>
      <c r="E376" s="90" t="s">
        <v>153</v>
      </c>
      <c r="F376" s="90"/>
      <c r="G376" s="90"/>
      <c r="H376" s="90" t="e">
        <f t="shared" ca="1" si="11"/>
        <v>#N/A</v>
      </c>
      <c r="I376" s="90" t="s">
        <v>153</v>
      </c>
      <c r="J376" s="47" t="e">
        <f t="shared" ca="1" si="12"/>
        <v>#N/A</v>
      </c>
      <c r="S376" s="102"/>
      <c r="T376" s="102"/>
      <c r="U376" s="102"/>
    </row>
    <row r="377" spans="1:21" ht="14.25" customHeight="1" x14ac:dyDescent="0.3">
      <c r="A377" s="86"/>
      <c r="B377" s="94" t="e">
        <f t="shared" ca="1" si="9"/>
        <v>#N/A</v>
      </c>
      <c r="C377" s="86"/>
      <c r="D377" s="90" t="e">
        <f t="shared" ca="1" si="10"/>
        <v>#N/A</v>
      </c>
      <c r="E377" s="90" t="s">
        <v>153</v>
      </c>
      <c r="F377" s="90"/>
      <c r="G377" s="90"/>
      <c r="H377" s="90" t="e">
        <f t="shared" ca="1" si="11"/>
        <v>#N/A</v>
      </c>
      <c r="I377" s="90" t="s">
        <v>153</v>
      </c>
      <c r="J377" s="47" t="e">
        <f t="shared" ca="1" si="12"/>
        <v>#N/A</v>
      </c>
      <c r="S377" s="102"/>
      <c r="T377" s="102"/>
      <c r="U377" s="102"/>
    </row>
    <row r="378" spans="1:21" ht="14.25" customHeight="1" x14ac:dyDescent="0.3">
      <c r="A378" s="86"/>
      <c r="B378" s="94" t="e">
        <f t="shared" ca="1" si="9"/>
        <v>#N/A</v>
      </c>
      <c r="C378" s="86"/>
      <c r="D378" s="90" t="e">
        <f t="shared" ca="1" si="10"/>
        <v>#N/A</v>
      </c>
      <c r="E378" s="90" t="s">
        <v>153</v>
      </c>
      <c r="F378" s="90"/>
      <c r="G378" s="90"/>
      <c r="H378" s="90" t="e">
        <f t="shared" ca="1" si="11"/>
        <v>#N/A</v>
      </c>
      <c r="I378" s="90" t="s">
        <v>153</v>
      </c>
      <c r="J378" s="47" t="e">
        <f t="shared" ca="1" si="12"/>
        <v>#N/A</v>
      </c>
      <c r="S378" s="102"/>
      <c r="T378" s="102"/>
      <c r="U378" s="102"/>
    </row>
    <row r="379" spans="1:21" ht="14.25" customHeight="1" x14ac:dyDescent="0.3">
      <c r="A379" s="86"/>
      <c r="B379" s="94" t="e">
        <f t="shared" ca="1" si="9"/>
        <v>#N/A</v>
      </c>
      <c r="C379" s="86"/>
      <c r="D379" s="90" t="e">
        <f t="shared" ca="1" si="10"/>
        <v>#N/A</v>
      </c>
      <c r="E379" s="90" t="s">
        <v>153</v>
      </c>
      <c r="F379" s="90"/>
      <c r="G379" s="90"/>
      <c r="H379" s="90" t="e">
        <f t="shared" ca="1" si="11"/>
        <v>#N/A</v>
      </c>
      <c r="I379" s="90" t="s">
        <v>153</v>
      </c>
      <c r="J379" s="47" t="e">
        <f t="shared" ca="1" si="12"/>
        <v>#N/A</v>
      </c>
      <c r="S379" s="102"/>
      <c r="T379" s="102"/>
      <c r="U379" s="102"/>
    </row>
    <row r="380" spans="1:21" ht="14.25" customHeight="1" x14ac:dyDescent="0.3">
      <c r="A380" s="86"/>
      <c r="B380" s="94" t="e">
        <f t="shared" ca="1" si="9"/>
        <v>#N/A</v>
      </c>
      <c r="C380" s="86"/>
      <c r="D380" s="90" t="e">
        <f t="shared" ca="1" si="10"/>
        <v>#N/A</v>
      </c>
      <c r="E380" s="90" t="s">
        <v>153</v>
      </c>
      <c r="F380" s="90"/>
      <c r="G380" s="90"/>
      <c r="H380" s="90" t="e">
        <f t="shared" ca="1" si="11"/>
        <v>#N/A</v>
      </c>
      <c r="I380" s="90" t="s">
        <v>153</v>
      </c>
      <c r="J380" s="47" t="e">
        <f t="shared" ca="1" si="12"/>
        <v>#N/A</v>
      </c>
      <c r="S380" s="102"/>
      <c r="T380" s="102"/>
      <c r="U380" s="102"/>
    </row>
    <row r="381" spans="1:21" ht="14.25" customHeight="1" x14ac:dyDescent="0.3">
      <c r="A381" s="86"/>
      <c r="B381" s="94" t="e">
        <f t="shared" ca="1" si="9"/>
        <v>#N/A</v>
      </c>
      <c r="C381" s="86"/>
      <c r="D381" s="90" t="e">
        <f t="shared" ca="1" si="10"/>
        <v>#N/A</v>
      </c>
      <c r="E381" s="90" t="s">
        <v>153</v>
      </c>
      <c r="F381" s="90"/>
      <c r="G381" s="90"/>
      <c r="H381" s="90" t="e">
        <f t="shared" ca="1" si="11"/>
        <v>#N/A</v>
      </c>
      <c r="I381" s="90" t="s">
        <v>153</v>
      </c>
      <c r="J381" s="47" t="e">
        <f t="shared" ca="1" si="12"/>
        <v>#N/A</v>
      </c>
      <c r="S381" s="102"/>
      <c r="T381" s="102"/>
      <c r="U381" s="102"/>
    </row>
    <row r="382" spans="1:21" ht="14.25" customHeight="1" x14ac:dyDescent="0.3">
      <c r="A382" s="86"/>
      <c r="B382" s="94" t="e">
        <f t="shared" ca="1" si="9"/>
        <v>#N/A</v>
      </c>
      <c r="C382" s="86"/>
      <c r="D382" s="90" t="e">
        <f t="shared" ca="1" si="10"/>
        <v>#N/A</v>
      </c>
      <c r="E382" s="90" t="s">
        <v>153</v>
      </c>
      <c r="F382" s="90"/>
      <c r="G382" s="90"/>
      <c r="H382" s="90" t="e">
        <f t="shared" ca="1" si="11"/>
        <v>#N/A</v>
      </c>
      <c r="I382" s="90" t="s">
        <v>153</v>
      </c>
      <c r="J382" s="47" t="e">
        <f t="shared" ca="1" si="12"/>
        <v>#N/A</v>
      </c>
      <c r="S382" s="102"/>
      <c r="T382" s="102"/>
      <c r="U382" s="102"/>
    </row>
    <row r="383" spans="1:21" ht="14.25" customHeight="1" x14ac:dyDescent="0.3">
      <c r="A383" s="86"/>
      <c r="B383" s="94" t="e">
        <f t="shared" ca="1" si="9"/>
        <v>#N/A</v>
      </c>
      <c r="C383" s="86"/>
      <c r="D383" s="90" t="e">
        <f t="shared" ca="1" si="10"/>
        <v>#N/A</v>
      </c>
      <c r="E383" s="90" t="s">
        <v>153</v>
      </c>
      <c r="F383" s="90"/>
      <c r="G383" s="90"/>
      <c r="H383" s="90" t="e">
        <f t="shared" ca="1" si="11"/>
        <v>#N/A</v>
      </c>
      <c r="I383" s="90" t="s">
        <v>153</v>
      </c>
      <c r="J383" s="47" t="e">
        <f t="shared" ca="1" si="12"/>
        <v>#N/A</v>
      </c>
      <c r="S383" s="102"/>
      <c r="T383" s="102"/>
      <c r="U383" s="102"/>
    </row>
    <row r="384" spans="1:21" ht="14.25" customHeight="1" x14ac:dyDescent="0.3">
      <c r="A384" s="86"/>
      <c r="B384" s="94" t="e">
        <f t="shared" ca="1" si="9"/>
        <v>#N/A</v>
      </c>
      <c r="C384" s="86"/>
      <c r="D384" s="90" t="e">
        <f t="shared" ca="1" si="10"/>
        <v>#N/A</v>
      </c>
      <c r="E384" s="90" t="s">
        <v>153</v>
      </c>
      <c r="F384" s="90"/>
      <c r="G384" s="90"/>
      <c r="H384" s="90" t="e">
        <f t="shared" ca="1" si="11"/>
        <v>#N/A</v>
      </c>
      <c r="I384" s="90" t="s">
        <v>153</v>
      </c>
      <c r="J384" s="47" t="e">
        <f t="shared" ca="1" si="12"/>
        <v>#N/A</v>
      </c>
      <c r="S384" s="102"/>
      <c r="T384" s="102"/>
      <c r="U384" s="102"/>
    </row>
    <row r="385" spans="1:21" ht="14.25" customHeight="1" x14ac:dyDescent="0.3">
      <c r="A385" s="86"/>
      <c r="B385" s="94" t="e">
        <f t="shared" ca="1" si="9"/>
        <v>#N/A</v>
      </c>
      <c r="C385" s="86"/>
      <c r="D385" s="90" t="e">
        <f t="shared" ca="1" si="10"/>
        <v>#N/A</v>
      </c>
      <c r="E385" s="90" t="s">
        <v>153</v>
      </c>
      <c r="F385" s="90"/>
      <c r="G385" s="90"/>
      <c r="H385" s="90" t="e">
        <f t="shared" ca="1" si="11"/>
        <v>#N/A</v>
      </c>
      <c r="I385" s="90" t="s">
        <v>153</v>
      </c>
      <c r="J385" s="47" t="e">
        <f t="shared" ca="1" si="12"/>
        <v>#N/A</v>
      </c>
      <c r="S385" s="102"/>
      <c r="T385" s="102"/>
      <c r="U385" s="102"/>
    </row>
    <row r="386" spans="1:21" ht="14.25" customHeight="1" x14ac:dyDescent="0.3">
      <c r="A386" s="86"/>
      <c r="B386" s="94" t="e">
        <f t="shared" ca="1" si="9"/>
        <v>#N/A</v>
      </c>
      <c r="C386" s="86"/>
      <c r="D386" s="90" t="e">
        <f t="shared" ca="1" si="10"/>
        <v>#N/A</v>
      </c>
      <c r="E386" s="90" t="s">
        <v>153</v>
      </c>
      <c r="F386" s="90"/>
      <c r="G386" s="90"/>
      <c r="H386" s="90" t="e">
        <f t="shared" ca="1" si="11"/>
        <v>#N/A</v>
      </c>
      <c r="I386" s="90" t="s">
        <v>153</v>
      </c>
      <c r="J386" s="47" t="e">
        <f t="shared" ca="1" si="12"/>
        <v>#N/A</v>
      </c>
      <c r="S386" s="102"/>
      <c r="T386" s="102"/>
      <c r="U386" s="102"/>
    </row>
    <row r="387" spans="1:21" ht="14.25" customHeight="1" x14ac:dyDescent="0.3">
      <c r="A387" s="86"/>
      <c r="B387" s="94" t="e">
        <f t="shared" ca="1" si="9"/>
        <v>#N/A</v>
      </c>
      <c r="C387" s="86"/>
      <c r="D387" s="90" t="e">
        <f t="shared" ca="1" si="10"/>
        <v>#N/A</v>
      </c>
      <c r="E387" s="90" t="s">
        <v>153</v>
      </c>
      <c r="F387" s="90"/>
      <c r="G387" s="90"/>
      <c r="H387" s="90" t="e">
        <f t="shared" ca="1" si="11"/>
        <v>#N/A</v>
      </c>
      <c r="I387" s="90" t="s">
        <v>153</v>
      </c>
      <c r="J387" s="47" t="e">
        <f t="shared" ca="1" si="12"/>
        <v>#N/A</v>
      </c>
      <c r="S387" s="102"/>
      <c r="T387" s="102"/>
      <c r="U387" s="102"/>
    </row>
    <row r="388" spans="1:21" ht="14.25" customHeight="1" x14ac:dyDescent="0.3">
      <c r="A388" s="86"/>
      <c r="B388" s="94" t="e">
        <f t="shared" ca="1" si="9"/>
        <v>#N/A</v>
      </c>
      <c r="C388" s="86"/>
      <c r="D388" s="90" t="e">
        <f t="shared" ca="1" si="10"/>
        <v>#N/A</v>
      </c>
      <c r="E388" s="90" t="s">
        <v>153</v>
      </c>
      <c r="F388" s="90"/>
      <c r="G388" s="90"/>
      <c r="H388" s="90" t="e">
        <f t="shared" ca="1" si="11"/>
        <v>#N/A</v>
      </c>
      <c r="I388" s="90" t="s">
        <v>153</v>
      </c>
      <c r="J388" s="47" t="e">
        <f t="shared" ca="1" si="12"/>
        <v>#N/A</v>
      </c>
      <c r="S388" s="102"/>
      <c r="T388" s="102"/>
      <c r="U388" s="102"/>
    </row>
    <row r="389" spans="1:21" ht="14.25" customHeight="1" x14ac:dyDescent="0.3">
      <c r="A389" s="86"/>
      <c r="B389" s="94" t="e">
        <f t="shared" ca="1" si="9"/>
        <v>#N/A</v>
      </c>
      <c r="C389" s="86"/>
      <c r="D389" s="90" t="e">
        <f t="shared" ca="1" si="10"/>
        <v>#N/A</v>
      </c>
      <c r="E389" s="90" t="s">
        <v>153</v>
      </c>
      <c r="F389" s="90"/>
      <c r="G389" s="90"/>
      <c r="H389" s="90" t="e">
        <f t="shared" ca="1" si="11"/>
        <v>#N/A</v>
      </c>
      <c r="I389" s="90" t="s">
        <v>153</v>
      </c>
      <c r="J389" s="47" t="e">
        <f t="shared" ca="1" si="12"/>
        <v>#N/A</v>
      </c>
      <c r="S389" s="102"/>
      <c r="T389" s="102"/>
      <c r="U389" s="102"/>
    </row>
    <row r="390" spans="1:21" ht="14.25" customHeight="1" x14ac:dyDescent="0.3">
      <c r="A390" s="86"/>
      <c r="B390" s="94" t="e">
        <f t="shared" ca="1" si="9"/>
        <v>#N/A</v>
      </c>
      <c r="C390" s="86"/>
      <c r="D390" s="90" t="e">
        <f t="shared" ca="1" si="10"/>
        <v>#N/A</v>
      </c>
      <c r="E390" s="90" t="s">
        <v>153</v>
      </c>
      <c r="F390" s="90"/>
      <c r="G390" s="90"/>
      <c r="H390" s="90" t="e">
        <f t="shared" ca="1" si="11"/>
        <v>#N/A</v>
      </c>
      <c r="I390" s="90" t="s">
        <v>153</v>
      </c>
      <c r="J390" s="47" t="e">
        <f t="shared" ca="1" si="12"/>
        <v>#N/A</v>
      </c>
      <c r="S390" s="102"/>
      <c r="T390" s="102"/>
      <c r="U390" s="102"/>
    </row>
    <row r="391" spans="1:21" ht="14.25" customHeight="1" x14ac:dyDescent="0.3">
      <c r="A391" s="86"/>
      <c r="B391" s="94" t="e">
        <f t="shared" ca="1" si="9"/>
        <v>#N/A</v>
      </c>
      <c r="C391" s="86"/>
      <c r="D391" s="90" t="e">
        <f t="shared" ca="1" si="10"/>
        <v>#N/A</v>
      </c>
      <c r="E391" s="90" t="s">
        <v>153</v>
      </c>
      <c r="F391" s="90"/>
      <c r="G391" s="90"/>
      <c r="H391" s="90" t="e">
        <f t="shared" ca="1" si="11"/>
        <v>#N/A</v>
      </c>
      <c r="I391" s="90" t="s">
        <v>153</v>
      </c>
      <c r="J391" s="47" t="e">
        <f t="shared" ca="1" si="12"/>
        <v>#N/A</v>
      </c>
      <c r="S391" s="102"/>
      <c r="T391" s="102"/>
      <c r="U391" s="102"/>
    </row>
    <row r="392" spans="1:21" ht="14.25" customHeight="1" x14ac:dyDescent="0.3">
      <c r="A392" s="86"/>
      <c r="B392" s="94" t="e">
        <f t="shared" ca="1" si="9"/>
        <v>#N/A</v>
      </c>
      <c r="C392" s="86"/>
      <c r="D392" s="90" t="e">
        <f t="shared" ca="1" si="10"/>
        <v>#N/A</v>
      </c>
      <c r="E392" s="90" t="s">
        <v>153</v>
      </c>
      <c r="F392" s="90"/>
      <c r="G392" s="90"/>
      <c r="H392" s="90" t="e">
        <f t="shared" ca="1" si="11"/>
        <v>#N/A</v>
      </c>
      <c r="I392" s="90" t="s">
        <v>153</v>
      </c>
      <c r="J392" s="47" t="e">
        <f t="shared" ca="1" si="12"/>
        <v>#N/A</v>
      </c>
      <c r="S392" s="102"/>
      <c r="T392" s="102"/>
      <c r="U392" s="102"/>
    </row>
    <row r="393" spans="1:21" ht="14.25" customHeight="1" x14ac:dyDescent="0.3">
      <c r="A393" s="86"/>
      <c r="B393" s="94" t="e">
        <f t="shared" ca="1" si="9"/>
        <v>#N/A</v>
      </c>
      <c r="C393" s="86"/>
      <c r="D393" s="90" t="e">
        <f t="shared" ca="1" si="10"/>
        <v>#N/A</v>
      </c>
      <c r="E393" s="90" t="s">
        <v>153</v>
      </c>
      <c r="F393" s="90"/>
      <c r="G393" s="90"/>
      <c r="H393" s="90" t="e">
        <f t="shared" ca="1" si="11"/>
        <v>#N/A</v>
      </c>
      <c r="I393" s="90" t="s">
        <v>153</v>
      </c>
      <c r="J393" s="47" t="e">
        <f t="shared" ca="1" si="12"/>
        <v>#N/A</v>
      </c>
      <c r="S393" s="102"/>
      <c r="T393" s="102"/>
      <c r="U393" s="102"/>
    </row>
    <row r="394" spans="1:21" ht="14.25" customHeight="1" x14ac:dyDescent="0.3">
      <c r="A394" s="86"/>
      <c r="B394" s="94" t="e">
        <f t="shared" ca="1" si="9"/>
        <v>#N/A</v>
      </c>
      <c r="C394" s="86"/>
      <c r="D394" s="90" t="e">
        <f t="shared" ca="1" si="10"/>
        <v>#N/A</v>
      </c>
      <c r="E394" s="90" t="s">
        <v>153</v>
      </c>
      <c r="F394" s="90"/>
      <c r="G394" s="90"/>
      <c r="H394" s="90" t="e">
        <f t="shared" ca="1" si="11"/>
        <v>#N/A</v>
      </c>
      <c r="I394" s="90" t="s">
        <v>153</v>
      </c>
      <c r="J394" s="47" t="e">
        <f t="shared" ca="1" si="12"/>
        <v>#N/A</v>
      </c>
      <c r="S394" s="102"/>
      <c r="T394" s="102"/>
      <c r="U394" s="102"/>
    </row>
    <row r="395" spans="1:21" ht="14.25" customHeight="1" x14ac:dyDescent="0.3">
      <c r="A395" s="86"/>
      <c r="B395" s="94" t="e">
        <f t="shared" ca="1" si="9"/>
        <v>#N/A</v>
      </c>
      <c r="C395" s="86"/>
      <c r="D395" s="90" t="e">
        <f t="shared" ca="1" si="10"/>
        <v>#N/A</v>
      </c>
      <c r="E395" s="90" t="s">
        <v>153</v>
      </c>
      <c r="F395" s="90"/>
      <c r="G395" s="90"/>
      <c r="H395" s="90" t="e">
        <f t="shared" ca="1" si="11"/>
        <v>#N/A</v>
      </c>
      <c r="I395" s="90" t="s">
        <v>153</v>
      </c>
      <c r="J395" s="47" t="e">
        <f t="shared" ca="1" si="12"/>
        <v>#N/A</v>
      </c>
      <c r="S395" s="102"/>
      <c r="T395" s="102"/>
      <c r="U395" s="102"/>
    </row>
    <row r="396" spans="1:21" ht="14.25" customHeight="1" x14ac:dyDescent="0.3">
      <c r="A396" s="86"/>
      <c r="B396" s="94" t="e">
        <f t="shared" ca="1" si="9"/>
        <v>#N/A</v>
      </c>
      <c r="C396" s="86"/>
      <c r="D396" s="90" t="e">
        <f t="shared" ca="1" si="10"/>
        <v>#N/A</v>
      </c>
      <c r="E396" s="90" t="s">
        <v>153</v>
      </c>
      <c r="F396" s="90"/>
      <c r="G396" s="90"/>
      <c r="H396" s="90" t="e">
        <f t="shared" ca="1" si="11"/>
        <v>#N/A</v>
      </c>
      <c r="I396" s="90" t="s">
        <v>153</v>
      </c>
      <c r="J396" s="47" t="e">
        <f t="shared" ca="1" si="12"/>
        <v>#N/A</v>
      </c>
      <c r="S396" s="102"/>
      <c r="T396" s="102"/>
      <c r="U396" s="102"/>
    </row>
    <row r="397" spans="1:21" ht="14.25" customHeight="1" x14ac:dyDescent="0.3">
      <c r="A397" s="86"/>
      <c r="B397" s="94" t="e">
        <f t="shared" ca="1" si="9"/>
        <v>#N/A</v>
      </c>
      <c r="C397" s="86"/>
      <c r="D397" s="90" t="e">
        <f t="shared" ca="1" si="10"/>
        <v>#N/A</v>
      </c>
      <c r="E397" s="90" t="s">
        <v>153</v>
      </c>
      <c r="F397" s="90"/>
      <c r="G397" s="90"/>
      <c r="H397" s="90" t="e">
        <f t="shared" ca="1" si="11"/>
        <v>#N/A</v>
      </c>
      <c r="I397" s="90" t="s">
        <v>153</v>
      </c>
      <c r="J397" s="47" t="e">
        <f t="shared" ca="1" si="12"/>
        <v>#N/A</v>
      </c>
      <c r="S397" s="102"/>
      <c r="T397" s="102"/>
      <c r="U397" s="102"/>
    </row>
    <row r="398" spans="1:21" ht="14.25" customHeight="1" x14ac:dyDescent="0.3">
      <c r="A398" s="86"/>
      <c r="B398" s="94" t="e">
        <f t="shared" ca="1" si="9"/>
        <v>#N/A</v>
      </c>
      <c r="C398" s="86"/>
      <c r="D398" s="90" t="e">
        <f t="shared" ca="1" si="10"/>
        <v>#N/A</v>
      </c>
      <c r="E398" s="90" t="s">
        <v>153</v>
      </c>
      <c r="F398" s="90"/>
      <c r="G398" s="90"/>
      <c r="H398" s="90" t="e">
        <f t="shared" ca="1" si="11"/>
        <v>#N/A</v>
      </c>
      <c r="I398" s="90" t="s">
        <v>153</v>
      </c>
      <c r="J398" s="47" t="e">
        <f t="shared" ca="1" si="12"/>
        <v>#N/A</v>
      </c>
      <c r="S398" s="102"/>
      <c r="T398" s="102"/>
      <c r="U398" s="102"/>
    </row>
    <row r="399" spans="1:21" ht="14.25" customHeight="1" x14ac:dyDescent="0.3">
      <c r="A399" s="86"/>
      <c r="B399" s="94" t="e">
        <f t="shared" ca="1" si="9"/>
        <v>#N/A</v>
      </c>
      <c r="C399" s="86"/>
      <c r="D399" s="90" t="e">
        <f t="shared" ca="1" si="10"/>
        <v>#N/A</v>
      </c>
      <c r="E399" s="90" t="s">
        <v>153</v>
      </c>
      <c r="F399" s="90"/>
      <c r="G399" s="90"/>
      <c r="H399" s="90" t="e">
        <f t="shared" ca="1" si="11"/>
        <v>#N/A</v>
      </c>
      <c r="I399" s="90" t="s">
        <v>153</v>
      </c>
      <c r="J399" s="47" t="e">
        <f t="shared" ca="1" si="12"/>
        <v>#N/A</v>
      </c>
      <c r="S399" s="102"/>
      <c r="T399" s="102"/>
      <c r="U399" s="102"/>
    </row>
    <row r="400" spans="1:21" ht="14.25" customHeight="1" x14ac:dyDescent="0.3">
      <c r="A400" s="86"/>
      <c r="B400" s="94" t="e">
        <f t="shared" ca="1" si="9"/>
        <v>#N/A</v>
      </c>
      <c r="C400" s="86"/>
      <c r="D400" s="90" t="e">
        <f t="shared" ca="1" si="10"/>
        <v>#N/A</v>
      </c>
      <c r="E400" s="90" t="s">
        <v>153</v>
      </c>
      <c r="F400" s="90"/>
      <c r="G400" s="90"/>
      <c r="H400" s="90" t="e">
        <f t="shared" ca="1" si="11"/>
        <v>#N/A</v>
      </c>
      <c r="I400" s="90" t="s">
        <v>153</v>
      </c>
      <c r="J400" s="47" t="e">
        <f t="shared" ca="1" si="12"/>
        <v>#N/A</v>
      </c>
      <c r="S400" s="102"/>
      <c r="T400" s="102"/>
      <c r="U400" s="102"/>
    </row>
    <row r="401" spans="1:21" ht="14.25" customHeight="1" x14ac:dyDescent="0.3">
      <c r="A401" s="86"/>
      <c r="B401" s="94" t="e">
        <f t="shared" ca="1" si="9"/>
        <v>#N/A</v>
      </c>
      <c r="C401" s="86"/>
      <c r="D401" s="90" t="e">
        <f t="shared" ca="1" si="10"/>
        <v>#N/A</v>
      </c>
      <c r="E401" s="90" t="s">
        <v>153</v>
      </c>
      <c r="F401" s="90"/>
      <c r="G401" s="90"/>
      <c r="H401" s="90" t="e">
        <f t="shared" ca="1" si="11"/>
        <v>#N/A</v>
      </c>
      <c r="I401" s="90" t="s">
        <v>153</v>
      </c>
      <c r="J401" s="47" t="e">
        <f t="shared" ca="1" si="12"/>
        <v>#N/A</v>
      </c>
      <c r="S401" s="102"/>
      <c r="T401" s="102"/>
      <c r="U401" s="102"/>
    </row>
    <row r="402" spans="1:21" ht="14.25" customHeight="1" x14ac:dyDescent="0.3">
      <c r="A402" s="86"/>
      <c r="B402" s="94" t="e">
        <f t="shared" ca="1" si="9"/>
        <v>#N/A</v>
      </c>
      <c r="C402" s="86"/>
      <c r="D402" s="90" t="e">
        <f t="shared" ca="1" si="10"/>
        <v>#N/A</v>
      </c>
      <c r="E402" s="90" t="s">
        <v>153</v>
      </c>
      <c r="F402" s="90"/>
      <c r="G402" s="90"/>
      <c r="H402" s="90" t="e">
        <f t="shared" ca="1" si="11"/>
        <v>#N/A</v>
      </c>
      <c r="I402" s="90" t="s">
        <v>153</v>
      </c>
      <c r="J402" s="47" t="e">
        <f t="shared" ca="1" si="12"/>
        <v>#N/A</v>
      </c>
      <c r="S402" s="102"/>
      <c r="T402" s="102"/>
      <c r="U402" s="102"/>
    </row>
    <row r="403" spans="1:21" ht="14.25" customHeight="1" x14ac:dyDescent="0.3">
      <c r="A403" s="86"/>
      <c r="B403" s="94" t="e">
        <f t="shared" ca="1" si="9"/>
        <v>#N/A</v>
      </c>
      <c r="C403" s="86"/>
      <c r="D403" s="90" t="e">
        <f t="shared" ca="1" si="10"/>
        <v>#N/A</v>
      </c>
      <c r="E403" s="90" t="s">
        <v>153</v>
      </c>
      <c r="F403" s="90"/>
      <c r="G403" s="90"/>
      <c r="H403" s="90" t="e">
        <f t="shared" ca="1" si="11"/>
        <v>#N/A</v>
      </c>
      <c r="I403" s="90" t="s">
        <v>153</v>
      </c>
      <c r="J403" s="47" t="e">
        <f t="shared" ca="1" si="12"/>
        <v>#N/A</v>
      </c>
      <c r="S403" s="102"/>
      <c r="T403" s="102"/>
      <c r="U403" s="102"/>
    </row>
    <row r="404" spans="1:21" ht="14.25" customHeight="1" x14ac:dyDescent="0.3">
      <c r="A404" s="86"/>
      <c r="B404" s="94" t="e">
        <f t="shared" ca="1" si="9"/>
        <v>#N/A</v>
      </c>
      <c r="C404" s="86"/>
      <c r="D404" s="90" t="e">
        <f t="shared" ca="1" si="10"/>
        <v>#N/A</v>
      </c>
      <c r="E404" s="90" t="s">
        <v>153</v>
      </c>
      <c r="F404" s="90"/>
      <c r="G404" s="90"/>
      <c r="H404" s="90" t="e">
        <f t="shared" ca="1" si="11"/>
        <v>#N/A</v>
      </c>
      <c r="I404" s="90" t="s">
        <v>153</v>
      </c>
      <c r="J404" s="47" t="e">
        <f t="shared" ca="1" si="12"/>
        <v>#N/A</v>
      </c>
      <c r="S404" s="102"/>
      <c r="T404" s="102"/>
      <c r="U404" s="102"/>
    </row>
    <row r="405" spans="1:21" ht="14.25" customHeight="1" x14ac:dyDescent="0.3">
      <c r="A405" s="86"/>
      <c r="B405" s="94" t="e">
        <f t="shared" ca="1" si="9"/>
        <v>#N/A</v>
      </c>
      <c r="C405" s="86"/>
      <c r="D405" s="90" t="e">
        <f t="shared" ca="1" si="10"/>
        <v>#N/A</v>
      </c>
      <c r="E405" s="90" t="s">
        <v>153</v>
      </c>
      <c r="F405" s="90"/>
      <c r="G405" s="90"/>
      <c r="H405" s="90" t="e">
        <f t="shared" ca="1" si="11"/>
        <v>#N/A</v>
      </c>
      <c r="I405" s="90" t="s">
        <v>153</v>
      </c>
      <c r="J405" s="47" t="e">
        <f t="shared" ca="1" si="12"/>
        <v>#N/A</v>
      </c>
      <c r="S405" s="102"/>
      <c r="T405" s="102"/>
      <c r="U405" s="102"/>
    </row>
    <row r="406" spans="1:21" ht="14.25" customHeight="1" x14ac:dyDescent="0.3">
      <c r="A406" s="86"/>
      <c r="B406" s="94" t="e">
        <f t="shared" ca="1" si="9"/>
        <v>#N/A</v>
      </c>
      <c r="C406" s="86"/>
      <c r="D406" s="90" t="e">
        <f t="shared" ca="1" si="10"/>
        <v>#N/A</v>
      </c>
      <c r="E406" s="90" t="s">
        <v>153</v>
      </c>
      <c r="F406" s="90"/>
      <c r="G406" s="90"/>
      <c r="H406" s="90" t="e">
        <f t="shared" ca="1" si="11"/>
        <v>#N/A</v>
      </c>
      <c r="I406" s="90" t="s">
        <v>153</v>
      </c>
      <c r="J406" s="47" t="e">
        <f t="shared" ca="1" si="12"/>
        <v>#N/A</v>
      </c>
      <c r="S406" s="102"/>
      <c r="T406" s="102"/>
      <c r="U406" s="102"/>
    </row>
    <row r="407" spans="1:21" ht="14.25" customHeight="1" x14ac:dyDescent="0.3">
      <c r="A407" s="86"/>
      <c r="B407" s="94" t="e">
        <f t="shared" ca="1" si="9"/>
        <v>#N/A</v>
      </c>
      <c r="C407" s="86"/>
      <c r="D407" s="90" t="e">
        <f t="shared" ca="1" si="10"/>
        <v>#N/A</v>
      </c>
      <c r="E407" s="90" t="s">
        <v>153</v>
      </c>
      <c r="F407" s="90"/>
      <c r="G407" s="90"/>
      <c r="H407" s="90" t="e">
        <f t="shared" ca="1" si="11"/>
        <v>#N/A</v>
      </c>
      <c r="I407" s="90" t="s">
        <v>153</v>
      </c>
      <c r="J407" s="47" t="e">
        <f t="shared" ca="1" si="12"/>
        <v>#N/A</v>
      </c>
      <c r="S407" s="102"/>
      <c r="T407" s="102"/>
      <c r="U407" s="102"/>
    </row>
    <row r="408" spans="1:21" ht="14.25" customHeight="1" x14ac:dyDescent="0.3">
      <c r="A408" s="86"/>
      <c r="B408" s="94" t="e">
        <f t="shared" ca="1" si="9"/>
        <v>#N/A</v>
      </c>
      <c r="C408" s="86"/>
      <c r="D408" s="90" t="e">
        <f t="shared" ca="1" si="10"/>
        <v>#N/A</v>
      </c>
      <c r="E408" s="90" t="s">
        <v>153</v>
      </c>
      <c r="F408" s="90"/>
      <c r="G408" s="90"/>
      <c r="H408" s="90" t="e">
        <f t="shared" ca="1" si="11"/>
        <v>#N/A</v>
      </c>
      <c r="I408" s="90" t="s">
        <v>153</v>
      </c>
      <c r="J408" s="47" t="e">
        <f t="shared" ca="1" si="12"/>
        <v>#N/A</v>
      </c>
      <c r="S408" s="102"/>
      <c r="T408" s="102"/>
      <c r="U408" s="102"/>
    </row>
    <row r="409" spans="1:21" ht="14.25" customHeight="1" x14ac:dyDescent="0.3">
      <c r="A409" s="86"/>
      <c r="B409" s="94" t="e">
        <f t="shared" ca="1" si="9"/>
        <v>#N/A</v>
      </c>
      <c r="C409" s="86"/>
      <c r="D409" s="90" t="e">
        <f t="shared" ca="1" si="10"/>
        <v>#N/A</v>
      </c>
      <c r="E409" s="90" t="s">
        <v>153</v>
      </c>
      <c r="F409" s="90"/>
      <c r="G409" s="90"/>
      <c r="H409" s="90" t="e">
        <f t="shared" ca="1" si="11"/>
        <v>#N/A</v>
      </c>
      <c r="I409" s="90" t="s">
        <v>153</v>
      </c>
      <c r="J409" s="47" t="e">
        <f t="shared" ca="1" si="12"/>
        <v>#N/A</v>
      </c>
      <c r="S409" s="102"/>
      <c r="T409" s="102"/>
      <c r="U409" s="102"/>
    </row>
    <row r="410" spans="1:21" ht="14.25" customHeight="1" x14ac:dyDescent="0.3">
      <c r="A410" s="86"/>
      <c r="B410" s="94" t="e">
        <f t="shared" ca="1" si="9"/>
        <v>#N/A</v>
      </c>
      <c r="C410" s="86"/>
      <c r="D410" s="90" t="e">
        <f t="shared" ca="1" si="10"/>
        <v>#N/A</v>
      </c>
      <c r="E410" s="90" t="s">
        <v>153</v>
      </c>
      <c r="F410" s="90"/>
      <c r="G410" s="90"/>
      <c r="H410" s="90" t="e">
        <f t="shared" ca="1" si="11"/>
        <v>#N/A</v>
      </c>
      <c r="I410" s="90" t="s">
        <v>153</v>
      </c>
      <c r="J410" s="47" t="e">
        <f t="shared" ca="1" si="12"/>
        <v>#N/A</v>
      </c>
      <c r="S410" s="102"/>
      <c r="T410" s="102"/>
      <c r="U410" s="102"/>
    </row>
    <row r="411" spans="1:21" ht="14.25" customHeight="1" x14ac:dyDescent="0.3">
      <c r="A411" s="86"/>
      <c r="B411" s="94" t="e">
        <f t="shared" ca="1" si="9"/>
        <v>#N/A</v>
      </c>
      <c r="C411" s="86"/>
      <c r="D411" s="90" t="e">
        <f t="shared" ca="1" si="10"/>
        <v>#N/A</v>
      </c>
      <c r="E411" s="90" t="s">
        <v>153</v>
      </c>
      <c r="F411" s="90"/>
      <c r="G411" s="90"/>
      <c r="H411" s="90" t="e">
        <f t="shared" ca="1" si="11"/>
        <v>#N/A</v>
      </c>
      <c r="I411" s="90" t="s">
        <v>153</v>
      </c>
      <c r="J411" s="47" t="e">
        <f t="shared" ca="1" si="12"/>
        <v>#N/A</v>
      </c>
      <c r="S411" s="102"/>
      <c r="T411" s="102"/>
      <c r="U411" s="102"/>
    </row>
    <row r="412" spans="1:21" ht="14.25" customHeight="1" x14ac:dyDescent="0.3">
      <c r="A412" s="86"/>
      <c r="B412" s="94" t="e">
        <f t="shared" ca="1" si="9"/>
        <v>#N/A</v>
      </c>
      <c r="C412" s="86"/>
      <c r="D412" s="90" t="e">
        <f t="shared" ca="1" si="10"/>
        <v>#N/A</v>
      </c>
      <c r="E412" s="90" t="s">
        <v>153</v>
      </c>
      <c r="F412" s="90"/>
      <c r="G412" s="90"/>
      <c r="H412" s="90" t="e">
        <f t="shared" ca="1" si="11"/>
        <v>#N/A</v>
      </c>
      <c r="I412" s="90" t="s">
        <v>153</v>
      </c>
      <c r="J412" s="47" t="e">
        <f t="shared" ca="1" si="12"/>
        <v>#N/A</v>
      </c>
      <c r="S412" s="102"/>
      <c r="T412" s="102"/>
      <c r="U412" s="102"/>
    </row>
    <row r="413" spans="1:21" ht="14.25" customHeight="1" x14ac:dyDescent="0.3">
      <c r="A413" s="86"/>
      <c r="B413" s="94" t="e">
        <f t="shared" ca="1" si="9"/>
        <v>#N/A</v>
      </c>
      <c r="C413" s="86"/>
      <c r="D413" s="90" t="e">
        <f t="shared" ca="1" si="10"/>
        <v>#N/A</v>
      </c>
      <c r="E413" s="90" t="s">
        <v>153</v>
      </c>
      <c r="F413" s="90"/>
      <c r="G413" s="90"/>
      <c r="H413" s="90" t="e">
        <f t="shared" ca="1" si="11"/>
        <v>#N/A</v>
      </c>
      <c r="I413" s="90" t="s">
        <v>153</v>
      </c>
      <c r="J413" s="47" t="e">
        <f t="shared" ca="1" si="12"/>
        <v>#N/A</v>
      </c>
      <c r="S413" s="102"/>
      <c r="T413" s="102"/>
      <c r="U413" s="102"/>
    </row>
    <row r="414" spans="1:21" ht="14.25" customHeight="1" x14ac:dyDescent="0.3">
      <c r="A414" s="86"/>
      <c r="B414" s="94" t="e">
        <f t="shared" ca="1" si="9"/>
        <v>#N/A</v>
      </c>
      <c r="C414" s="86"/>
      <c r="D414" s="90" t="e">
        <f t="shared" ca="1" si="10"/>
        <v>#N/A</v>
      </c>
      <c r="E414" s="90" t="s">
        <v>153</v>
      </c>
      <c r="F414" s="90"/>
      <c r="G414" s="90"/>
      <c r="H414" s="90" t="e">
        <f t="shared" ca="1" si="11"/>
        <v>#N/A</v>
      </c>
      <c r="I414" s="90" t="s">
        <v>153</v>
      </c>
      <c r="J414" s="47" t="e">
        <f t="shared" ca="1" si="12"/>
        <v>#N/A</v>
      </c>
      <c r="S414" s="102"/>
      <c r="T414" s="102"/>
      <c r="U414" s="102"/>
    </row>
    <row r="415" spans="1:21" ht="14.25" customHeight="1" x14ac:dyDescent="0.3">
      <c r="A415" s="86"/>
      <c r="B415" s="94" t="e">
        <f t="shared" ca="1" si="9"/>
        <v>#N/A</v>
      </c>
      <c r="C415" s="86"/>
      <c r="D415" s="90" t="e">
        <f t="shared" ca="1" si="10"/>
        <v>#N/A</v>
      </c>
      <c r="E415" s="90" t="s">
        <v>153</v>
      </c>
      <c r="F415" s="90"/>
      <c r="G415" s="90"/>
      <c r="H415" s="90" t="e">
        <f t="shared" ca="1" si="11"/>
        <v>#N/A</v>
      </c>
      <c r="I415" s="90" t="s">
        <v>153</v>
      </c>
      <c r="J415" s="47" t="e">
        <f t="shared" ca="1" si="12"/>
        <v>#N/A</v>
      </c>
      <c r="S415" s="102"/>
      <c r="T415" s="102"/>
      <c r="U415" s="102"/>
    </row>
    <row r="416" spans="1:21" ht="14.25" customHeight="1" x14ac:dyDescent="0.3">
      <c r="A416" s="86"/>
      <c r="B416" s="94" t="e">
        <f t="shared" ca="1" si="9"/>
        <v>#N/A</v>
      </c>
      <c r="C416" s="86"/>
      <c r="D416" s="90" t="e">
        <f t="shared" ca="1" si="10"/>
        <v>#N/A</v>
      </c>
      <c r="E416" s="90" t="s">
        <v>153</v>
      </c>
      <c r="F416" s="90"/>
      <c r="G416" s="90"/>
      <c r="H416" s="90" t="e">
        <f t="shared" ca="1" si="11"/>
        <v>#N/A</v>
      </c>
      <c r="I416" s="90" t="s">
        <v>153</v>
      </c>
      <c r="J416" s="47" t="e">
        <f t="shared" ca="1" si="12"/>
        <v>#N/A</v>
      </c>
      <c r="S416" s="102"/>
      <c r="T416" s="102"/>
      <c r="U416" s="102"/>
    </row>
    <row r="417" spans="1:21" ht="14.25" customHeight="1" x14ac:dyDescent="0.3">
      <c r="A417" s="86"/>
      <c r="B417" s="94" t="e">
        <f t="shared" ca="1" si="9"/>
        <v>#N/A</v>
      </c>
      <c r="C417" s="86"/>
      <c r="D417" s="90" t="e">
        <f t="shared" ca="1" si="10"/>
        <v>#N/A</v>
      </c>
      <c r="E417" s="90" t="s">
        <v>153</v>
      </c>
      <c r="F417" s="90"/>
      <c r="G417" s="90"/>
      <c r="H417" s="90" t="e">
        <f t="shared" ca="1" si="11"/>
        <v>#N/A</v>
      </c>
      <c r="I417" s="90" t="s">
        <v>153</v>
      </c>
      <c r="J417" s="47" t="e">
        <f t="shared" ca="1" si="12"/>
        <v>#N/A</v>
      </c>
      <c r="S417" s="102"/>
      <c r="T417" s="102"/>
      <c r="U417" s="102"/>
    </row>
    <row r="418" spans="1:21" ht="14.25" customHeight="1" x14ac:dyDescent="0.3">
      <c r="A418" s="86"/>
      <c r="B418" s="94" t="e">
        <f t="shared" ca="1" si="9"/>
        <v>#N/A</v>
      </c>
      <c r="C418" s="86"/>
      <c r="D418" s="90" t="e">
        <f t="shared" ca="1" si="10"/>
        <v>#N/A</v>
      </c>
      <c r="E418" s="90" t="s">
        <v>153</v>
      </c>
      <c r="F418" s="90"/>
      <c r="G418" s="90"/>
      <c r="H418" s="90" t="e">
        <f t="shared" ca="1" si="11"/>
        <v>#N/A</v>
      </c>
      <c r="I418" s="90" t="s">
        <v>153</v>
      </c>
      <c r="J418" s="47" t="e">
        <f t="shared" ca="1" si="12"/>
        <v>#N/A</v>
      </c>
      <c r="S418" s="102"/>
      <c r="T418" s="102"/>
      <c r="U418" s="102"/>
    </row>
    <row r="419" spans="1:21" ht="14.25" customHeight="1" x14ac:dyDescent="0.3">
      <c r="A419" s="86"/>
      <c r="B419" s="94" t="e">
        <f t="shared" ca="1" si="9"/>
        <v>#N/A</v>
      </c>
      <c r="C419" s="86"/>
      <c r="D419" s="90" t="e">
        <f t="shared" ca="1" si="10"/>
        <v>#N/A</v>
      </c>
      <c r="E419" s="90" t="s">
        <v>153</v>
      </c>
      <c r="F419" s="90"/>
      <c r="G419" s="90"/>
      <c r="H419" s="90" t="e">
        <f t="shared" ca="1" si="11"/>
        <v>#N/A</v>
      </c>
      <c r="I419" s="90" t="s">
        <v>153</v>
      </c>
      <c r="J419" s="47" t="e">
        <f t="shared" ca="1" si="12"/>
        <v>#N/A</v>
      </c>
      <c r="S419" s="102"/>
      <c r="T419" s="102"/>
      <c r="U419" s="102"/>
    </row>
    <row r="420" spans="1:21" ht="14.25" customHeight="1" x14ac:dyDescent="0.3">
      <c r="A420" s="86"/>
      <c r="B420" s="94" t="e">
        <f t="shared" ca="1" si="9"/>
        <v>#N/A</v>
      </c>
      <c r="C420" s="86"/>
      <c r="D420" s="90" t="e">
        <f t="shared" ca="1" si="10"/>
        <v>#N/A</v>
      </c>
      <c r="E420" s="90" t="s">
        <v>153</v>
      </c>
      <c r="F420" s="90"/>
      <c r="G420" s="90"/>
      <c r="H420" s="90" t="e">
        <f t="shared" ca="1" si="11"/>
        <v>#N/A</v>
      </c>
      <c r="I420" s="90" t="s">
        <v>153</v>
      </c>
      <c r="J420" s="47" t="e">
        <f t="shared" ca="1" si="12"/>
        <v>#N/A</v>
      </c>
      <c r="S420" s="102"/>
      <c r="T420" s="102"/>
      <c r="U420" s="102"/>
    </row>
    <row r="421" spans="1:21" ht="14.25" customHeight="1" x14ac:dyDescent="0.3">
      <c r="A421" s="86"/>
      <c r="B421" s="94" t="e">
        <f t="shared" ca="1" si="9"/>
        <v>#N/A</v>
      </c>
      <c r="C421" s="86"/>
      <c r="D421" s="90" t="e">
        <f t="shared" ca="1" si="10"/>
        <v>#N/A</v>
      </c>
      <c r="E421" s="90" t="s">
        <v>153</v>
      </c>
      <c r="F421" s="90"/>
      <c r="G421" s="90"/>
      <c r="H421" s="90" t="e">
        <f t="shared" ca="1" si="11"/>
        <v>#N/A</v>
      </c>
      <c r="I421" s="90" t="s">
        <v>153</v>
      </c>
      <c r="J421" s="47" t="e">
        <f t="shared" ca="1" si="12"/>
        <v>#N/A</v>
      </c>
      <c r="S421" s="102"/>
      <c r="T421" s="102"/>
      <c r="U421" s="102"/>
    </row>
    <row r="422" spans="1:21" ht="14.25" customHeight="1" x14ac:dyDescent="0.3">
      <c r="A422" s="86"/>
      <c r="B422" s="94" t="e">
        <f t="shared" ca="1" si="9"/>
        <v>#N/A</v>
      </c>
      <c r="C422" s="86"/>
      <c r="D422" s="90" t="e">
        <f t="shared" ca="1" si="10"/>
        <v>#N/A</v>
      </c>
      <c r="E422" s="90" t="s">
        <v>153</v>
      </c>
      <c r="F422" s="90"/>
      <c r="G422" s="90"/>
      <c r="H422" s="90" t="e">
        <f t="shared" ca="1" si="11"/>
        <v>#N/A</v>
      </c>
      <c r="I422" s="90" t="s">
        <v>153</v>
      </c>
      <c r="J422" s="47" t="e">
        <f t="shared" ca="1" si="12"/>
        <v>#N/A</v>
      </c>
      <c r="S422" s="102"/>
      <c r="T422" s="102"/>
      <c r="U422" s="102"/>
    </row>
    <row r="423" spans="1:21" ht="14.25" customHeight="1" x14ac:dyDescent="0.3">
      <c r="A423" s="86"/>
      <c r="B423" s="94" t="e">
        <f t="shared" ca="1" si="9"/>
        <v>#N/A</v>
      </c>
      <c r="C423" s="86"/>
      <c r="D423" s="90" t="e">
        <f t="shared" ca="1" si="10"/>
        <v>#N/A</v>
      </c>
      <c r="E423" s="90" t="s">
        <v>153</v>
      </c>
      <c r="F423" s="90"/>
      <c r="G423" s="90"/>
      <c r="H423" s="90" t="e">
        <f t="shared" ca="1" si="11"/>
        <v>#N/A</v>
      </c>
      <c r="I423" s="90" t="s">
        <v>153</v>
      </c>
      <c r="J423" s="47" t="e">
        <f t="shared" ca="1" si="12"/>
        <v>#N/A</v>
      </c>
      <c r="S423" s="102"/>
      <c r="T423" s="102"/>
      <c r="U423" s="102"/>
    </row>
    <row r="424" spans="1:21" ht="14.25" customHeight="1" x14ac:dyDescent="0.3">
      <c r="A424" s="86"/>
      <c r="B424" s="94" t="e">
        <f t="shared" ca="1" si="9"/>
        <v>#N/A</v>
      </c>
      <c r="C424" s="86"/>
      <c r="D424" s="90" t="e">
        <f t="shared" ca="1" si="10"/>
        <v>#N/A</v>
      </c>
      <c r="E424" s="90" t="s">
        <v>153</v>
      </c>
      <c r="F424" s="90"/>
      <c r="G424" s="90"/>
      <c r="H424" s="90" t="e">
        <f t="shared" ca="1" si="11"/>
        <v>#N/A</v>
      </c>
      <c r="I424" s="90" t="s">
        <v>153</v>
      </c>
      <c r="J424" s="47" t="e">
        <f t="shared" ca="1" si="12"/>
        <v>#N/A</v>
      </c>
      <c r="S424" s="102"/>
      <c r="T424" s="102"/>
      <c r="U424" s="102"/>
    </row>
    <row r="425" spans="1:21" ht="14.25" customHeight="1" x14ac:dyDescent="0.3">
      <c r="A425" s="86"/>
      <c r="B425" s="94" t="e">
        <f t="shared" ca="1" si="9"/>
        <v>#N/A</v>
      </c>
      <c r="C425" s="86"/>
      <c r="D425" s="90" t="e">
        <f t="shared" ca="1" si="10"/>
        <v>#N/A</v>
      </c>
      <c r="E425" s="90" t="s">
        <v>153</v>
      </c>
      <c r="F425" s="90"/>
      <c r="G425" s="90"/>
      <c r="H425" s="90" t="e">
        <f t="shared" ca="1" si="11"/>
        <v>#N/A</v>
      </c>
      <c r="I425" s="90" t="s">
        <v>153</v>
      </c>
      <c r="J425" s="47" t="e">
        <f t="shared" ca="1" si="12"/>
        <v>#N/A</v>
      </c>
      <c r="S425" s="102"/>
      <c r="T425" s="102"/>
      <c r="U425" s="102"/>
    </row>
    <row r="426" spans="1:21" ht="14.25" customHeight="1" x14ac:dyDescent="0.3">
      <c r="A426" s="86"/>
      <c r="B426" s="94" t="e">
        <f t="shared" ca="1" si="9"/>
        <v>#N/A</v>
      </c>
      <c r="C426" s="86"/>
      <c r="D426" s="90" t="e">
        <f t="shared" ca="1" si="10"/>
        <v>#N/A</v>
      </c>
      <c r="E426" s="90" t="s">
        <v>153</v>
      </c>
      <c r="F426" s="90"/>
      <c r="G426" s="90"/>
      <c r="H426" s="90" t="e">
        <f t="shared" ca="1" si="11"/>
        <v>#N/A</v>
      </c>
      <c r="I426" s="90" t="s">
        <v>153</v>
      </c>
      <c r="J426" s="47" t="e">
        <f t="shared" ca="1" si="12"/>
        <v>#N/A</v>
      </c>
      <c r="S426" s="102"/>
      <c r="T426" s="102"/>
      <c r="U426" s="102"/>
    </row>
    <row r="427" spans="1:21" ht="14.25" customHeight="1" x14ac:dyDescent="0.3">
      <c r="A427" s="86"/>
      <c r="B427" s="94" t="e">
        <f t="shared" ca="1" si="9"/>
        <v>#N/A</v>
      </c>
      <c r="C427" s="86"/>
      <c r="D427" s="90" t="e">
        <f t="shared" ca="1" si="10"/>
        <v>#N/A</v>
      </c>
      <c r="E427" s="90" t="s">
        <v>153</v>
      </c>
      <c r="F427" s="90"/>
      <c r="G427" s="90"/>
      <c r="H427" s="90" t="e">
        <f t="shared" ca="1" si="11"/>
        <v>#N/A</v>
      </c>
      <c r="I427" s="90" t="s">
        <v>153</v>
      </c>
      <c r="J427" s="47" t="e">
        <f t="shared" ca="1" si="12"/>
        <v>#N/A</v>
      </c>
      <c r="S427" s="102"/>
      <c r="T427" s="102"/>
      <c r="U427" s="102"/>
    </row>
    <row r="428" spans="1:21" ht="14.25" customHeight="1" x14ac:dyDescent="0.3">
      <c r="A428" s="86"/>
      <c r="B428" s="94" t="e">
        <f t="shared" ca="1" si="9"/>
        <v>#N/A</v>
      </c>
      <c r="C428" s="86"/>
      <c r="D428" s="90" t="e">
        <f t="shared" ca="1" si="10"/>
        <v>#N/A</v>
      </c>
      <c r="E428" s="90" t="s">
        <v>153</v>
      </c>
      <c r="F428" s="90"/>
      <c r="G428" s="90"/>
      <c r="H428" s="90" t="e">
        <f t="shared" ca="1" si="11"/>
        <v>#N/A</v>
      </c>
      <c r="I428" s="90" t="s">
        <v>153</v>
      </c>
      <c r="J428" s="47" t="e">
        <f t="shared" ca="1" si="12"/>
        <v>#N/A</v>
      </c>
      <c r="S428" s="102"/>
      <c r="T428" s="102"/>
      <c r="U428" s="102"/>
    </row>
    <row r="429" spans="1:21" ht="14.25" customHeight="1" x14ac:dyDescent="0.3">
      <c r="A429" s="86"/>
      <c r="B429" s="94" t="e">
        <f t="shared" ca="1" si="9"/>
        <v>#N/A</v>
      </c>
      <c r="C429" s="86"/>
      <c r="D429" s="90" t="e">
        <f t="shared" ca="1" si="10"/>
        <v>#N/A</v>
      </c>
      <c r="E429" s="90" t="s">
        <v>153</v>
      </c>
      <c r="F429" s="90"/>
      <c r="G429" s="90"/>
      <c r="H429" s="90" t="e">
        <f t="shared" ca="1" si="11"/>
        <v>#N/A</v>
      </c>
      <c r="I429" s="90" t="s">
        <v>153</v>
      </c>
      <c r="J429" s="47" t="e">
        <f t="shared" ca="1" si="12"/>
        <v>#N/A</v>
      </c>
      <c r="S429" s="102"/>
      <c r="T429" s="102"/>
      <c r="U429" s="102"/>
    </row>
    <row r="430" spans="1:21" ht="14.25" customHeight="1" x14ac:dyDescent="0.3">
      <c r="A430" s="86"/>
      <c r="B430" s="94" t="e">
        <f t="shared" ca="1" si="9"/>
        <v>#N/A</v>
      </c>
      <c r="C430" s="86"/>
      <c r="D430" s="90" t="e">
        <f t="shared" ca="1" si="10"/>
        <v>#N/A</v>
      </c>
      <c r="E430" s="90" t="s">
        <v>153</v>
      </c>
      <c r="F430" s="90"/>
      <c r="G430" s="90"/>
      <c r="H430" s="90" t="e">
        <f t="shared" ca="1" si="11"/>
        <v>#N/A</v>
      </c>
      <c r="I430" s="90" t="s">
        <v>153</v>
      </c>
      <c r="J430" s="47" t="e">
        <f t="shared" ca="1" si="12"/>
        <v>#N/A</v>
      </c>
      <c r="S430" s="102"/>
      <c r="T430" s="102"/>
      <c r="U430" s="102"/>
    </row>
    <row r="431" spans="1:21" ht="14.25" customHeight="1" x14ac:dyDescent="0.3">
      <c r="A431" s="86"/>
      <c r="B431" s="94" t="e">
        <f t="shared" ca="1" si="9"/>
        <v>#N/A</v>
      </c>
      <c r="C431" s="86"/>
      <c r="D431" s="90" t="e">
        <f t="shared" ca="1" si="10"/>
        <v>#N/A</v>
      </c>
      <c r="E431" s="90" t="s">
        <v>153</v>
      </c>
      <c r="F431" s="90"/>
      <c r="G431" s="90"/>
      <c r="H431" s="90" t="e">
        <f t="shared" ca="1" si="11"/>
        <v>#N/A</v>
      </c>
      <c r="I431" s="90" t="s">
        <v>153</v>
      </c>
      <c r="J431" s="47" t="e">
        <f t="shared" ca="1" si="12"/>
        <v>#N/A</v>
      </c>
      <c r="S431" s="102"/>
      <c r="T431" s="102"/>
      <c r="U431" s="102"/>
    </row>
    <row r="432" spans="1:21" ht="14.25" customHeight="1" x14ac:dyDescent="0.3">
      <c r="A432" s="86"/>
      <c r="B432" s="94" t="e">
        <f t="shared" ca="1" si="9"/>
        <v>#N/A</v>
      </c>
      <c r="C432" s="86"/>
      <c r="D432" s="90" t="e">
        <f t="shared" ca="1" si="10"/>
        <v>#N/A</v>
      </c>
      <c r="E432" s="90" t="s">
        <v>153</v>
      </c>
      <c r="F432" s="90"/>
      <c r="G432" s="90"/>
      <c r="H432" s="90" t="e">
        <f t="shared" ca="1" si="11"/>
        <v>#N/A</v>
      </c>
      <c r="I432" s="90" t="s">
        <v>153</v>
      </c>
      <c r="J432" s="47" t="e">
        <f t="shared" ca="1" si="12"/>
        <v>#N/A</v>
      </c>
      <c r="S432" s="102"/>
      <c r="T432" s="102"/>
      <c r="U432" s="102"/>
    </row>
    <row r="433" spans="1:21" ht="14.25" customHeight="1" x14ac:dyDescent="0.3">
      <c r="A433" s="86"/>
      <c r="B433" s="94" t="e">
        <f t="shared" ca="1" si="9"/>
        <v>#N/A</v>
      </c>
      <c r="C433" s="86"/>
      <c r="D433" s="90" t="e">
        <f t="shared" ca="1" si="10"/>
        <v>#N/A</v>
      </c>
      <c r="E433" s="90" t="s">
        <v>153</v>
      </c>
      <c r="F433" s="90"/>
      <c r="G433" s="90"/>
      <c r="H433" s="90" t="e">
        <f t="shared" ca="1" si="11"/>
        <v>#N/A</v>
      </c>
      <c r="I433" s="90" t="s">
        <v>153</v>
      </c>
      <c r="J433" s="47" t="e">
        <f t="shared" ca="1" si="12"/>
        <v>#N/A</v>
      </c>
      <c r="S433" s="102"/>
      <c r="T433" s="102"/>
      <c r="U433" s="102"/>
    </row>
    <row r="434" spans="1:21" ht="14.25" customHeight="1" x14ac:dyDescent="0.3">
      <c r="A434" s="86"/>
      <c r="B434" s="94" t="e">
        <f t="shared" ca="1" si="9"/>
        <v>#N/A</v>
      </c>
      <c r="C434" s="86"/>
      <c r="D434" s="90" t="e">
        <f t="shared" ca="1" si="10"/>
        <v>#N/A</v>
      </c>
      <c r="E434" s="90" t="s">
        <v>153</v>
      </c>
      <c r="F434" s="90"/>
      <c r="G434" s="90"/>
      <c r="H434" s="90" t="e">
        <f t="shared" ca="1" si="11"/>
        <v>#N/A</v>
      </c>
      <c r="I434" s="90" t="s">
        <v>153</v>
      </c>
      <c r="J434" s="47" t="e">
        <f t="shared" ca="1" si="12"/>
        <v>#N/A</v>
      </c>
      <c r="S434" s="102"/>
      <c r="T434" s="102"/>
      <c r="U434" s="102"/>
    </row>
    <row r="435" spans="1:21" ht="14.25" customHeight="1" x14ac:dyDescent="0.3">
      <c r="A435" s="86"/>
      <c r="B435" s="94" t="e">
        <f t="shared" ca="1" si="9"/>
        <v>#N/A</v>
      </c>
      <c r="C435" s="86"/>
      <c r="D435" s="90" t="e">
        <f t="shared" ca="1" si="10"/>
        <v>#N/A</v>
      </c>
      <c r="E435" s="90" t="s">
        <v>153</v>
      </c>
      <c r="F435" s="90"/>
      <c r="G435" s="90"/>
      <c r="H435" s="90" t="e">
        <f t="shared" ca="1" si="11"/>
        <v>#N/A</v>
      </c>
      <c r="I435" s="90" t="s">
        <v>153</v>
      </c>
      <c r="J435" s="47" t="e">
        <f t="shared" ca="1" si="12"/>
        <v>#N/A</v>
      </c>
      <c r="S435" s="102"/>
      <c r="T435" s="102"/>
      <c r="U435" s="102"/>
    </row>
    <row r="436" spans="1:21" ht="14.25" customHeight="1" x14ac:dyDescent="0.3">
      <c r="A436" s="86"/>
      <c r="B436" s="94" t="e">
        <f t="shared" ca="1" si="9"/>
        <v>#N/A</v>
      </c>
      <c r="C436" s="86"/>
      <c r="D436" s="90" t="e">
        <f t="shared" ca="1" si="10"/>
        <v>#N/A</v>
      </c>
      <c r="E436" s="90" t="s">
        <v>153</v>
      </c>
      <c r="F436" s="90"/>
      <c r="G436" s="90"/>
      <c r="H436" s="90" t="e">
        <f t="shared" ca="1" si="11"/>
        <v>#N/A</v>
      </c>
      <c r="I436" s="90" t="s">
        <v>153</v>
      </c>
      <c r="J436" s="47" t="e">
        <f t="shared" ca="1" si="12"/>
        <v>#N/A</v>
      </c>
      <c r="S436" s="102"/>
      <c r="T436" s="102"/>
      <c r="U436" s="102"/>
    </row>
    <row r="437" spans="1:21" ht="14.25" customHeight="1" x14ac:dyDescent="0.3">
      <c r="A437" s="86"/>
      <c r="B437" s="94" t="e">
        <f t="shared" ca="1" si="9"/>
        <v>#N/A</v>
      </c>
      <c r="C437" s="86"/>
      <c r="D437" s="90" t="e">
        <f t="shared" ca="1" si="10"/>
        <v>#N/A</v>
      </c>
      <c r="E437" s="90" t="s">
        <v>153</v>
      </c>
      <c r="F437" s="90"/>
      <c r="G437" s="90"/>
      <c r="H437" s="90" t="e">
        <f t="shared" ca="1" si="11"/>
        <v>#N/A</v>
      </c>
      <c r="I437" s="90" t="s">
        <v>153</v>
      </c>
      <c r="J437" s="47" t="e">
        <f t="shared" ca="1" si="12"/>
        <v>#N/A</v>
      </c>
      <c r="S437" s="102"/>
      <c r="T437" s="102"/>
      <c r="U437" s="102"/>
    </row>
    <row r="438" spans="1:21" ht="14.25" customHeight="1" x14ac:dyDescent="0.3">
      <c r="A438" s="86"/>
      <c r="B438" s="94" t="e">
        <f t="shared" ca="1" si="9"/>
        <v>#N/A</v>
      </c>
      <c r="C438" s="86"/>
      <c r="D438" s="90" t="e">
        <f t="shared" ca="1" si="10"/>
        <v>#N/A</v>
      </c>
      <c r="E438" s="90" t="s">
        <v>153</v>
      </c>
      <c r="F438" s="90"/>
      <c r="G438" s="90"/>
      <c r="H438" s="90" t="e">
        <f t="shared" ca="1" si="11"/>
        <v>#N/A</v>
      </c>
      <c r="I438" s="90" t="s">
        <v>153</v>
      </c>
      <c r="J438" s="47" t="e">
        <f t="shared" ca="1" si="12"/>
        <v>#N/A</v>
      </c>
      <c r="S438" s="102"/>
      <c r="T438" s="102"/>
      <c r="U438" s="102"/>
    </row>
    <row r="439" spans="1:21" ht="14.25" customHeight="1" x14ac:dyDescent="0.3">
      <c r="A439" s="86"/>
      <c r="B439" s="94" t="e">
        <f t="shared" ca="1" si="9"/>
        <v>#N/A</v>
      </c>
      <c r="C439" s="86"/>
      <c r="D439" s="90" t="e">
        <f t="shared" ca="1" si="10"/>
        <v>#N/A</v>
      </c>
      <c r="E439" s="90" t="s">
        <v>153</v>
      </c>
      <c r="F439" s="90"/>
      <c r="G439" s="90"/>
      <c r="H439" s="90" t="e">
        <f t="shared" ca="1" si="11"/>
        <v>#N/A</v>
      </c>
      <c r="I439" s="90" t="s">
        <v>153</v>
      </c>
      <c r="J439" s="47" t="e">
        <f t="shared" ca="1" si="12"/>
        <v>#N/A</v>
      </c>
      <c r="S439" s="102"/>
      <c r="T439" s="102"/>
      <c r="U439" s="102"/>
    </row>
    <row r="440" spans="1:21" ht="14.25" customHeight="1" x14ac:dyDescent="0.3">
      <c r="A440" s="86"/>
      <c r="B440" s="94" t="e">
        <f t="shared" ca="1" si="9"/>
        <v>#N/A</v>
      </c>
      <c r="C440" s="86"/>
      <c r="D440" s="90" t="e">
        <f t="shared" ca="1" si="10"/>
        <v>#N/A</v>
      </c>
      <c r="E440" s="90" t="s">
        <v>153</v>
      </c>
      <c r="F440" s="90"/>
      <c r="G440" s="90"/>
      <c r="H440" s="90" t="e">
        <f t="shared" ca="1" si="11"/>
        <v>#N/A</v>
      </c>
      <c r="I440" s="90" t="s">
        <v>153</v>
      </c>
      <c r="J440" s="47" t="e">
        <f t="shared" ca="1" si="12"/>
        <v>#N/A</v>
      </c>
      <c r="S440" s="102"/>
      <c r="T440" s="102"/>
      <c r="U440" s="102"/>
    </row>
    <row r="441" spans="1:21" ht="14.25" customHeight="1" x14ac:dyDescent="0.3">
      <c r="A441" s="86"/>
      <c r="B441" s="94" t="e">
        <f t="shared" ca="1" si="9"/>
        <v>#N/A</v>
      </c>
      <c r="C441" s="86"/>
      <c r="D441" s="90" t="e">
        <f t="shared" ca="1" si="10"/>
        <v>#N/A</v>
      </c>
      <c r="E441" s="90" t="s">
        <v>153</v>
      </c>
      <c r="F441" s="90"/>
      <c r="G441" s="90"/>
      <c r="H441" s="90" t="e">
        <f t="shared" ca="1" si="11"/>
        <v>#N/A</v>
      </c>
      <c r="I441" s="90" t="s">
        <v>153</v>
      </c>
      <c r="J441" s="47" t="e">
        <f t="shared" ca="1" si="12"/>
        <v>#N/A</v>
      </c>
      <c r="S441" s="102"/>
      <c r="T441" s="102"/>
      <c r="U441" s="102"/>
    </row>
    <row r="442" spans="1:21" ht="14.25" customHeight="1" x14ac:dyDescent="0.3">
      <c r="A442" s="86"/>
      <c r="B442" s="94" t="e">
        <f t="shared" ca="1" si="9"/>
        <v>#N/A</v>
      </c>
      <c r="C442" s="86"/>
      <c r="D442" s="90" t="e">
        <f t="shared" ca="1" si="10"/>
        <v>#N/A</v>
      </c>
      <c r="E442" s="90" t="s">
        <v>153</v>
      </c>
      <c r="F442" s="90"/>
      <c r="G442" s="90"/>
      <c r="H442" s="90" t="e">
        <f t="shared" ca="1" si="11"/>
        <v>#N/A</v>
      </c>
      <c r="I442" s="90" t="s">
        <v>153</v>
      </c>
      <c r="J442" s="47" t="e">
        <f t="shared" ca="1" si="12"/>
        <v>#N/A</v>
      </c>
      <c r="S442" s="102"/>
      <c r="T442" s="102"/>
      <c r="U442" s="102"/>
    </row>
    <row r="443" spans="1:21" ht="14.25" customHeight="1" x14ac:dyDescent="0.3">
      <c r="A443" s="86"/>
      <c r="B443" s="94" t="e">
        <f t="shared" ca="1" si="9"/>
        <v>#N/A</v>
      </c>
      <c r="C443" s="86"/>
      <c r="D443" s="90" t="e">
        <f t="shared" ca="1" si="10"/>
        <v>#N/A</v>
      </c>
      <c r="E443" s="90" t="s">
        <v>153</v>
      </c>
      <c r="F443" s="90"/>
      <c r="G443" s="90"/>
      <c r="H443" s="90" t="e">
        <f t="shared" ca="1" si="11"/>
        <v>#N/A</v>
      </c>
      <c r="I443" s="90" t="s">
        <v>153</v>
      </c>
      <c r="J443" s="47" t="e">
        <f t="shared" ca="1" si="12"/>
        <v>#N/A</v>
      </c>
      <c r="S443" s="102"/>
      <c r="T443" s="102"/>
      <c r="U443" s="102"/>
    </row>
    <row r="444" spans="1:21" ht="14.25" customHeight="1" x14ac:dyDescent="0.3">
      <c r="A444" s="86"/>
      <c r="B444" s="94" t="e">
        <f t="shared" ca="1" si="9"/>
        <v>#N/A</v>
      </c>
      <c r="C444" s="86"/>
      <c r="D444" s="90" t="e">
        <f t="shared" ca="1" si="10"/>
        <v>#N/A</v>
      </c>
      <c r="E444" s="90" t="s">
        <v>153</v>
      </c>
      <c r="F444" s="90"/>
      <c r="G444" s="90"/>
      <c r="H444" s="90" t="e">
        <f t="shared" ca="1" si="11"/>
        <v>#N/A</v>
      </c>
      <c r="I444" s="90" t="s">
        <v>153</v>
      </c>
      <c r="J444" s="47" t="e">
        <f t="shared" ca="1" si="12"/>
        <v>#N/A</v>
      </c>
      <c r="S444" s="102"/>
      <c r="T444" s="102"/>
      <c r="U444" s="102"/>
    </row>
    <row r="445" spans="1:21" ht="14.25" customHeight="1" x14ac:dyDescent="0.3">
      <c r="A445" s="86"/>
      <c r="B445" s="94" t="e">
        <f t="shared" ca="1" si="9"/>
        <v>#N/A</v>
      </c>
      <c r="C445" s="86"/>
      <c r="D445" s="90" t="e">
        <f t="shared" ca="1" si="10"/>
        <v>#N/A</v>
      </c>
      <c r="E445" s="90" t="s">
        <v>153</v>
      </c>
      <c r="F445" s="90"/>
      <c r="G445" s="90"/>
      <c r="H445" s="90" t="e">
        <f t="shared" ca="1" si="11"/>
        <v>#N/A</v>
      </c>
      <c r="I445" s="90" t="s">
        <v>153</v>
      </c>
      <c r="J445" s="47" t="e">
        <f t="shared" ca="1" si="12"/>
        <v>#N/A</v>
      </c>
      <c r="S445" s="102"/>
      <c r="T445" s="102"/>
      <c r="U445" s="102"/>
    </row>
    <row r="446" spans="1:21" ht="14.25" customHeight="1" x14ac:dyDescent="0.3">
      <c r="A446" s="86"/>
      <c r="B446" s="94" t="e">
        <f t="shared" ca="1" si="9"/>
        <v>#N/A</v>
      </c>
      <c r="C446" s="86"/>
      <c r="D446" s="90" t="e">
        <f t="shared" ca="1" si="10"/>
        <v>#N/A</v>
      </c>
      <c r="E446" s="90" t="s">
        <v>153</v>
      </c>
      <c r="F446" s="90"/>
      <c r="G446" s="90"/>
      <c r="H446" s="90" t="e">
        <f t="shared" ca="1" si="11"/>
        <v>#N/A</v>
      </c>
      <c r="I446" s="90" t="s">
        <v>153</v>
      </c>
      <c r="J446" s="47" t="e">
        <f t="shared" ca="1" si="12"/>
        <v>#N/A</v>
      </c>
      <c r="S446" s="102"/>
      <c r="T446" s="102"/>
      <c r="U446" s="102"/>
    </row>
    <row r="447" spans="1:21" ht="14.25" customHeight="1" x14ac:dyDescent="0.3">
      <c r="A447" s="86"/>
      <c r="B447" s="94" t="e">
        <f t="shared" ca="1" si="9"/>
        <v>#N/A</v>
      </c>
      <c r="C447" s="86"/>
      <c r="D447" s="90" t="e">
        <f t="shared" ca="1" si="10"/>
        <v>#N/A</v>
      </c>
      <c r="E447" s="90" t="s">
        <v>153</v>
      </c>
      <c r="F447" s="90"/>
      <c r="G447" s="90"/>
      <c r="H447" s="90" t="e">
        <f t="shared" ca="1" si="11"/>
        <v>#N/A</v>
      </c>
      <c r="I447" s="90" t="s">
        <v>153</v>
      </c>
      <c r="J447" s="47" t="e">
        <f t="shared" ca="1" si="12"/>
        <v>#N/A</v>
      </c>
      <c r="S447" s="102"/>
      <c r="T447" s="102"/>
      <c r="U447" s="102"/>
    </row>
    <row r="448" spans="1:21" ht="14.25" customHeight="1" x14ac:dyDescent="0.3">
      <c r="A448" s="86"/>
      <c r="B448" s="94" t="e">
        <f t="shared" ca="1" si="9"/>
        <v>#N/A</v>
      </c>
      <c r="C448" s="86"/>
      <c r="D448" s="90" t="e">
        <f t="shared" ca="1" si="10"/>
        <v>#N/A</v>
      </c>
      <c r="E448" s="90" t="s">
        <v>153</v>
      </c>
      <c r="F448" s="90"/>
      <c r="G448" s="90"/>
      <c r="H448" s="90" t="e">
        <f t="shared" ca="1" si="11"/>
        <v>#N/A</v>
      </c>
      <c r="I448" s="90" t="s">
        <v>153</v>
      </c>
      <c r="J448" s="47" t="e">
        <f t="shared" ca="1" si="12"/>
        <v>#N/A</v>
      </c>
      <c r="S448" s="102"/>
      <c r="T448" s="102"/>
      <c r="U448" s="102"/>
    </row>
    <row r="449" spans="1:21" ht="14.25" customHeight="1" x14ac:dyDescent="0.3">
      <c r="A449" s="86"/>
      <c r="B449" s="94" t="e">
        <f t="shared" ca="1" si="9"/>
        <v>#N/A</v>
      </c>
      <c r="C449" s="86"/>
      <c r="D449" s="90" t="e">
        <f t="shared" ca="1" si="10"/>
        <v>#N/A</v>
      </c>
      <c r="E449" s="90" t="s">
        <v>153</v>
      </c>
      <c r="F449" s="90"/>
      <c r="G449" s="90"/>
      <c r="H449" s="90" t="e">
        <f t="shared" ca="1" si="11"/>
        <v>#N/A</v>
      </c>
      <c r="I449" s="90" t="s">
        <v>153</v>
      </c>
      <c r="J449" s="47" t="e">
        <f t="shared" ca="1" si="12"/>
        <v>#N/A</v>
      </c>
      <c r="S449" s="102"/>
      <c r="T449" s="102"/>
      <c r="U449" s="102"/>
    </row>
    <row r="450" spans="1:21" ht="14.25" customHeight="1" x14ac:dyDescent="0.3">
      <c r="A450" s="86"/>
      <c r="B450" s="94" t="e">
        <f t="shared" ca="1" si="9"/>
        <v>#N/A</v>
      </c>
      <c r="C450" s="86"/>
      <c r="D450" s="90" t="e">
        <f t="shared" ca="1" si="10"/>
        <v>#N/A</v>
      </c>
      <c r="E450" s="90" t="s">
        <v>153</v>
      </c>
      <c r="F450" s="90"/>
      <c r="G450" s="90"/>
      <c r="H450" s="90" t="e">
        <f t="shared" ca="1" si="11"/>
        <v>#N/A</v>
      </c>
      <c r="I450" s="90" t="s">
        <v>153</v>
      </c>
      <c r="J450" s="47" t="e">
        <f t="shared" ca="1" si="12"/>
        <v>#N/A</v>
      </c>
      <c r="S450" s="102"/>
      <c r="T450" s="102"/>
      <c r="U450" s="102"/>
    </row>
    <row r="451" spans="1:21" ht="14.25" customHeight="1" x14ac:dyDescent="0.3">
      <c r="A451" s="86"/>
      <c r="B451" s="94" t="e">
        <f t="shared" ca="1" si="9"/>
        <v>#N/A</v>
      </c>
      <c r="C451" s="86"/>
      <c r="D451" s="90" t="e">
        <f t="shared" ca="1" si="10"/>
        <v>#N/A</v>
      </c>
      <c r="E451" s="90" t="s">
        <v>153</v>
      </c>
      <c r="F451" s="90"/>
      <c r="G451" s="90"/>
      <c r="H451" s="90" t="e">
        <f t="shared" ca="1" si="11"/>
        <v>#N/A</v>
      </c>
      <c r="I451" s="90" t="s">
        <v>153</v>
      </c>
      <c r="J451" s="47" t="e">
        <f t="shared" ca="1" si="12"/>
        <v>#N/A</v>
      </c>
      <c r="S451" s="102"/>
      <c r="T451" s="102"/>
      <c r="U451" s="102"/>
    </row>
    <row r="452" spans="1:21" ht="14.25" customHeight="1" x14ac:dyDescent="0.3">
      <c r="A452" s="1"/>
      <c r="S452" s="102"/>
      <c r="T452" s="102"/>
      <c r="U452" s="102"/>
    </row>
    <row r="453" spans="1:21" ht="14.25" customHeight="1" x14ac:dyDescent="0.3">
      <c r="A453" s="1"/>
      <c r="S453" s="102"/>
      <c r="T453" s="102"/>
      <c r="U453" s="102"/>
    </row>
    <row r="454" spans="1:21" ht="14.25" customHeight="1" x14ac:dyDescent="0.3">
      <c r="A454" s="1"/>
      <c r="S454" s="102"/>
      <c r="T454" s="102"/>
      <c r="U454" s="102"/>
    </row>
    <row r="455" spans="1:21" ht="14.25" customHeight="1" x14ac:dyDescent="0.3">
      <c r="A455" s="1"/>
      <c r="S455" s="102"/>
      <c r="T455" s="102"/>
      <c r="U455" s="102"/>
    </row>
    <row r="456" spans="1:21" ht="14.25" customHeight="1" x14ac:dyDescent="0.3">
      <c r="A456" s="1"/>
      <c r="S456" s="102"/>
      <c r="T456" s="102"/>
      <c r="U456" s="102"/>
    </row>
    <row r="457" spans="1:21" ht="14.25" customHeight="1" x14ac:dyDescent="0.3">
      <c r="A457" s="1"/>
      <c r="S457" s="102"/>
      <c r="T457" s="102"/>
      <c r="U457" s="102"/>
    </row>
    <row r="458" spans="1:21" ht="14.25" customHeight="1" x14ac:dyDescent="0.3">
      <c r="A458" s="1"/>
      <c r="S458" s="102"/>
      <c r="T458" s="102"/>
      <c r="U458" s="102"/>
    </row>
    <row r="459" spans="1:21" ht="14.25" customHeight="1" x14ac:dyDescent="0.3">
      <c r="A459" s="1"/>
      <c r="S459" s="102"/>
      <c r="T459" s="102"/>
      <c r="U459" s="102"/>
    </row>
    <row r="460" spans="1:21" ht="14.25" customHeight="1" x14ac:dyDescent="0.3">
      <c r="A460" s="1"/>
      <c r="S460" s="102"/>
      <c r="T460" s="102"/>
      <c r="U460" s="102"/>
    </row>
    <row r="461" spans="1:21" ht="14.25" customHeight="1" x14ac:dyDescent="0.3">
      <c r="A461" s="1"/>
      <c r="S461" s="102"/>
      <c r="T461" s="102"/>
      <c r="U461" s="102"/>
    </row>
    <row r="462" spans="1:21" ht="14.25" customHeight="1" x14ac:dyDescent="0.3">
      <c r="A462" s="1"/>
      <c r="S462" s="102"/>
      <c r="T462" s="102"/>
      <c r="U462" s="102"/>
    </row>
    <row r="463" spans="1:21" ht="14.25" customHeight="1" x14ac:dyDescent="0.3">
      <c r="A463" s="1"/>
      <c r="S463" s="102"/>
      <c r="T463" s="102"/>
      <c r="U463" s="102"/>
    </row>
    <row r="464" spans="1:21" ht="14.25" customHeight="1" x14ac:dyDescent="0.3">
      <c r="A464" s="1"/>
      <c r="S464" s="102"/>
      <c r="T464" s="102"/>
      <c r="U464" s="102"/>
    </row>
    <row r="465" spans="1:21" ht="14.25" customHeight="1" x14ac:dyDescent="0.3">
      <c r="A465" s="1"/>
      <c r="S465" s="102"/>
      <c r="T465" s="102"/>
      <c r="U465" s="102"/>
    </row>
    <row r="466" spans="1:21" ht="14.25" customHeight="1" x14ac:dyDescent="0.3">
      <c r="A466" s="1"/>
      <c r="S466" s="102"/>
      <c r="T466" s="102"/>
      <c r="U466" s="102"/>
    </row>
    <row r="467" spans="1:21" ht="14.25" customHeight="1" x14ac:dyDescent="0.3">
      <c r="A467" s="1"/>
      <c r="S467" s="102"/>
      <c r="T467" s="102"/>
      <c r="U467" s="102"/>
    </row>
    <row r="468" spans="1:21" ht="14.25" customHeight="1" x14ac:dyDescent="0.3">
      <c r="A468" s="1"/>
      <c r="S468" s="102"/>
      <c r="T468" s="102"/>
      <c r="U468" s="102"/>
    </row>
    <row r="469" spans="1:21" ht="14.25" customHeight="1" x14ac:dyDescent="0.3">
      <c r="A469" s="1"/>
      <c r="S469" s="102"/>
      <c r="T469" s="102"/>
      <c r="U469" s="102"/>
    </row>
    <row r="470" spans="1:21" ht="14.25" customHeight="1" x14ac:dyDescent="0.3">
      <c r="A470" s="1"/>
      <c r="S470" s="102"/>
      <c r="T470" s="102"/>
      <c r="U470" s="102"/>
    </row>
    <row r="471" spans="1:21" ht="14.25" customHeight="1" x14ac:dyDescent="0.3">
      <c r="A471" s="1"/>
      <c r="S471" s="102"/>
      <c r="T471" s="102"/>
      <c r="U471" s="102"/>
    </row>
    <row r="472" spans="1:21" ht="14.25" customHeight="1" x14ac:dyDescent="0.3">
      <c r="A472" s="1"/>
      <c r="S472" s="102"/>
      <c r="T472" s="102"/>
      <c r="U472" s="102"/>
    </row>
    <row r="473" spans="1:21" ht="14.25" customHeight="1" x14ac:dyDescent="0.3">
      <c r="A473" s="1"/>
      <c r="S473" s="102"/>
      <c r="T473" s="102"/>
      <c r="U473" s="102"/>
    </row>
    <row r="474" spans="1:21" ht="14.25" customHeight="1" x14ac:dyDescent="0.3">
      <c r="A474" s="1"/>
      <c r="S474" s="102"/>
      <c r="T474" s="102"/>
      <c r="U474" s="102"/>
    </row>
    <row r="475" spans="1:21" ht="14.25" customHeight="1" x14ac:dyDescent="0.3">
      <c r="A475" s="1"/>
      <c r="S475" s="102"/>
      <c r="T475" s="102"/>
      <c r="U475" s="102"/>
    </row>
    <row r="476" spans="1:21" ht="14.25" customHeight="1" x14ac:dyDescent="0.3">
      <c r="A476" s="1"/>
      <c r="S476" s="102"/>
      <c r="T476" s="102"/>
      <c r="U476" s="102"/>
    </row>
    <row r="477" spans="1:21" ht="14.25" customHeight="1" x14ac:dyDescent="0.3">
      <c r="A477" s="1"/>
      <c r="S477" s="102"/>
      <c r="T477" s="102"/>
      <c r="U477" s="102"/>
    </row>
    <row r="478" spans="1:21" ht="14.25" customHeight="1" x14ac:dyDescent="0.3">
      <c r="A478" s="1"/>
      <c r="S478" s="102"/>
      <c r="T478" s="102"/>
      <c r="U478" s="102"/>
    </row>
    <row r="479" spans="1:21" ht="14.25" customHeight="1" x14ac:dyDescent="0.3">
      <c r="A479" s="1"/>
      <c r="S479" s="102"/>
      <c r="T479" s="102"/>
      <c r="U479" s="102"/>
    </row>
    <row r="480" spans="1:21" ht="14.25" customHeight="1" x14ac:dyDescent="0.3">
      <c r="A480" s="1"/>
      <c r="S480" s="102"/>
      <c r="T480" s="102"/>
      <c r="U480" s="102"/>
    </row>
    <row r="481" spans="1:21" ht="14.25" customHeight="1" x14ac:dyDescent="0.3">
      <c r="A481" s="1"/>
      <c r="S481" s="102"/>
      <c r="T481" s="102"/>
      <c r="U481" s="102"/>
    </row>
    <row r="482" spans="1:21" ht="14.25" customHeight="1" x14ac:dyDescent="0.3">
      <c r="A482" s="1"/>
      <c r="S482" s="102"/>
      <c r="T482" s="102"/>
      <c r="U482" s="102"/>
    </row>
    <row r="483" spans="1:21" ht="14.25" customHeight="1" x14ac:dyDescent="0.3">
      <c r="A483" s="1"/>
      <c r="S483" s="102"/>
      <c r="T483" s="102"/>
      <c r="U483" s="102"/>
    </row>
    <row r="484" spans="1:21" ht="14.25" customHeight="1" x14ac:dyDescent="0.3">
      <c r="A484" s="1"/>
      <c r="S484" s="102"/>
      <c r="T484" s="102"/>
      <c r="U484" s="102"/>
    </row>
    <row r="485" spans="1:21" ht="14.25" customHeight="1" x14ac:dyDescent="0.3">
      <c r="A485" s="1"/>
      <c r="S485" s="102"/>
      <c r="T485" s="102"/>
      <c r="U485" s="102"/>
    </row>
    <row r="486" spans="1:21" ht="14.25" customHeight="1" x14ac:dyDescent="0.3">
      <c r="A486" s="1"/>
      <c r="S486" s="102"/>
      <c r="T486" s="102"/>
      <c r="U486" s="102"/>
    </row>
    <row r="487" spans="1:21" ht="14.25" customHeight="1" x14ac:dyDescent="0.3">
      <c r="A487" s="1"/>
      <c r="S487" s="102"/>
      <c r="T487" s="102"/>
      <c r="U487" s="102"/>
    </row>
    <row r="488" spans="1:21" ht="14.25" customHeight="1" x14ac:dyDescent="0.3">
      <c r="A488" s="1"/>
      <c r="S488" s="102"/>
      <c r="T488" s="102"/>
      <c r="U488" s="102"/>
    </row>
    <row r="489" spans="1:21" ht="14.25" customHeight="1" x14ac:dyDescent="0.3">
      <c r="A489" s="1"/>
      <c r="S489" s="102"/>
      <c r="T489" s="102"/>
      <c r="U489" s="102"/>
    </row>
    <row r="490" spans="1:21" ht="14.25" customHeight="1" x14ac:dyDescent="0.3">
      <c r="A490" s="1"/>
      <c r="S490" s="102"/>
      <c r="T490" s="102"/>
      <c r="U490" s="102"/>
    </row>
    <row r="491" spans="1:21" ht="14.25" customHeight="1" x14ac:dyDescent="0.3">
      <c r="A491" s="1"/>
      <c r="S491" s="102"/>
      <c r="T491" s="102"/>
      <c r="U491" s="102"/>
    </row>
    <row r="492" spans="1:21" ht="14.25" customHeight="1" x14ac:dyDescent="0.3">
      <c r="A492" s="1"/>
      <c r="S492" s="102"/>
      <c r="T492" s="102"/>
      <c r="U492" s="102"/>
    </row>
    <row r="493" spans="1:21" ht="14.25" customHeight="1" x14ac:dyDescent="0.3">
      <c r="A493" s="1"/>
      <c r="S493" s="102"/>
      <c r="T493" s="102"/>
      <c r="U493" s="102"/>
    </row>
    <row r="494" spans="1:21" ht="14.25" customHeight="1" x14ac:dyDescent="0.3">
      <c r="A494" s="1"/>
      <c r="S494" s="102"/>
      <c r="T494" s="102"/>
      <c r="U494" s="102"/>
    </row>
    <row r="495" spans="1:21" ht="14.25" customHeight="1" x14ac:dyDescent="0.3">
      <c r="A495" s="1"/>
      <c r="S495" s="102"/>
      <c r="T495" s="102"/>
      <c r="U495" s="102"/>
    </row>
    <row r="496" spans="1:21" ht="14.25" customHeight="1" x14ac:dyDescent="0.3">
      <c r="A496" s="1"/>
      <c r="S496" s="102"/>
      <c r="T496" s="102"/>
      <c r="U496" s="102"/>
    </row>
    <row r="497" spans="1:21" ht="14.25" customHeight="1" x14ac:dyDescent="0.3">
      <c r="A497" s="1"/>
      <c r="S497" s="102"/>
      <c r="T497" s="102"/>
      <c r="U497" s="102"/>
    </row>
    <row r="498" spans="1:21" ht="14.25" customHeight="1" x14ac:dyDescent="0.3">
      <c r="A498" s="1"/>
      <c r="S498" s="102"/>
      <c r="T498" s="102"/>
      <c r="U498" s="102"/>
    </row>
    <row r="499" spans="1:21" ht="14.25" customHeight="1" x14ac:dyDescent="0.3">
      <c r="A499" s="1"/>
      <c r="S499" s="102"/>
      <c r="T499" s="102"/>
      <c r="U499" s="102"/>
    </row>
    <row r="500" spans="1:21" ht="14.25" customHeight="1" x14ac:dyDescent="0.3">
      <c r="A500" s="1"/>
      <c r="S500" s="102"/>
      <c r="T500" s="102"/>
      <c r="U500" s="102"/>
    </row>
    <row r="501" spans="1:21" ht="14.25" customHeight="1" x14ac:dyDescent="0.3">
      <c r="A501" s="1"/>
      <c r="S501" s="102"/>
      <c r="T501" s="102"/>
      <c r="U501" s="102"/>
    </row>
    <row r="502" spans="1:21" ht="14.25" customHeight="1" x14ac:dyDescent="0.3">
      <c r="A502" s="1"/>
      <c r="S502" s="102"/>
      <c r="T502" s="102"/>
      <c r="U502" s="102"/>
    </row>
    <row r="503" spans="1:21" ht="14.25" customHeight="1" x14ac:dyDescent="0.3">
      <c r="A503" s="1"/>
      <c r="S503" s="102"/>
      <c r="T503" s="102"/>
      <c r="U503" s="102"/>
    </row>
    <row r="504" spans="1:21" ht="14.25" customHeight="1" x14ac:dyDescent="0.3">
      <c r="A504" s="1"/>
      <c r="S504" s="102"/>
      <c r="T504" s="102"/>
      <c r="U504" s="102"/>
    </row>
    <row r="505" spans="1:21" ht="14.25" customHeight="1" x14ac:dyDescent="0.3">
      <c r="A505" s="1"/>
      <c r="S505" s="102"/>
      <c r="T505" s="102"/>
      <c r="U505" s="102"/>
    </row>
    <row r="506" spans="1:21" ht="14.25" customHeight="1" x14ac:dyDescent="0.3">
      <c r="A506" s="1"/>
      <c r="S506" s="102"/>
      <c r="T506" s="102"/>
      <c r="U506" s="102"/>
    </row>
    <row r="507" spans="1:21" ht="14.25" customHeight="1" x14ac:dyDescent="0.3">
      <c r="A507" s="1"/>
      <c r="S507" s="102"/>
      <c r="T507" s="102"/>
      <c r="U507" s="102"/>
    </row>
    <row r="508" spans="1:21" ht="14.25" customHeight="1" x14ac:dyDescent="0.3">
      <c r="A508" s="1"/>
      <c r="S508" s="102"/>
      <c r="T508" s="102"/>
      <c r="U508" s="102"/>
    </row>
    <row r="509" spans="1:21" ht="14.25" customHeight="1" x14ac:dyDescent="0.3">
      <c r="A509" s="1"/>
      <c r="S509" s="102"/>
      <c r="T509" s="102"/>
      <c r="U509" s="102"/>
    </row>
    <row r="510" spans="1:21" ht="14.25" customHeight="1" x14ac:dyDescent="0.3">
      <c r="A510" s="1"/>
      <c r="S510" s="102"/>
      <c r="T510" s="102"/>
      <c r="U510" s="102"/>
    </row>
    <row r="511" spans="1:21" ht="14.25" customHeight="1" x14ac:dyDescent="0.3">
      <c r="A511" s="1"/>
      <c r="S511" s="102"/>
      <c r="T511" s="102"/>
      <c r="U511" s="102"/>
    </row>
    <row r="512" spans="1:21" ht="14.25" customHeight="1" x14ac:dyDescent="0.3">
      <c r="A512" s="1"/>
      <c r="S512" s="102"/>
      <c r="T512" s="102"/>
      <c r="U512" s="102"/>
    </row>
    <row r="513" spans="1:21" ht="14.25" customHeight="1" x14ac:dyDescent="0.3">
      <c r="A513" s="1"/>
      <c r="S513" s="102"/>
      <c r="T513" s="102"/>
      <c r="U513" s="102"/>
    </row>
    <row r="514" spans="1:21" ht="14.25" customHeight="1" x14ac:dyDescent="0.3">
      <c r="A514" s="1"/>
      <c r="S514" s="102"/>
      <c r="T514" s="102"/>
      <c r="U514" s="102"/>
    </row>
    <row r="515" spans="1:21" ht="14.25" customHeight="1" x14ac:dyDescent="0.3">
      <c r="A515" s="1"/>
      <c r="S515" s="102"/>
      <c r="T515" s="102"/>
      <c r="U515" s="102"/>
    </row>
    <row r="516" spans="1:21" ht="14.25" customHeight="1" x14ac:dyDescent="0.3">
      <c r="A516" s="1"/>
      <c r="S516" s="102"/>
      <c r="T516" s="102"/>
      <c r="U516" s="102"/>
    </row>
    <row r="517" spans="1:21" ht="14.25" customHeight="1" x14ac:dyDescent="0.3">
      <c r="A517" s="1"/>
      <c r="S517" s="102"/>
      <c r="T517" s="102"/>
      <c r="U517" s="102"/>
    </row>
    <row r="518" spans="1:21" ht="14.25" customHeight="1" x14ac:dyDescent="0.3">
      <c r="A518" s="1"/>
      <c r="S518" s="102"/>
      <c r="T518" s="102"/>
      <c r="U518" s="102"/>
    </row>
    <row r="519" spans="1:21" ht="14.25" customHeight="1" x14ac:dyDescent="0.3">
      <c r="A519" s="1"/>
      <c r="S519" s="102"/>
      <c r="T519" s="102"/>
      <c r="U519" s="102"/>
    </row>
    <row r="520" spans="1:21" ht="14.25" customHeight="1" x14ac:dyDescent="0.3">
      <c r="A520" s="1"/>
      <c r="S520" s="102"/>
      <c r="T520" s="102"/>
      <c r="U520" s="102"/>
    </row>
    <row r="521" spans="1:21" ht="14.25" customHeight="1" x14ac:dyDescent="0.3">
      <c r="A521" s="1"/>
      <c r="S521" s="102"/>
      <c r="T521" s="102"/>
      <c r="U521" s="102"/>
    </row>
    <row r="522" spans="1:21" ht="14.25" customHeight="1" x14ac:dyDescent="0.3">
      <c r="A522" s="1"/>
      <c r="S522" s="102"/>
      <c r="T522" s="102"/>
      <c r="U522" s="102"/>
    </row>
    <row r="523" spans="1:21" ht="14.25" customHeight="1" x14ac:dyDescent="0.3">
      <c r="A523" s="1"/>
      <c r="S523" s="102"/>
      <c r="T523" s="102"/>
      <c r="U523" s="102"/>
    </row>
    <row r="524" spans="1:21" ht="14.25" customHeight="1" x14ac:dyDescent="0.3">
      <c r="A524" s="1"/>
      <c r="S524" s="102"/>
      <c r="T524" s="102"/>
      <c r="U524" s="102"/>
    </row>
    <row r="525" spans="1:21" ht="14.25" customHeight="1" x14ac:dyDescent="0.3">
      <c r="A525" s="1"/>
      <c r="S525" s="102"/>
      <c r="T525" s="102"/>
      <c r="U525" s="102"/>
    </row>
    <row r="526" spans="1:21" ht="14.25" customHeight="1" x14ac:dyDescent="0.3">
      <c r="A526" s="1"/>
      <c r="S526" s="102"/>
      <c r="T526" s="102"/>
      <c r="U526" s="102"/>
    </row>
    <row r="527" spans="1:21" ht="14.25" customHeight="1" x14ac:dyDescent="0.3">
      <c r="A527" s="1"/>
      <c r="S527" s="102"/>
      <c r="T527" s="102"/>
      <c r="U527" s="102"/>
    </row>
    <row r="528" spans="1:21" ht="14.25" customHeight="1" x14ac:dyDescent="0.3">
      <c r="A528" s="1"/>
      <c r="S528" s="102"/>
      <c r="T528" s="102"/>
      <c r="U528" s="102"/>
    </row>
    <row r="529" spans="1:21" ht="14.25" customHeight="1" x14ac:dyDescent="0.3">
      <c r="A529" s="1"/>
      <c r="S529" s="102"/>
      <c r="T529" s="102"/>
      <c r="U529" s="102"/>
    </row>
    <row r="530" spans="1:21" ht="14.25" customHeight="1" x14ac:dyDescent="0.3">
      <c r="A530" s="1"/>
      <c r="S530" s="102"/>
      <c r="T530" s="102"/>
      <c r="U530" s="102"/>
    </row>
    <row r="531" spans="1:21" ht="14.25" customHeight="1" x14ac:dyDescent="0.3">
      <c r="A531" s="1"/>
      <c r="S531" s="102"/>
      <c r="T531" s="102"/>
      <c r="U531" s="102"/>
    </row>
    <row r="532" spans="1:21" ht="14.25" customHeight="1" x14ac:dyDescent="0.3">
      <c r="A532" s="1"/>
      <c r="S532" s="102"/>
      <c r="T532" s="102"/>
      <c r="U532" s="102"/>
    </row>
    <row r="533" spans="1:21" ht="14.25" customHeight="1" x14ac:dyDescent="0.3">
      <c r="A533" s="1"/>
      <c r="S533" s="102"/>
      <c r="T533" s="102"/>
      <c r="U533" s="102"/>
    </row>
    <row r="534" spans="1:21" ht="14.25" customHeight="1" x14ac:dyDescent="0.3">
      <c r="A534" s="1"/>
      <c r="S534" s="102"/>
      <c r="T534" s="102"/>
      <c r="U534" s="102"/>
    </row>
    <row r="535" spans="1:21" ht="14.25" customHeight="1" x14ac:dyDescent="0.3">
      <c r="A535" s="1"/>
      <c r="S535" s="102"/>
      <c r="T535" s="102"/>
      <c r="U535" s="102"/>
    </row>
    <row r="536" spans="1:21" ht="14.25" customHeight="1" x14ac:dyDescent="0.3">
      <c r="A536" s="1"/>
      <c r="S536" s="102"/>
      <c r="T536" s="102"/>
      <c r="U536" s="102"/>
    </row>
    <row r="537" spans="1:21" ht="14.25" customHeight="1" x14ac:dyDescent="0.3">
      <c r="A537" s="1"/>
      <c r="S537" s="102"/>
      <c r="T537" s="102"/>
      <c r="U537" s="102"/>
    </row>
    <row r="538" spans="1:21" ht="14.25" customHeight="1" x14ac:dyDescent="0.3">
      <c r="A538" s="1"/>
      <c r="S538" s="102"/>
      <c r="T538" s="102"/>
      <c r="U538" s="102"/>
    </row>
    <row r="539" spans="1:21" ht="14.25" customHeight="1" x14ac:dyDescent="0.3">
      <c r="A539" s="1"/>
      <c r="S539" s="102"/>
      <c r="T539" s="102"/>
      <c r="U539" s="102"/>
    </row>
    <row r="540" spans="1:21" ht="14.25" customHeight="1" x14ac:dyDescent="0.3">
      <c r="A540" s="1"/>
      <c r="S540" s="102"/>
      <c r="T540" s="102"/>
      <c r="U540" s="102"/>
    </row>
    <row r="541" spans="1:21" ht="14.25" customHeight="1" x14ac:dyDescent="0.3">
      <c r="A541" s="1"/>
      <c r="S541" s="102"/>
      <c r="T541" s="102"/>
      <c r="U541" s="102"/>
    </row>
    <row r="542" spans="1:21" ht="14.25" customHeight="1" x14ac:dyDescent="0.3">
      <c r="A542" s="1"/>
      <c r="S542" s="102"/>
      <c r="T542" s="102"/>
      <c r="U542" s="102"/>
    </row>
    <row r="543" spans="1:21" ht="14.25" customHeight="1" x14ac:dyDescent="0.3">
      <c r="A543" s="1"/>
      <c r="S543" s="102"/>
      <c r="T543" s="102"/>
      <c r="U543" s="102"/>
    </row>
    <row r="544" spans="1:21" ht="14.25" customHeight="1" x14ac:dyDescent="0.3">
      <c r="A544" s="1"/>
      <c r="S544" s="102"/>
      <c r="T544" s="102"/>
      <c r="U544" s="102"/>
    </row>
    <row r="545" spans="1:21" ht="14.25" customHeight="1" x14ac:dyDescent="0.3">
      <c r="A545" s="1"/>
      <c r="S545" s="102"/>
      <c r="T545" s="102"/>
      <c r="U545" s="102"/>
    </row>
    <row r="546" spans="1:21" ht="14.25" customHeight="1" x14ac:dyDescent="0.3">
      <c r="A546" s="1"/>
      <c r="S546" s="102"/>
      <c r="T546" s="102"/>
      <c r="U546" s="102"/>
    </row>
    <row r="547" spans="1:21" ht="14.25" customHeight="1" x14ac:dyDescent="0.3">
      <c r="A547" s="1"/>
      <c r="S547" s="102"/>
      <c r="T547" s="102"/>
      <c r="U547" s="102"/>
    </row>
    <row r="548" spans="1:21" ht="14.25" customHeight="1" x14ac:dyDescent="0.3">
      <c r="A548" s="1"/>
      <c r="S548" s="102"/>
      <c r="T548" s="102"/>
      <c r="U548" s="102"/>
    </row>
    <row r="549" spans="1:21" ht="14.25" customHeight="1" x14ac:dyDescent="0.3">
      <c r="A549" s="1"/>
      <c r="S549" s="102"/>
      <c r="T549" s="102"/>
      <c r="U549" s="102"/>
    </row>
    <row r="550" spans="1:21" ht="14.25" customHeight="1" x14ac:dyDescent="0.3">
      <c r="A550" s="1"/>
      <c r="S550" s="102"/>
      <c r="T550" s="102"/>
      <c r="U550" s="102"/>
    </row>
    <row r="551" spans="1:21" ht="14.25" customHeight="1" x14ac:dyDescent="0.3">
      <c r="A551" s="1"/>
      <c r="S551" s="102"/>
      <c r="T551" s="102"/>
      <c r="U551" s="102"/>
    </row>
    <row r="552" spans="1:21" ht="14.25" customHeight="1" x14ac:dyDescent="0.3">
      <c r="A552" s="1"/>
      <c r="S552" s="102"/>
      <c r="T552" s="102"/>
      <c r="U552" s="102"/>
    </row>
    <row r="553" spans="1:21" ht="14.25" customHeight="1" x14ac:dyDescent="0.3">
      <c r="A553" s="1"/>
      <c r="S553" s="102"/>
      <c r="T553" s="102"/>
      <c r="U553" s="102"/>
    </row>
    <row r="554" spans="1:21" ht="14.25" customHeight="1" x14ac:dyDescent="0.3">
      <c r="A554" s="1"/>
      <c r="S554" s="102"/>
      <c r="T554" s="102"/>
      <c r="U554" s="102"/>
    </row>
    <row r="555" spans="1:21" ht="14.25" customHeight="1" x14ac:dyDescent="0.3">
      <c r="A555" s="1"/>
      <c r="S555" s="102"/>
      <c r="T555" s="102"/>
      <c r="U555" s="102"/>
    </row>
    <row r="556" spans="1:21" ht="14.25" customHeight="1" x14ac:dyDescent="0.3">
      <c r="A556" s="1"/>
      <c r="S556" s="102"/>
      <c r="T556" s="102"/>
      <c r="U556" s="102"/>
    </row>
    <row r="557" spans="1:21" ht="14.25" customHeight="1" x14ac:dyDescent="0.3">
      <c r="A557" s="1"/>
      <c r="S557" s="102"/>
      <c r="T557" s="102"/>
      <c r="U557" s="102"/>
    </row>
    <row r="558" spans="1:21" ht="14.25" customHeight="1" x14ac:dyDescent="0.3">
      <c r="A558" s="1"/>
      <c r="S558" s="102"/>
      <c r="T558" s="102"/>
      <c r="U558" s="102"/>
    </row>
    <row r="559" spans="1:21" ht="14.25" customHeight="1" x14ac:dyDescent="0.3">
      <c r="A559" s="1"/>
      <c r="S559" s="102"/>
      <c r="T559" s="102"/>
      <c r="U559" s="102"/>
    </row>
    <row r="560" spans="1:21" ht="14.25" customHeight="1" x14ac:dyDescent="0.3">
      <c r="A560" s="1"/>
      <c r="S560" s="102"/>
      <c r="T560" s="102"/>
      <c r="U560" s="102"/>
    </row>
    <row r="561" spans="1:21" ht="14.25" customHeight="1" x14ac:dyDescent="0.3">
      <c r="A561" s="1"/>
      <c r="S561" s="102"/>
      <c r="T561" s="102"/>
      <c r="U561" s="102"/>
    </row>
    <row r="562" spans="1:21" ht="14.25" customHeight="1" x14ac:dyDescent="0.3">
      <c r="A562" s="1"/>
      <c r="S562" s="102"/>
      <c r="T562" s="102"/>
      <c r="U562" s="102"/>
    </row>
    <row r="563" spans="1:21" ht="14.25" customHeight="1" x14ac:dyDescent="0.3">
      <c r="A563" s="1"/>
      <c r="S563" s="102"/>
      <c r="T563" s="102"/>
      <c r="U563" s="102"/>
    </row>
    <row r="564" spans="1:21" ht="14.25" customHeight="1" x14ac:dyDescent="0.3">
      <c r="A564" s="1"/>
      <c r="S564" s="102"/>
      <c r="T564" s="102"/>
      <c r="U564" s="102"/>
    </row>
    <row r="565" spans="1:21" ht="14.25" customHeight="1" x14ac:dyDescent="0.3">
      <c r="A565" s="1"/>
      <c r="S565" s="102"/>
      <c r="T565" s="102"/>
      <c r="U565" s="102"/>
    </row>
    <row r="566" spans="1:21" ht="14.25" customHeight="1" x14ac:dyDescent="0.3">
      <c r="A566" s="1"/>
      <c r="S566" s="102"/>
      <c r="T566" s="102"/>
      <c r="U566" s="102"/>
    </row>
    <row r="567" spans="1:21" ht="14.25" customHeight="1" x14ac:dyDescent="0.3">
      <c r="A567" s="1"/>
      <c r="S567" s="102"/>
      <c r="T567" s="102"/>
      <c r="U567" s="102"/>
    </row>
    <row r="568" spans="1:21" ht="14.25" customHeight="1" x14ac:dyDescent="0.3">
      <c r="A568" s="1"/>
      <c r="S568" s="102"/>
      <c r="T568" s="102"/>
      <c r="U568" s="102"/>
    </row>
    <row r="569" spans="1:21" ht="14.25" customHeight="1" x14ac:dyDescent="0.3">
      <c r="A569" s="1"/>
      <c r="S569" s="102"/>
      <c r="T569" s="102"/>
      <c r="U569" s="102"/>
    </row>
    <row r="570" spans="1:21" ht="14.25" customHeight="1" x14ac:dyDescent="0.3">
      <c r="A570" s="1"/>
      <c r="S570" s="102"/>
      <c r="T570" s="102"/>
      <c r="U570" s="102"/>
    </row>
    <row r="571" spans="1:21" ht="14.25" customHeight="1" x14ac:dyDescent="0.3">
      <c r="A571" s="1"/>
      <c r="S571" s="102"/>
      <c r="T571" s="102"/>
      <c r="U571" s="102"/>
    </row>
    <row r="572" spans="1:21" ht="14.25" customHeight="1" x14ac:dyDescent="0.3">
      <c r="A572" s="1"/>
      <c r="S572" s="102"/>
      <c r="T572" s="102"/>
      <c r="U572" s="102"/>
    </row>
    <row r="573" spans="1:21" ht="14.25" customHeight="1" x14ac:dyDescent="0.3">
      <c r="A573" s="1"/>
      <c r="S573" s="102"/>
      <c r="T573" s="102"/>
      <c r="U573" s="102"/>
    </row>
    <row r="574" spans="1:21" ht="14.25" customHeight="1" x14ac:dyDescent="0.3">
      <c r="A574" s="1"/>
      <c r="S574" s="102"/>
      <c r="T574" s="102"/>
      <c r="U574" s="102"/>
    </row>
    <row r="575" spans="1:21" ht="14.25" customHeight="1" x14ac:dyDescent="0.3">
      <c r="A575" s="1"/>
      <c r="S575" s="102"/>
      <c r="T575" s="102"/>
      <c r="U575" s="102"/>
    </row>
    <row r="576" spans="1:21" ht="14.25" customHeight="1" x14ac:dyDescent="0.3">
      <c r="A576" s="1"/>
      <c r="S576" s="102"/>
      <c r="T576" s="102"/>
      <c r="U576" s="102"/>
    </row>
    <row r="577" spans="1:21" ht="14.25" customHeight="1" x14ac:dyDescent="0.3">
      <c r="A577" s="1"/>
      <c r="S577" s="102"/>
      <c r="T577" s="102"/>
      <c r="U577" s="102"/>
    </row>
    <row r="578" spans="1:21" ht="14.25" customHeight="1" x14ac:dyDescent="0.3">
      <c r="A578" s="1"/>
      <c r="S578" s="102"/>
      <c r="T578" s="102"/>
      <c r="U578" s="102"/>
    </row>
    <row r="579" spans="1:21" ht="14.25" customHeight="1" x14ac:dyDescent="0.3">
      <c r="A579" s="1"/>
      <c r="S579" s="102"/>
      <c r="T579" s="102"/>
      <c r="U579" s="102"/>
    </row>
    <row r="580" spans="1:21" ht="14.25" customHeight="1" x14ac:dyDescent="0.3">
      <c r="A580" s="1"/>
      <c r="S580" s="102"/>
      <c r="T580" s="102"/>
      <c r="U580" s="102"/>
    </row>
    <row r="581" spans="1:21" ht="14.25" customHeight="1" x14ac:dyDescent="0.3">
      <c r="A581" s="1"/>
      <c r="S581" s="102"/>
      <c r="T581" s="102"/>
      <c r="U581" s="102"/>
    </row>
    <row r="582" spans="1:21" ht="14.25" customHeight="1" x14ac:dyDescent="0.3">
      <c r="A582" s="1"/>
      <c r="S582" s="102"/>
      <c r="T582" s="102"/>
      <c r="U582" s="102"/>
    </row>
    <row r="583" spans="1:21" ht="14.25" customHeight="1" x14ac:dyDescent="0.3">
      <c r="A583" s="1"/>
      <c r="S583" s="102"/>
      <c r="T583" s="102"/>
      <c r="U583" s="102"/>
    </row>
    <row r="584" spans="1:21" ht="14.25" customHeight="1" x14ac:dyDescent="0.3">
      <c r="A584" s="1"/>
      <c r="S584" s="102"/>
      <c r="T584" s="102"/>
      <c r="U584" s="102"/>
    </row>
    <row r="585" spans="1:21" ht="14.25" customHeight="1" x14ac:dyDescent="0.3">
      <c r="A585" s="1"/>
      <c r="S585" s="102"/>
      <c r="T585" s="102"/>
      <c r="U585" s="102"/>
    </row>
    <row r="586" spans="1:21" ht="14.25" customHeight="1" x14ac:dyDescent="0.3">
      <c r="A586" s="1"/>
      <c r="S586" s="102"/>
      <c r="T586" s="102"/>
      <c r="U586" s="102"/>
    </row>
    <row r="587" spans="1:21" ht="14.25" customHeight="1" x14ac:dyDescent="0.3">
      <c r="A587" s="1"/>
      <c r="S587" s="102"/>
      <c r="T587" s="102"/>
      <c r="U587" s="102"/>
    </row>
    <row r="588" spans="1:21" ht="14.25" customHeight="1" x14ac:dyDescent="0.3">
      <c r="A588" s="1"/>
      <c r="S588" s="102"/>
      <c r="T588" s="102"/>
      <c r="U588" s="102"/>
    </row>
    <row r="589" spans="1:21" ht="14.25" customHeight="1" x14ac:dyDescent="0.3">
      <c r="A589" s="1"/>
      <c r="S589" s="102"/>
      <c r="T589" s="102"/>
      <c r="U589" s="102"/>
    </row>
    <row r="590" spans="1:21" ht="14.25" customHeight="1" x14ac:dyDescent="0.3">
      <c r="A590" s="1"/>
      <c r="S590" s="102"/>
      <c r="T590" s="102"/>
      <c r="U590" s="102"/>
    </row>
    <row r="591" spans="1:21" ht="14.25" customHeight="1" x14ac:dyDescent="0.3">
      <c r="A591" s="1"/>
      <c r="S591" s="102"/>
      <c r="T591" s="102"/>
      <c r="U591" s="102"/>
    </row>
    <row r="592" spans="1:21" ht="14.25" customHeight="1" x14ac:dyDescent="0.3">
      <c r="A592" s="1"/>
      <c r="S592" s="102"/>
      <c r="T592" s="102"/>
      <c r="U592" s="102"/>
    </row>
    <row r="593" spans="1:21" ht="14.25" customHeight="1" x14ac:dyDescent="0.3">
      <c r="A593" s="1"/>
      <c r="S593" s="102"/>
      <c r="T593" s="102"/>
      <c r="U593" s="102"/>
    </row>
    <row r="594" spans="1:21" ht="14.25" customHeight="1" x14ac:dyDescent="0.3">
      <c r="A594" s="1"/>
      <c r="S594" s="102"/>
      <c r="T594" s="102"/>
      <c r="U594" s="102"/>
    </row>
    <row r="595" spans="1:21" ht="14.25" customHeight="1" x14ac:dyDescent="0.3">
      <c r="A595" s="1"/>
      <c r="S595" s="102"/>
      <c r="T595" s="102"/>
      <c r="U595" s="102"/>
    </row>
    <row r="596" spans="1:21" ht="14.25" customHeight="1" x14ac:dyDescent="0.3">
      <c r="A596" s="1"/>
      <c r="S596" s="102"/>
      <c r="T596" s="102"/>
      <c r="U596" s="102"/>
    </row>
    <row r="597" spans="1:21" ht="14.25" customHeight="1" x14ac:dyDescent="0.3">
      <c r="A597" s="1"/>
      <c r="S597" s="102"/>
      <c r="T597" s="102"/>
      <c r="U597" s="102"/>
    </row>
    <row r="598" spans="1:21" ht="14.25" customHeight="1" x14ac:dyDescent="0.3">
      <c r="A598" s="1"/>
      <c r="S598" s="102"/>
      <c r="T598" s="102"/>
      <c r="U598" s="102"/>
    </row>
    <row r="599" spans="1:21" ht="14.25" customHeight="1" x14ac:dyDescent="0.3">
      <c r="A599" s="1"/>
      <c r="S599" s="102"/>
      <c r="T599" s="102"/>
      <c r="U599" s="102"/>
    </row>
    <row r="600" spans="1:21" ht="14.25" customHeight="1" x14ac:dyDescent="0.3">
      <c r="A600" s="1"/>
      <c r="S600" s="102"/>
      <c r="T600" s="102"/>
      <c r="U600" s="102"/>
    </row>
    <row r="601" spans="1:21" ht="14.25" customHeight="1" x14ac:dyDescent="0.3">
      <c r="A601" s="1"/>
      <c r="S601" s="102"/>
      <c r="T601" s="102"/>
      <c r="U601" s="102"/>
    </row>
    <row r="602" spans="1:21" ht="14.25" customHeight="1" x14ac:dyDescent="0.3">
      <c r="A602" s="1"/>
      <c r="S602" s="102"/>
      <c r="T602" s="102"/>
      <c r="U602" s="102"/>
    </row>
    <row r="603" spans="1:21" ht="14.25" customHeight="1" x14ac:dyDescent="0.3">
      <c r="A603" s="1"/>
      <c r="S603" s="102"/>
      <c r="T603" s="102"/>
      <c r="U603" s="102"/>
    </row>
    <row r="604" spans="1:21" ht="14.25" customHeight="1" x14ac:dyDescent="0.3">
      <c r="A604" s="1"/>
      <c r="S604" s="102"/>
      <c r="T604" s="102"/>
      <c r="U604" s="102"/>
    </row>
    <row r="605" spans="1:21" ht="14.25" customHeight="1" x14ac:dyDescent="0.3">
      <c r="A605" s="1"/>
      <c r="S605" s="102"/>
      <c r="T605" s="102"/>
      <c r="U605" s="102"/>
    </row>
    <row r="606" spans="1:21" ht="14.25" customHeight="1" x14ac:dyDescent="0.3">
      <c r="A606" s="1"/>
      <c r="S606" s="102"/>
      <c r="T606" s="102"/>
      <c r="U606" s="102"/>
    </row>
    <row r="607" spans="1:21" ht="14.25" customHeight="1" x14ac:dyDescent="0.3">
      <c r="A607" s="1"/>
      <c r="S607" s="102"/>
      <c r="T607" s="102"/>
      <c r="U607" s="102"/>
    </row>
    <row r="608" spans="1:21" ht="14.25" customHeight="1" x14ac:dyDescent="0.3">
      <c r="A608" s="1"/>
      <c r="S608" s="102"/>
      <c r="T608" s="102"/>
      <c r="U608" s="102"/>
    </row>
    <row r="609" spans="1:21" ht="14.25" customHeight="1" x14ac:dyDescent="0.3">
      <c r="A609" s="1"/>
      <c r="S609" s="102"/>
      <c r="T609" s="102"/>
      <c r="U609" s="102"/>
    </row>
    <row r="610" spans="1:21" ht="14.25" customHeight="1" x14ac:dyDescent="0.3">
      <c r="A610" s="1"/>
      <c r="S610" s="102"/>
      <c r="T610" s="102"/>
      <c r="U610" s="102"/>
    </row>
    <row r="611" spans="1:21" ht="14.25" customHeight="1" x14ac:dyDescent="0.3">
      <c r="A611" s="1"/>
      <c r="S611" s="102"/>
      <c r="T611" s="102"/>
      <c r="U611" s="102"/>
    </row>
    <row r="612" spans="1:21" ht="14.25" customHeight="1" x14ac:dyDescent="0.3">
      <c r="A612" s="1"/>
      <c r="S612" s="102"/>
      <c r="T612" s="102"/>
      <c r="U612" s="102"/>
    </row>
    <row r="613" spans="1:21" ht="14.25" customHeight="1" x14ac:dyDescent="0.3">
      <c r="A613" s="1"/>
      <c r="S613" s="102"/>
      <c r="T613" s="102"/>
      <c r="U613" s="102"/>
    </row>
    <row r="614" spans="1:21" ht="14.25" customHeight="1" x14ac:dyDescent="0.3">
      <c r="A614" s="1"/>
      <c r="S614" s="102"/>
      <c r="T614" s="102"/>
      <c r="U614" s="102"/>
    </row>
    <row r="615" spans="1:21" ht="14.25" customHeight="1" x14ac:dyDescent="0.3">
      <c r="A615" s="1"/>
      <c r="S615" s="102"/>
      <c r="T615" s="102"/>
      <c r="U615" s="102"/>
    </row>
    <row r="616" spans="1:21" ht="14.25" customHeight="1" x14ac:dyDescent="0.3">
      <c r="A616" s="1"/>
      <c r="S616" s="102"/>
      <c r="T616" s="102"/>
      <c r="U616" s="102"/>
    </row>
    <row r="617" spans="1:21" ht="14.25" customHeight="1" x14ac:dyDescent="0.3">
      <c r="A617" s="1"/>
      <c r="S617" s="102"/>
      <c r="T617" s="102"/>
      <c r="U617" s="102"/>
    </row>
    <row r="618" spans="1:21" ht="14.25" customHeight="1" x14ac:dyDescent="0.3">
      <c r="A618" s="1"/>
      <c r="S618" s="102"/>
      <c r="T618" s="102"/>
      <c r="U618" s="102"/>
    </row>
    <row r="619" spans="1:21" ht="14.25" customHeight="1" x14ac:dyDescent="0.3">
      <c r="A619" s="1"/>
      <c r="S619" s="102"/>
      <c r="T619" s="102"/>
      <c r="U619" s="102"/>
    </row>
    <row r="620" spans="1:21" ht="14.25" customHeight="1" x14ac:dyDescent="0.3">
      <c r="A620" s="1"/>
      <c r="S620" s="102"/>
      <c r="T620" s="102"/>
      <c r="U620" s="102"/>
    </row>
    <row r="621" spans="1:21" ht="14.25" customHeight="1" x14ac:dyDescent="0.3">
      <c r="A621" s="1"/>
      <c r="S621" s="102"/>
      <c r="T621" s="102"/>
      <c r="U621" s="102"/>
    </row>
    <row r="622" spans="1:21" ht="14.25" customHeight="1" x14ac:dyDescent="0.3">
      <c r="A622" s="1"/>
      <c r="S622" s="102"/>
      <c r="T622" s="102"/>
      <c r="U622" s="102"/>
    </row>
    <row r="623" spans="1:21" ht="14.25" customHeight="1" x14ac:dyDescent="0.3">
      <c r="A623" s="1"/>
      <c r="S623" s="102"/>
      <c r="T623" s="102"/>
      <c r="U623" s="102"/>
    </row>
    <row r="624" spans="1:21" ht="14.25" customHeight="1" x14ac:dyDescent="0.3">
      <c r="A624" s="1"/>
      <c r="S624" s="102"/>
      <c r="T624" s="102"/>
      <c r="U624" s="102"/>
    </row>
    <row r="625" spans="1:21" ht="14.25" customHeight="1" x14ac:dyDescent="0.3">
      <c r="A625" s="1"/>
      <c r="S625" s="102"/>
      <c r="T625" s="102"/>
      <c r="U625" s="102"/>
    </row>
    <row r="626" spans="1:21" ht="14.25" customHeight="1" x14ac:dyDescent="0.3">
      <c r="A626" s="1"/>
      <c r="S626" s="102"/>
      <c r="T626" s="102"/>
      <c r="U626" s="102"/>
    </row>
    <row r="627" spans="1:21" ht="14.25" customHeight="1" x14ac:dyDescent="0.3">
      <c r="A627" s="1"/>
      <c r="S627" s="102"/>
      <c r="T627" s="102"/>
      <c r="U627" s="102"/>
    </row>
    <row r="628" spans="1:21" ht="14.25" customHeight="1" x14ac:dyDescent="0.3">
      <c r="A628" s="1"/>
      <c r="S628" s="102"/>
      <c r="T628" s="102"/>
      <c r="U628" s="102"/>
    </row>
    <row r="629" spans="1:21" ht="14.25" customHeight="1" x14ac:dyDescent="0.3">
      <c r="A629" s="1"/>
      <c r="S629" s="102"/>
      <c r="T629" s="102"/>
      <c r="U629" s="102"/>
    </row>
    <row r="630" spans="1:21" ht="14.25" customHeight="1" x14ac:dyDescent="0.3">
      <c r="A630" s="1"/>
      <c r="S630" s="102"/>
      <c r="T630" s="102"/>
      <c r="U630" s="102"/>
    </row>
    <row r="631" spans="1:21" ht="14.25" customHeight="1" x14ac:dyDescent="0.3">
      <c r="A631" s="1"/>
      <c r="S631" s="102"/>
      <c r="T631" s="102"/>
      <c r="U631" s="102"/>
    </row>
    <row r="632" spans="1:21" ht="14.25" customHeight="1" x14ac:dyDescent="0.3">
      <c r="A632" s="1"/>
      <c r="S632" s="102"/>
      <c r="T632" s="102"/>
      <c r="U632" s="102"/>
    </row>
    <row r="633" spans="1:21" ht="14.25" customHeight="1" x14ac:dyDescent="0.3">
      <c r="A633" s="1"/>
      <c r="S633" s="102"/>
      <c r="T633" s="102"/>
      <c r="U633" s="102"/>
    </row>
    <row r="634" spans="1:21" ht="14.25" customHeight="1" x14ac:dyDescent="0.3">
      <c r="A634" s="1"/>
      <c r="S634" s="102"/>
      <c r="T634" s="102"/>
      <c r="U634" s="102"/>
    </row>
    <row r="635" spans="1:21" ht="14.25" customHeight="1" x14ac:dyDescent="0.3">
      <c r="A635" s="1"/>
      <c r="S635" s="102"/>
      <c r="T635" s="102"/>
      <c r="U635" s="102"/>
    </row>
    <row r="636" spans="1:21" ht="14.25" customHeight="1" x14ac:dyDescent="0.3">
      <c r="A636" s="1"/>
      <c r="S636" s="102"/>
      <c r="T636" s="102"/>
      <c r="U636" s="102"/>
    </row>
    <row r="637" spans="1:21" ht="14.25" customHeight="1" x14ac:dyDescent="0.3">
      <c r="A637" s="1"/>
      <c r="S637" s="102"/>
      <c r="T637" s="102"/>
      <c r="U637" s="102"/>
    </row>
    <row r="638" spans="1:21" ht="14.25" customHeight="1" x14ac:dyDescent="0.3">
      <c r="A638" s="1"/>
      <c r="S638" s="102"/>
      <c r="T638" s="102"/>
      <c r="U638" s="102"/>
    </row>
    <row r="639" spans="1:21" ht="14.25" customHeight="1" x14ac:dyDescent="0.3">
      <c r="A639" s="1"/>
      <c r="S639" s="102"/>
      <c r="T639" s="102"/>
      <c r="U639" s="102"/>
    </row>
    <row r="640" spans="1:21" ht="14.25" customHeight="1" x14ac:dyDescent="0.3">
      <c r="A640" s="1"/>
      <c r="S640" s="102"/>
      <c r="T640" s="102"/>
      <c r="U640" s="102"/>
    </row>
    <row r="641" spans="1:21" ht="14.25" customHeight="1" x14ac:dyDescent="0.3">
      <c r="A641" s="1"/>
      <c r="S641" s="102"/>
      <c r="T641" s="102"/>
      <c r="U641" s="102"/>
    </row>
    <row r="642" spans="1:21" ht="14.25" customHeight="1" x14ac:dyDescent="0.3">
      <c r="A642" s="1"/>
      <c r="S642" s="102"/>
      <c r="T642" s="102"/>
      <c r="U642" s="102"/>
    </row>
    <row r="643" spans="1:21" ht="14.25" customHeight="1" x14ac:dyDescent="0.3">
      <c r="A643" s="1"/>
      <c r="S643" s="102"/>
      <c r="T643" s="102"/>
      <c r="U643" s="102"/>
    </row>
    <row r="644" spans="1:21" ht="14.25" customHeight="1" x14ac:dyDescent="0.3">
      <c r="A644" s="1"/>
      <c r="S644" s="102"/>
      <c r="T644" s="102"/>
      <c r="U644" s="102"/>
    </row>
    <row r="645" spans="1:21" ht="14.25" customHeight="1" x14ac:dyDescent="0.3">
      <c r="A645" s="1"/>
      <c r="S645" s="102"/>
      <c r="T645" s="102"/>
      <c r="U645" s="102"/>
    </row>
    <row r="646" spans="1:21" ht="14.25" customHeight="1" x14ac:dyDescent="0.3">
      <c r="A646" s="1"/>
      <c r="S646" s="102"/>
      <c r="T646" s="102"/>
      <c r="U646" s="102"/>
    </row>
    <row r="647" spans="1:21" ht="14.25" customHeight="1" x14ac:dyDescent="0.3">
      <c r="A647" s="1"/>
      <c r="S647" s="102"/>
      <c r="T647" s="102"/>
      <c r="U647" s="102"/>
    </row>
    <row r="648" spans="1:21" ht="14.25" customHeight="1" x14ac:dyDescent="0.3">
      <c r="A648" s="1"/>
      <c r="S648" s="102"/>
      <c r="T648" s="102"/>
      <c r="U648" s="102"/>
    </row>
    <row r="649" spans="1:21" ht="14.25" customHeight="1" x14ac:dyDescent="0.3">
      <c r="A649" s="1"/>
      <c r="S649" s="102"/>
      <c r="T649" s="102"/>
      <c r="U649" s="102"/>
    </row>
    <row r="650" spans="1:21" ht="14.25" customHeight="1" x14ac:dyDescent="0.3">
      <c r="A650" s="1"/>
      <c r="S650" s="102"/>
      <c r="T650" s="102"/>
      <c r="U650" s="102"/>
    </row>
    <row r="651" spans="1:21" ht="14.25" customHeight="1" x14ac:dyDescent="0.3">
      <c r="A651" s="1"/>
      <c r="S651" s="102"/>
      <c r="T651" s="102"/>
      <c r="U651" s="102"/>
    </row>
    <row r="652" spans="1:21" ht="14.25" customHeight="1" x14ac:dyDescent="0.3">
      <c r="A652" s="1"/>
      <c r="S652" s="102"/>
      <c r="T652" s="102"/>
      <c r="U652" s="102"/>
    </row>
    <row r="653" spans="1:21" ht="14.25" customHeight="1" x14ac:dyDescent="0.3">
      <c r="A653" s="1"/>
      <c r="S653" s="102"/>
      <c r="T653" s="102"/>
      <c r="U653" s="102"/>
    </row>
    <row r="654" spans="1:21" ht="14.25" customHeight="1" x14ac:dyDescent="0.3">
      <c r="A654" s="1"/>
      <c r="S654" s="102"/>
      <c r="T654" s="102"/>
      <c r="U654" s="102"/>
    </row>
    <row r="655" spans="1:21" ht="14.25" customHeight="1" x14ac:dyDescent="0.3">
      <c r="A655" s="1"/>
      <c r="S655" s="102"/>
      <c r="T655" s="102"/>
      <c r="U655" s="102"/>
    </row>
    <row r="656" spans="1:21" ht="14.25" customHeight="1" x14ac:dyDescent="0.3">
      <c r="A656" s="1"/>
      <c r="S656" s="102"/>
      <c r="T656" s="102"/>
      <c r="U656" s="102"/>
    </row>
    <row r="657" spans="1:21" ht="14.25" customHeight="1" x14ac:dyDescent="0.3">
      <c r="A657" s="1"/>
      <c r="S657" s="102"/>
      <c r="T657" s="102"/>
      <c r="U657" s="102"/>
    </row>
    <row r="658" spans="1:21" ht="14.25" customHeight="1" x14ac:dyDescent="0.3">
      <c r="A658" s="1"/>
      <c r="S658" s="102"/>
      <c r="T658" s="102"/>
      <c r="U658" s="102"/>
    </row>
    <row r="659" spans="1:21" ht="14.25" customHeight="1" x14ac:dyDescent="0.3">
      <c r="A659" s="1"/>
      <c r="S659" s="102"/>
      <c r="T659" s="102"/>
      <c r="U659" s="102"/>
    </row>
    <row r="660" spans="1:21" ht="14.25" customHeight="1" x14ac:dyDescent="0.3">
      <c r="A660" s="1"/>
      <c r="S660" s="102"/>
      <c r="T660" s="102"/>
      <c r="U660" s="102"/>
    </row>
    <row r="661" spans="1:21" ht="14.25" customHeight="1" x14ac:dyDescent="0.3">
      <c r="A661" s="1"/>
      <c r="S661" s="102"/>
      <c r="T661" s="102"/>
      <c r="U661" s="102"/>
    </row>
    <row r="662" spans="1:21" ht="14.25" customHeight="1" x14ac:dyDescent="0.3">
      <c r="A662" s="1"/>
      <c r="S662" s="102"/>
      <c r="T662" s="102"/>
      <c r="U662" s="102"/>
    </row>
    <row r="663" spans="1:21" ht="14.25" customHeight="1" x14ac:dyDescent="0.3">
      <c r="A663" s="1"/>
      <c r="S663" s="102"/>
      <c r="T663" s="102"/>
      <c r="U663" s="102"/>
    </row>
    <row r="664" spans="1:21" ht="14.25" customHeight="1" x14ac:dyDescent="0.3">
      <c r="A664" s="1"/>
      <c r="S664" s="102"/>
      <c r="T664" s="102"/>
      <c r="U664" s="102"/>
    </row>
    <row r="665" spans="1:21" ht="14.25" customHeight="1" x14ac:dyDescent="0.3">
      <c r="A665" s="1"/>
      <c r="S665" s="102"/>
      <c r="T665" s="102"/>
      <c r="U665" s="102"/>
    </row>
    <row r="666" spans="1:21" ht="14.25" customHeight="1" x14ac:dyDescent="0.3">
      <c r="A666" s="1"/>
      <c r="S666" s="102"/>
      <c r="T666" s="102"/>
      <c r="U666" s="102"/>
    </row>
    <row r="667" spans="1:21" ht="14.25" customHeight="1" x14ac:dyDescent="0.3">
      <c r="A667" s="1"/>
      <c r="S667" s="102"/>
      <c r="T667" s="102"/>
      <c r="U667" s="102"/>
    </row>
    <row r="668" spans="1:21" ht="14.25" customHeight="1" x14ac:dyDescent="0.3">
      <c r="A668" s="1"/>
      <c r="S668" s="102"/>
      <c r="T668" s="102"/>
      <c r="U668" s="102"/>
    </row>
    <row r="669" spans="1:21" ht="14.25" customHeight="1" x14ac:dyDescent="0.3">
      <c r="A669" s="1"/>
      <c r="S669" s="102"/>
      <c r="T669" s="102"/>
      <c r="U669" s="102"/>
    </row>
    <row r="670" spans="1:21" ht="14.25" customHeight="1" x14ac:dyDescent="0.3">
      <c r="A670" s="1"/>
      <c r="S670" s="102"/>
      <c r="T670" s="102"/>
      <c r="U670" s="102"/>
    </row>
    <row r="671" spans="1:21" ht="14.25" customHeight="1" x14ac:dyDescent="0.3">
      <c r="A671" s="1"/>
      <c r="S671" s="102"/>
      <c r="T671" s="102"/>
      <c r="U671" s="102"/>
    </row>
    <row r="672" spans="1:21" ht="14.25" customHeight="1" x14ac:dyDescent="0.3">
      <c r="A672" s="1"/>
      <c r="S672" s="102"/>
      <c r="T672" s="102"/>
      <c r="U672" s="102"/>
    </row>
    <row r="673" spans="1:21" ht="14.25" customHeight="1" x14ac:dyDescent="0.3">
      <c r="A673" s="1"/>
      <c r="S673" s="102"/>
      <c r="T673" s="102"/>
      <c r="U673" s="102"/>
    </row>
    <row r="674" spans="1:21" ht="14.25" customHeight="1" x14ac:dyDescent="0.3">
      <c r="A674" s="1"/>
      <c r="S674" s="102"/>
      <c r="T674" s="102"/>
      <c r="U674" s="102"/>
    </row>
    <row r="675" spans="1:21" ht="14.25" customHeight="1" x14ac:dyDescent="0.3">
      <c r="A675" s="1"/>
      <c r="S675" s="102"/>
      <c r="T675" s="102"/>
      <c r="U675" s="102"/>
    </row>
    <row r="676" spans="1:21" ht="14.25" customHeight="1" x14ac:dyDescent="0.3">
      <c r="A676" s="1"/>
      <c r="S676" s="102"/>
      <c r="T676" s="102"/>
      <c r="U676" s="102"/>
    </row>
    <row r="677" spans="1:21" ht="14.25" customHeight="1" x14ac:dyDescent="0.3">
      <c r="A677" s="1"/>
      <c r="S677" s="102"/>
      <c r="T677" s="102"/>
      <c r="U677" s="102"/>
    </row>
    <row r="678" spans="1:21" ht="14.25" customHeight="1" x14ac:dyDescent="0.3">
      <c r="A678" s="1"/>
      <c r="S678" s="102"/>
      <c r="T678" s="102"/>
      <c r="U678" s="102"/>
    </row>
    <row r="679" spans="1:21" ht="14.25" customHeight="1" x14ac:dyDescent="0.3">
      <c r="A679" s="1"/>
      <c r="S679" s="102"/>
      <c r="T679" s="102"/>
      <c r="U679" s="102"/>
    </row>
    <row r="680" spans="1:21" ht="14.25" customHeight="1" x14ac:dyDescent="0.3">
      <c r="A680" s="1"/>
      <c r="S680" s="102"/>
      <c r="T680" s="102"/>
      <c r="U680" s="102"/>
    </row>
    <row r="681" spans="1:21" ht="14.25" customHeight="1" x14ac:dyDescent="0.3">
      <c r="A681" s="1"/>
      <c r="S681" s="102"/>
      <c r="T681" s="102"/>
      <c r="U681" s="102"/>
    </row>
    <row r="682" spans="1:21" ht="14.25" customHeight="1" x14ac:dyDescent="0.3">
      <c r="A682" s="1"/>
      <c r="S682" s="102"/>
      <c r="T682" s="102"/>
      <c r="U682" s="102"/>
    </row>
    <row r="683" spans="1:21" ht="14.25" customHeight="1" x14ac:dyDescent="0.3">
      <c r="A683" s="1"/>
      <c r="S683" s="102"/>
      <c r="T683" s="102"/>
      <c r="U683" s="102"/>
    </row>
    <row r="684" spans="1:21" ht="14.25" customHeight="1" x14ac:dyDescent="0.3">
      <c r="A684" s="1"/>
      <c r="S684" s="102"/>
      <c r="T684" s="102"/>
      <c r="U684" s="102"/>
    </row>
    <row r="685" spans="1:21" ht="14.25" customHeight="1" x14ac:dyDescent="0.3">
      <c r="A685" s="1"/>
      <c r="S685" s="102"/>
      <c r="T685" s="102"/>
      <c r="U685" s="102"/>
    </row>
    <row r="686" spans="1:21" ht="14.25" customHeight="1" x14ac:dyDescent="0.3">
      <c r="A686" s="1"/>
      <c r="S686" s="102"/>
      <c r="T686" s="102"/>
      <c r="U686" s="102"/>
    </row>
    <row r="687" spans="1:21" ht="14.25" customHeight="1" x14ac:dyDescent="0.3">
      <c r="A687" s="1"/>
      <c r="S687" s="102"/>
      <c r="T687" s="102"/>
      <c r="U687" s="102"/>
    </row>
    <row r="688" spans="1:21" ht="14.25" customHeight="1" x14ac:dyDescent="0.3">
      <c r="A688" s="1"/>
      <c r="S688" s="102"/>
      <c r="T688" s="102"/>
      <c r="U688" s="102"/>
    </row>
    <row r="689" spans="1:21" ht="14.25" customHeight="1" x14ac:dyDescent="0.3">
      <c r="A689" s="1"/>
      <c r="S689" s="102"/>
      <c r="T689" s="102"/>
      <c r="U689" s="102"/>
    </row>
    <row r="690" spans="1:21" ht="14.25" customHeight="1" x14ac:dyDescent="0.3">
      <c r="A690" s="1"/>
      <c r="S690" s="102"/>
      <c r="T690" s="102"/>
      <c r="U690" s="102"/>
    </row>
    <row r="691" spans="1:21" ht="14.25" customHeight="1" x14ac:dyDescent="0.3">
      <c r="A691" s="1"/>
      <c r="S691" s="102"/>
      <c r="T691" s="102"/>
      <c r="U691" s="102"/>
    </row>
    <row r="692" spans="1:21" ht="14.25" customHeight="1" x14ac:dyDescent="0.3">
      <c r="A692" s="1"/>
      <c r="S692" s="102"/>
      <c r="T692" s="102"/>
      <c r="U692" s="102"/>
    </row>
    <row r="693" spans="1:21" ht="14.25" customHeight="1" x14ac:dyDescent="0.3">
      <c r="A693" s="1"/>
      <c r="S693" s="102"/>
      <c r="T693" s="102"/>
      <c r="U693" s="102"/>
    </row>
    <row r="694" spans="1:21" ht="14.25" customHeight="1" x14ac:dyDescent="0.3">
      <c r="A694" s="1"/>
      <c r="S694" s="102"/>
      <c r="T694" s="102"/>
      <c r="U694" s="102"/>
    </row>
    <row r="695" spans="1:21" ht="14.25" customHeight="1" x14ac:dyDescent="0.3">
      <c r="A695" s="1"/>
      <c r="S695" s="102"/>
      <c r="T695" s="102"/>
      <c r="U695" s="102"/>
    </row>
    <row r="696" spans="1:21" ht="14.25" customHeight="1" x14ac:dyDescent="0.3">
      <c r="A696" s="1"/>
      <c r="S696" s="102"/>
      <c r="T696" s="102"/>
      <c r="U696" s="102"/>
    </row>
    <row r="697" spans="1:21" ht="14.25" customHeight="1" x14ac:dyDescent="0.3">
      <c r="A697" s="1"/>
      <c r="S697" s="102"/>
      <c r="T697" s="102"/>
      <c r="U697" s="102"/>
    </row>
    <row r="698" spans="1:21" ht="14.25" customHeight="1" x14ac:dyDescent="0.3">
      <c r="A698" s="1"/>
      <c r="S698" s="102"/>
      <c r="T698" s="102"/>
      <c r="U698" s="102"/>
    </row>
    <row r="699" spans="1:21" ht="14.25" customHeight="1" x14ac:dyDescent="0.3">
      <c r="A699" s="1"/>
      <c r="S699" s="102"/>
      <c r="T699" s="102"/>
      <c r="U699" s="102"/>
    </row>
    <row r="700" spans="1:21" ht="14.25" customHeight="1" x14ac:dyDescent="0.3">
      <c r="A700" s="1"/>
      <c r="S700" s="102"/>
      <c r="T700" s="102"/>
      <c r="U700" s="102"/>
    </row>
    <row r="701" spans="1:21" ht="14.25" customHeight="1" x14ac:dyDescent="0.3">
      <c r="A701" s="1"/>
      <c r="S701" s="102"/>
      <c r="T701" s="102"/>
      <c r="U701" s="102"/>
    </row>
    <row r="702" spans="1:21" ht="14.25" customHeight="1" x14ac:dyDescent="0.3">
      <c r="A702" s="1"/>
      <c r="S702" s="102"/>
      <c r="T702" s="102"/>
      <c r="U702" s="102"/>
    </row>
    <row r="703" spans="1:21" ht="14.25" customHeight="1" x14ac:dyDescent="0.3">
      <c r="A703" s="1"/>
      <c r="S703" s="102"/>
      <c r="T703" s="102"/>
      <c r="U703" s="102"/>
    </row>
    <row r="704" spans="1:21" ht="14.25" customHeight="1" x14ac:dyDescent="0.3">
      <c r="A704" s="1"/>
      <c r="S704" s="102"/>
      <c r="T704" s="102"/>
      <c r="U704" s="102"/>
    </row>
    <row r="705" spans="1:21" ht="14.25" customHeight="1" x14ac:dyDescent="0.3">
      <c r="A705" s="1"/>
      <c r="S705" s="102"/>
      <c r="T705" s="102"/>
      <c r="U705" s="102"/>
    </row>
    <row r="706" spans="1:21" ht="14.25" customHeight="1" x14ac:dyDescent="0.3">
      <c r="A706" s="1"/>
      <c r="S706" s="102"/>
      <c r="T706" s="102"/>
      <c r="U706" s="102"/>
    </row>
    <row r="707" spans="1:21" ht="14.25" customHeight="1" x14ac:dyDescent="0.3">
      <c r="A707" s="1"/>
      <c r="S707" s="102"/>
      <c r="T707" s="102"/>
      <c r="U707" s="102"/>
    </row>
    <row r="708" spans="1:21" ht="14.25" customHeight="1" x14ac:dyDescent="0.3">
      <c r="A708" s="1"/>
      <c r="S708" s="102"/>
      <c r="T708" s="102"/>
      <c r="U708" s="102"/>
    </row>
    <row r="709" spans="1:21" ht="14.25" customHeight="1" x14ac:dyDescent="0.3">
      <c r="A709" s="1"/>
      <c r="S709" s="102"/>
      <c r="T709" s="102"/>
      <c r="U709" s="102"/>
    </row>
    <row r="710" spans="1:21" ht="14.25" customHeight="1" x14ac:dyDescent="0.3">
      <c r="A710" s="1"/>
      <c r="S710" s="102"/>
      <c r="T710" s="102"/>
      <c r="U710" s="102"/>
    </row>
    <row r="711" spans="1:21" ht="14.25" customHeight="1" x14ac:dyDescent="0.3">
      <c r="A711" s="1"/>
      <c r="S711" s="102"/>
      <c r="T711" s="102"/>
      <c r="U711" s="102"/>
    </row>
    <row r="712" spans="1:21" ht="14.25" customHeight="1" x14ac:dyDescent="0.3">
      <c r="A712" s="1"/>
      <c r="S712" s="102"/>
      <c r="T712" s="102"/>
      <c r="U712" s="102"/>
    </row>
    <row r="713" spans="1:21" ht="14.25" customHeight="1" x14ac:dyDescent="0.3">
      <c r="A713" s="1"/>
      <c r="S713" s="102"/>
      <c r="T713" s="102"/>
      <c r="U713" s="102"/>
    </row>
    <row r="714" spans="1:21" ht="14.25" customHeight="1" x14ac:dyDescent="0.3">
      <c r="A714" s="1"/>
      <c r="S714" s="102"/>
      <c r="T714" s="102"/>
      <c r="U714" s="102"/>
    </row>
    <row r="715" spans="1:21" ht="14.25" customHeight="1" x14ac:dyDescent="0.3">
      <c r="A715" s="1"/>
      <c r="S715" s="102"/>
      <c r="T715" s="102"/>
      <c r="U715" s="102"/>
    </row>
    <row r="716" spans="1:21" ht="14.25" customHeight="1" x14ac:dyDescent="0.3">
      <c r="A716" s="1"/>
      <c r="S716" s="102"/>
      <c r="T716" s="102"/>
      <c r="U716" s="102"/>
    </row>
    <row r="717" spans="1:21" ht="14.25" customHeight="1" x14ac:dyDescent="0.3">
      <c r="A717" s="1"/>
      <c r="S717" s="102"/>
      <c r="T717" s="102"/>
      <c r="U717" s="102"/>
    </row>
    <row r="718" spans="1:21" ht="14.25" customHeight="1" x14ac:dyDescent="0.3">
      <c r="A718" s="1"/>
      <c r="S718" s="102"/>
      <c r="T718" s="102"/>
      <c r="U718" s="102"/>
    </row>
    <row r="719" spans="1:21" ht="14.25" customHeight="1" x14ac:dyDescent="0.3">
      <c r="A719" s="1"/>
      <c r="S719" s="102"/>
      <c r="T719" s="102"/>
      <c r="U719" s="102"/>
    </row>
    <row r="720" spans="1:21" ht="14.25" customHeight="1" x14ac:dyDescent="0.3">
      <c r="A720" s="1"/>
      <c r="S720" s="102"/>
      <c r="T720" s="102"/>
      <c r="U720" s="102"/>
    </row>
    <row r="721" spans="1:21" ht="14.25" customHeight="1" x14ac:dyDescent="0.3">
      <c r="A721" s="1"/>
      <c r="S721" s="102"/>
      <c r="T721" s="102"/>
      <c r="U721" s="102"/>
    </row>
    <row r="722" spans="1:21" ht="14.25" customHeight="1" x14ac:dyDescent="0.3">
      <c r="A722" s="1"/>
      <c r="S722" s="102"/>
      <c r="T722" s="102"/>
      <c r="U722" s="102"/>
    </row>
    <row r="723" spans="1:21" ht="14.25" customHeight="1" x14ac:dyDescent="0.3">
      <c r="A723" s="1"/>
      <c r="S723" s="102"/>
      <c r="T723" s="102"/>
      <c r="U723" s="102"/>
    </row>
    <row r="724" spans="1:21" ht="14.25" customHeight="1" x14ac:dyDescent="0.3">
      <c r="A724" s="1"/>
      <c r="S724" s="102"/>
      <c r="T724" s="102"/>
      <c r="U724" s="102"/>
    </row>
    <row r="725" spans="1:21" ht="14.25" customHeight="1" x14ac:dyDescent="0.3">
      <c r="A725" s="1"/>
      <c r="S725" s="102"/>
      <c r="T725" s="102"/>
      <c r="U725" s="102"/>
    </row>
    <row r="726" spans="1:21" ht="14.25" customHeight="1" x14ac:dyDescent="0.3">
      <c r="A726" s="1"/>
      <c r="S726" s="102"/>
      <c r="T726" s="102"/>
      <c r="U726" s="102"/>
    </row>
    <row r="727" spans="1:21" ht="14.25" customHeight="1" x14ac:dyDescent="0.3">
      <c r="A727" s="1"/>
      <c r="S727" s="102"/>
      <c r="T727" s="102"/>
      <c r="U727" s="102"/>
    </row>
    <row r="728" spans="1:21" ht="14.25" customHeight="1" x14ac:dyDescent="0.3">
      <c r="A728" s="1"/>
      <c r="S728" s="102"/>
      <c r="T728" s="102"/>
      <c r="U728" s="102"/>
    </row>
    <row r="729" spans="1:21" ht="14.25" customHeight="1" x14ac:dyDescent="0.3">
      <c r="A729" s="1"/>
      <c r="S729" s="102"/>
      <c r="T729" s="102"/>
      <c r="U729" s="102"/>
    </row>
    <row r="730" spans="1:21" ht="14.25" customHeight="1" x14ac:dyDescent="0.3">
      <c r="A730" s="1"/>
      <c r="S730" s="102"/>
      <c r="T730" s="102"/>
      <c r="U730" s="102"/>
    </row>
    <row r="731" spans="1:21" ht="14.25" customHeight="1" x14ac:dyDescent="0.3">
      <c r="A731" s="1"/>
      <c r="S731" s="102"/>
      <c r="T731" s="102"/>
      <c r="U731" s="102"/>
    </row>
    <row r="732" spans="1:21" ht="14.25" customHeight="1" x14ac:dyDescent="0.3">
      <c r="A732" s="1"/>
      <c r="S732" s="102"/>
      <c r="T732" s="102"/>
      <c r="U732" s="102"/>
    </row>
    <row r="733" spans="1:21" ht="14.25" customHeight="1" x14ac:dyDescent="0.3">
      <c r="A733" s="1"/>
      <c r="S733" s="102"/>
      <c r="T733" s="102"/>
      <c r="U733" s="102"/>
    </row>
    <row r="734" spans="1:21" ht="14.25" customHeight="1" x14ac:dyDescent="0.3">
      <c r="A734" s="1"/>
      <c r="S734" s="102"/>
      <c r="T734" s="102"/>
      <c r="U734" s="102"/>
    </row>
    <row r="735" spans="1:21" ht="14.25" customHeight="1" x14ac:dyDescent="0.3">
      <c r="A735" s="1"/>
      <c r="S735" s="102"/>
      <c r="T735" s="102"/>
      <c r="U735" s="102"/>
    </row>
    <row r="736" spans="1:21" ht="14.25" customHeight="1" x14ac:dyDescent="0.3">
      <c r="A736" s="1"/>
      <c r="S736" s="102"/>
      <c r="T736" s="102"/>
      <c r="U736" s="102"/>
    </row>
    <row r="737" spans="1:21" ht="14.25" customHeight="1" x14ac:dyDescent="0.3">
      <c r="A737" s="1"/>
      <c r="S737" s="102"/>
      <c r="T737" s="102"/>
      <c r="U737" s="102"/>
    </row>
    <row r="738" spans="1:21" ht="14.25" customHeight="1" x14ac:dyDescent="0.3">
      <c r="A738" s="1"/>
      <c r="S738" s="102"/>
      <c r="T738" s="102"/>
      <c r="U738" s="102"/>
    </row>
    <row r="739" spans="1:21" ht="14.25" customHeight="1" x14ac:dyDescent="0.3">
      <c r="A739" s="1"/>
      <c r="S739" s="102"/>
      <c r="T739" s="102"/>
      <c r="U739" s="102"/>
    </row>
    <row r="740" spans="1:21" ht="14.25" customHeight="1" x14ac:dyDescent="0.3">
      <c r="A740" s="1"/>
      <c r="S740" s="102"/>
      <c r="T740" s="102"/>
      <c r="U740" s="102"/>
    </row>
    <row r="741" spans="1:21" ht="14.25" customHeight="1" x14ac:dyDescent="0.3">
      <c r="A741" s="1"/>
      <c r="S741" s="102"/>
      <c r="T741" s="102"/>
      <c r="U741" s="102"/>
    </row>
    <row r="742" spans="1:21" ht="14.25" customHeight="1" x14ac:dyDescent="0.3">
      <c r="A742" s="1"/>
      <c r="S742" s="102"/>
      <c r="T742" s="102"/>
      <c r="U742" s="102"/>
    </row>
    <row r="743" spans="1:21" ht="14.25" customHeight="1" x14ac:dyDescent="0.3">
      <c r="A743" s="1"/>
      <c r="S743" s="102"/>
      <c r="T743" s="102"/>
      <c r="U743" s="102"/>
    </row>
    <row r="744" spans="1:21" ht="14.25" customHeight="1" x14ac:dyDescent="0.3">
      <c r="A744" s="1"/>
      <c r="S744" s="102"/>
      <c r="T744" s="102"/>
      <c r="U744" s="102"/>
    </row>
    <row r="745" spans="1:21" ht="14.25" customHeight="1" x14ac:dyDescent="0.3">
      <c r="A745" s="1"/>
      <c r="S745" s="102"/>
      <c r="T745" s="102"/>
      <c r="U745" s="102"/>
    </row>
    <row r="746" spans="1:21" ht="14.25" customHeight="1" x14ac:dyDescent="0.3">
      <c r="A746" s="1"/>
      <c r="S746" s="102"/>
      <c r="T746" s="102"/>
      <c r="U746" s="102"/>
    </row>
    <row r="747" spans="1:21" ht="14.25" customHeight="1" x14ac:dyDescent="0.3">
      <c r="A747" s="1"/>
      <c r="S747" s="102"/>
      <c r="T747" s="102"/>
      <c r="U747" s="102"/>
    </row>
    <row r="748" spans="1:21" ht="14.25" customHeight="1" x14ac:dyDescent="0.3">
      <c r="A748" s="1"/>
      <c r="S748" s="102"/>
      <c r="T748" s="102"/>
      <c r="U748" s="102"/>
    </row>
    <row r="749" spans="1:21" ht="14.25" customHeight="1" x14ac:dyDescent="0.3">
      <c r="A749" s="1"/>
      <c r="S749" s="102"/>
      <c r="T749" s="102"/>
      <c r="U749" s="102"/>
    </row>
    <row r="750" spans="1:21" ht="14.25" customHeight="1" x14ac:dyDescent="0.3">
      <c r="A750" s="1"/>
      <c r="S750" s="102"/>
      <c r="T750" s="102"/>
      <c r="U750" s="102"/>
    </row>
    <row r="751" spans="1:21" ht="14.25" customHeight="1" x14ac:dyDescent="0.3">
      <c r="A751" s="1"/>
      <c r="S751" s="102"/>
      <c r="T751" s="102"/>
      <c r="U751" s="102"/>
    </row>
    <row r="752" spans="1:21" ht="14.25" customHeight="1" x14ac:dyDescent="0.3">
      <c r="A752" s="1"/>
      <c r="S752" s="102"/>
      <c r="T752" s="102"/>
      <c r="U752" s="102"/>
    </row>
    <row r="753" spans="1:21" ht="14.25" customHeight="1" x14ac:dyDescent="0.3">
      <c r="A753" s="1"/>
      <c r="S753" s="102"/>
      <c r="T753" s="102"/>
      <c r="U753" s="102"/>
    </row>
    <row r="754" spans="1:21" ht="14.25" customHeight="1" x14ac:dyDescent="0.3">
      <c r="A754" s="1"/>
      <c r="S754" s="102"/>
      <c r="T754" s="102"/>
      <c r="U754" s="102"/>
    </row>
    <row r="755" spans="1:21" ht="14.25" customHeight="1" x14ac:dyDescent="0.3">
      <c r="A755" s="1"/>
      <c r="S755" s="102"/>
      <c r="T755" s="102"/>
      <c r="U755" s="102"/>
    </row>
    <row r="756" spans="1:21" ht="14.25" customHeight="1" x14ac:dyDescent="0.3">
      <c r="A756" s="1"/>
      <c r="S756" s="102"/>
      <c r="T756" s="102"/>
      <c r="U756" s="102"/>
    </row>
    <row r="757" spans="1:21" ht="14.25" customHeight="1" x14ac:dyDescent="0.3">
      <c r="A757" s="1"/>
      <c r="S757" s="102"/>
      <c r="T757" s="102"/>
      <c r="U757" s="102"/>
    </row>
    <row r="758" spans="1:21" ht="14.25" customHeight="1" x14ac:dyDescent="0.3">
      <c r="A758" s="1"/>
      <c r="S758" s="102"/>
      <c r="T758" s="102"/>
      <c r="U758" s="102"/>
    </row>
    <row r="759" spans="1:21" ht="14.25" customHeight="1" x14ac:dyDescent="0.3">
      <c r="A759" s="1"/>
      <c r="S759" s="102"/>
      <c r="T759" s="102"/>
      <c r="U759" s="102"/>
    </row>
    <row r="760" spans="1:21" ht="14.25" customHeight="1" x14ac:dyDescent="0.3">
      <c r="A760" s="1"/>
      <c r="S760" s="102"/>
      <c r="T760" s="102"/>
      <c r="U760" s="102"/>
    </row>
    <row r="761" spans="1:21" ht="14.25" customHeight="1" x14ac:dyDescent="0.3">
      <c r="A761" s="1"/>
      <c r="S761" s="102"/>
      <c r="T761" s="102"/>
      <c r="U761" s="102"/>
    </row>
    <row r="762" spans="1:21" ht="14.25" customHeight="1" x14ac:dyDescent="0.3">
      <c r="A762" s="1"/>
      <c r="S762" s="102"/>
      <c r="T762" s="102"/>
      <c r="U762" s="102"/>
    </row>
    <row r="763" spans="1:21" ht="14.25" customHeight="1" x14ac:dyDescent="0.3">
      <c r="A763" s="1"/>
      <c r="S763" s="102"/>
      <c r="T763" s="102"/>
      <c r="U763" s="102"/>
    </row>
    <row r="764" spans="1:21" ht="14.25" customHeight="1" x14ac:dyDescent="0.3">
      <c r="A764" s="1"/>
      <c r="S764" s="102"/>
      <c r="T764" s="102"/>
      <c r="U764" s="102"/>
    </row>
    <row r="765" spans="1:21" ht="14.25" customHeight="1" x14ac:dyDescent="0.3">
      <c r="A765" s="1"/>
      <c r="S765" s="102"/>
      <c r="T765" s="102"/>
      <c r="U765" s="102"/>
    </row>
    <row r="766" spans="1:21" ht="14.25" customHeight="1" x14ac:dyDescent="0.3">
      <c r="A766" s="1"/>
      <c r="S766" s="102"/>
      <c r="T766" s="102"/>
      <c r="U766" s="102"/>
    </row>
    <row r="767" spans="1:21" ht="14.25" customHeight="1" x14ac:dyDescent="0.3">
      <c r="A767" s="1"/>
      <c r="S767" s="102"/>
      <c r="T767" s="102"/>
      <c r="U767" s="102"/>
    </row>
    <row r="768" spans="1:21" ht="14.25" customHeight="1" x14ac:dyDescent="0.3">
      <c r="A768" s="1"/>
      <c r="S768" s="102"/>
      <c r="T768" s="102"/>
      <c r="U768" s="102"/>
    </row>
    <row r="769" spans="1:21" ht="14.25" customHeight="1" x14ac:dyDescent="0.3">
      <c r="A769" s="1"/>
      <c r="S769" s="102"/>
      <c r="T769" s="102"/>
      <c r="U769" s="102"/>
    </row>
    <row r="770" spans="1:21" ht="14.25" customHeight="1" x14ac:dyDescent="0.3">
      <c r="A770" s="1"/>
      <c r="S770" s="102"/>
      <c r="T770" s="102"/>
      <c r="U770" s="102"/>
    </row>
    <row r="771" spans="1:21" ht="14.25" customHeight="1" x14ac:dyDescent="0.3">
      <c r="A771" s="1"/>
      <c r="S771" s="102"/>
      <c r="T771" s="102"/>
      <c r="U771" s="102"/>
    </row>
    <row r="772" spans="1:21" ht="14.25" customHeight="1" x14ac:dyDescent="0.3">
      <c r="A772" s="1"/>
      <c r="S772" s="102"/>
      <c r="T772" s="102"/>
      <c r="U772" s="102"/>
    </row>
    <row r="773" spans="1:21" ht="14.25" customHeight="1" x14ac:dyDescent="0.3">
      <c r="A773" s="1"/>
      <c r="S773" s="102"/>
      <c r="T773" s="102"/>
      <c r="U773" s="102"/>
    </row>
    <row r="774" spans="1:21" ht="14.25" customHeight="1" x14ac:dyDescent="0.3">
      <c r="A774" s="1"/>
      <c r="S774" s="102"/>
      <c r="T774" s="102"/>
      <c r="U774" s="102"/>
    </row>
    <row r="775" spans="1:21" ht="14.25" customHeight="1" x14ac:dyDescent="0.3">
      <c r="A775" s="1"/>
      <c r="S775" s="102"/>
      <c r="T775" s="102"/>
      <c r="U775" s="102"/>
    </row>
    <row r="776" spans="1:21" ht="14.25" customHeight="1" x14ac:dyDescent="0.3">
      <c r="A776" s="1"/>
      <c r="S776" s="102"/>
      <c r="T776" s="102"/>
      <c r="U776" s="102"/>
    </row>
    <row r="777" spans="1:21" ht="14.25" customHeight="1" x14ac:dyDescent="0.3">
      <c r="A777" s="1"/>
      <c r="S777" s="102"/>
      <c r="T777" s="102"/>
      <c r="U777" s="102"/>
    </row>
    <row r="778" spans="1:21" ht="14.25" customHeight="1" x14ac:dyDescent="0.3">
      <c r="A778" s="1"/>
      <c r="S778" s="102"/>
      <c r="T778" s="102"/>
      <c r="U778" s="102"/>
    </row>
    <row r="779" spans="1:21" ht="14.25" customHeight="1" x14ac:dyDescent="0.3">
      <c r="A779" s="1"/>
      <c r="S779" s="102"/>
      <c r="T779" s="102"/>
      <c r="U779" s="102"/>
    </row>
    <row r="780" spans="1:21" ht="14.25" customHeight="1" x14ac:dyDescent="0.3">
      <c r="A780" s="1"/>
      <c r="S780" s="102"/>
      <c r="T780" s="102"/>
      <c r="U780" s="102"/>
    </row>
    <row r="781" spans="1:21" ht="14.25" customHeight="1" x14ac:dyDescent="0.3">
      <c r="A781" s="1"/>
      <c r="S781" s="102"/>
      <c r="T781" s="102"/>
      <c r="U781" s="102"/>
    </row>
    <row r="782" spans="1:21" ht="14.25" customHeight="1" x14ac:dyDescent="0.3">
      <c r="A782" s="1"/>
      <c r="S782" s="102"/>
      <c r="T782" s="102"/>
      <c r="U782" s="102"/>
    </row>
    <row r="783" spans="1:21" ht="14.25" customHeight="1" x14ac:dyDescent="0.3">
      <c r="A783" s="1"/>
      <c r="S783" s="102"/>
      <c r="T783" s="102"/>
      <c r="U783" s="102"/>
    </row>
    <row r="784" spans="1:21" ht="14.25" customHeight="1" x14ac:dyDescent="0.3">
      <c r="A784" s="1"/>
      <c r="S784" s="102"/>
      <c r="T784" s="102"/>
      <c r="U784" s="102"/>
    </row>
    <row r="785" spans="1:21" ht="14.25" customHeight="1" x14ac:dyDescent="0.3">
      <c r="A785" s="1"/>
      <c r="S785" s="102"/>
      <c r="T785" s="102"/>
      <c r="U785" s="102"/>
    </row>
    <row r="786" spans="1:21" ht="14.25" customHeight="1" x14ac:dyDescent="0.3">
      <c r="A786" s="1"/>
      <c r="S786" s="102"/>
      <c r="T786" s="102"/>
      <c r="U786" s="102"/>
    </row>
    <row r="787" spans="1:21" ht="14.25" customHeight="1" x14ac:dyDescent="0.3">
      <c r="A787" s="1"/>
      <c r="S787" s="102"/>
      <c r="T787" s="102"/>
      <c r="U787" s="102"/>
    </row>
    <row r="788" spans="1:21" ht="14.25" customHeight="1" x14ac:dyDescent="0.3">
      <c r="A788" s="1"/>
      <c r="S788" s="102"/>
      <c r="T788" s="102"/>
      <c r="U788" s="102"/>
    </row>
    <row r="789" spans="1:21" ht="14.25" customHeight="1" x14ac:dyDescent="0.3">
      <c r="A789" s="1"/>
      <c r="S789" s="102"/>
      <c r="T789" s="102"/>
      <c r="U789" s="102"/>
    </row>
    <row r="790" spans="1:21" ht="14.25" customHeight="1" x14ac:dyDescent="0.3">
      <c r="A790" s="1"/>
      <c r="S790" s="102"/>
      <c r="T790" s="102"/>
      <c r="U790" s="102"/>
    </row>
    <row r="791" spans="1:21" ht="14.25" customHeight="1" x14ac:dyDescent="0.3">
      <c r="A791" s="1"/>
      <c r="S791" s="102"/>
      <c r="T791" s="102"/>
      <c r="U791" s="102"/>
    </row>
    <row r="792" spans="1:21" ht="14.25" customHeight="1" x14ac:dyDescent="0.3">
      <c r="A792" s="1"/>
      <c r="S792" s="102"/>
      <c r="T792" s="102"/>
      <c r="U792" s="102"/>
    </row>
    <row r="793" spans="1:21" ht="14.25" customHeight="1" x14ac:dyDescent="0.3">
      <c r="A793" s="1"/>
      <c r="S793" s="102"/>
      <c r="T793" s="102"/>
      <c r="U793" s="102"/>
    </row>
    <row r="794" spans="1:21" ht="14.25" customHeight="1" x14ac:dyDescent="0.3">
      <c r="A794" s="1"/>
      <c r="S794" s="102"/>
      <c r="T794" s="102"/>
      <c r="U794" s="102"/>
    </row>
    <row r="795" spans="1:21" ht="14.25" customHeight="1" x14ac:dyDescent="0.3">
      <c r="A795" s="1"/>
      <c r="S795" s="102"/>
      <c r="T795" s="102"/>
      <c r="U795" s="102"/>
    </row>
    <row r="796" spans="1:21" ht="14.25" customHeight="1" x14ac:dyDescent="0.3">
      <c r="A796" s="1"/>
      <c r="S796" s="102"/>
      <c r="T796" s="102"/>
      <c r="U796" s="102"/>
    </row>
    <row r="797" spans="1:21" ht="14.25" customHeight="1" x14ac:dyDescent="0.3">
      <c r="A797" s="1"/>
      <c r="S797" s="102"/>
      <c r="T797" s="102"/>
      <c r="U797" s="102"/>
    </row>
    <row r="798" spans="1:21" ht="14.25" customHeight="1" x14ac:dyDescent="0.3">
      <c r="A798" s="1"/>
      <c r="S798" s="102"/>
      <c r="T798" s="102"/>
      <c r="U798" s="102"/>
    </row>
    <row r="799" spans="1:21" ht="14.25" customHeight="1" x14ac:dyDescent="0.3">
      <c r="A799" s="1"/>
      <c r="S799" s="102"/>
      <c r="T799" s="102"/>
      <c r="U799" s="102"/>
    </row>
    <row r="800" spans="1:21" ht="14.25" customHeight="1" x14ac:dyDescent="0.3">
      <c r="A800" s="1"/>
      <c r="S800" s="102"/>
      <c r="T800" s="102"/>
      <c r="U800" s="102"/>
    </row>
    <row r="801" spans="1:21" ht="14.25" customHeight="1" x14ac:dyDescent="0.3">
      <c r="A801" s="1"/>
      <c r="S801" s="102"/>
      <c r="T801" s="102"/>
      <c r="U801" s="102"/>
    </row>
    <row r="802" spans="1:21" ht="14.25" customHeight="1" x14ac:dyDescent="0.3">
      <c r="A802" s="1"/>
      <c r="S802" s="102"/>
      <c r="T802" s="102"/>
      <c r="U802" s="102"/>
    </row>
    <row r="803" spans="1:21" ht="14.25" customHeight="1" x14ac:dyDescent="0.3">
      <c r="A803" s="1"/>
      <c r="S803" s="102"/>
      <c r="T803" s="102"/>
      <c r="U803" s="102"/>
    </row>
    <row r="804" spans="1:21" ht="14.25" customHeight="1" x14ac:dyDescent="0.3">
      <c r="A804" s="1"/>
      <c r="S804" s="102"/>
      <c r="T804" s="102"/>
      <c r="U804" s="102"/>
    </row>
    <row r="805" spans="1:21" ht="14.25" customHeight="1" x14ac:dyDescent="0.3">
      <c r="A805" s="1"/>
      <c r="S805" s="102"/>
      <c r="T805" s="102"/>
      <c r="U805" s="102"/>
    </row>
    <row r="806" spans="1:21" ht="14.25" customHeight="1" x14ac:dyDescent="0.3">
      <c r="A806" s="1"/>
      <c r="S806" s="102"/>
      <c r="T806" s="102"/>
      <c r="U806" s="102"/>
    </row>
    <row r="807" spans="1:21" ht="14.25" customHeight="1" x14ac:dyDescent="0.3">
      <c r="A807" s="1"/>
      <c r="S807" s="102"/>
      <c r="T807" s="102"/>
      <c r="U807" s="102"/>
    </row>
    <row r="808" spans="1:21" ht="14.25" customHeight="1" x14ac:dyDescent="0.3">
      <c r="A808" s="1"/>
      <c r="S808" s="102"/>
      <c r="T808" s="102"/>
      <c r="U808" s="102"/>
    </row>
    <row r="809" spans="1:21" ht="14.25" customHeight="1" x14ac:dyDescent="0.3">
      <c r="A809" s="1"/>
      <c r="S809" s="102"/>
      <c r="T809" s="102"/>
      <c r="U809" s="102"/>
    </row>
    <row r="810" spans="1:21" ht="14.25" customHeight="1" x14ac:dyDescent="0.3">
      <c r="A810" s="1"/>
      <c r="S810" s="102"/>
      <c r="T810" s="102"/>
      <c r="U810" s="102"/>
    </row>
    <row r="811" spans="1:21" ht="14.25" customHeight="1" x14ac:dyDescent="0.3">
      <c r="A811" s="1"/>
      <c r="S811" s="102"/>
      <c r="T811" s="102"/>
      <c r="U811" s="102"/>
    </row>
    <row r="812" spans="1:21" ht="14.25" customHeight="1" x14ac:dyDescent="0.3">
      <c r="A812" s="1"/>
      <c r="S812" s="102"/>
      <c r="T812" s="102"/>
      <c r="U812" s="102"/>
    </row>
    <row r="813" spans="1:21" ht="14.25" customHeight="1" x14ac:dyDescent="0.3">
      <c r="A813" s="1"/>
      <c r="S813" s="102"/>
      <c r="T813" s="102"/>
      <c r="U813" s="102"/>
    </row>
    <row r="814" spans="1:21" ht="14.25" customHeight="1" x14ac:dyDescent="0.3">
      <c r="A814" s="1"/>
      <c r="S814" s="102"/>
      <c r="T814" s="102"/>
      <c r="U814" s="102"/>
    </row>
    <row r="815" spans="1:21" ht="14.25" customHeight="1" x14ac:dyDescent="0.3">
      <c r="A815" s="1"/>
      <c r="S815" s="102"/>
      <c r="T815" s="102"/>
      <c r="U815" s="102"/>
    </row>
    <row r="816" spans="1:21" ht="14.25" customHeight="1" x14ac:dyDescent="0.3">
      <c r="A816" s="1"/>
      <c r="S816" s="102"/>
      <c r="T816" s="102"/>
      <c r="U816" s="102"/>
    </row>
    <row r="817" spans="1:21" ht="14.25" customHeight="1" x14ac:dyDescent="0.3">
      <c r="A817" s="1"/>
      <c r="S817" s="102"/>
      <c r="T817" s="102"/>
      <c r="U817" s="102"/>
    </row>
    <row r="818" spans="1:21" ht="14.25" customHeight="1" x14ac:dyDescent="0.3">
      <c r="A818" s="1"/>
      <c r="S818" s="102"/>
      <c r="T818" s="102"/>
      <c r="U818" s="102"/>
    </row>
    <row r="819" spans="1:21" ht="14.25" customHeight="1" x14ac:dyDescent="0.3">
      <c r="A819" s="1"/>
      <c r="S819" s="102"/>
      <c r="T819" s="102"/>
      <c r="U819" s="102"/>
    </row>
    <row r="820" spans="1:21" ht="14.25" customHeight="1" x14ac:dyDescent="0.3">
      <c r="A820" s="1"/>
      <c r="S820" s="102"/>
      <c r="T820" s="102"/>
      <c r="U820" s="102"/>
    </row>
    <row r="821" spans="1:21" ht="14.25" customHeight="1" x14ac:dyDescent="0.3">
      <c r="A821" s="1"/>
      <c r="S821" s="102"/>
      <c r="T821" s="102"/>
      <c r="U821" s="102"/>
    </row>
    <row r="822" spans="1:21" ht="14.25" customHeight="1" x14ac:dyDescent="0.3">
      <c r="A822" s="1"/>
      <c r="S822" s="102"/>
      <c r="T822" s="102"/>
      <c r="U822" s="102"/>
    </row>
    <row r="823" spans="1:21" ht="14.25" customHeight="1" x14ac:dyDescent="0.3">
      <c r="A823" s="1"/>
      <c r="S823" s="102"/>
      <c r="T823" s="102"/>
      <c r="U823" s="102"/>
    </row>
    <row r="824" spans="1:21" ht="14.25" customHeight="1" x14ac:dyDescent="0.3">
      <c r="A824" s="1"/>
      <c r="S824" s="102"/>
      <c r="T824" s="102"/>
      <c r="U824" s="102"/>
    </row>
    <row r="825" spans="1:21" ht="14.25" customHeight="1" x14ac:dyDescent="0.3">
      <c r="A825" s="1"/>
      <c r="S825" s="102"/>
      <c r="T825" s="102"/>
      <c r="U825" s="102"/>
    </row>
    <row r="826" spans="1:21" ht="14.25" customHeight="1" x14ac:dyDescent="0.3">
      <c r="A826" s="1"/>
      <c r="S826" s="102"/>
      <c r="T826" s="102"/>
      <c r="U826" s="102"/>
    </row>
    <row r="827" spans="1:21" ht="14.25" customHeight="1" x14ac:dyDescent="0.3">
      <c r="A827" s="1"/>
      <c r="S827" s="102"/>
      <c r="T827" s="102"/>
      <c r="U827" s="102"/>
    </row>
    <row r="828" spans="1:21" ht="14.25" customHeight="1" x14ac:dyDescent="0.3">
      <c r="A828" s="1"/>
      <c r="S828" s="102"/>
      <c r="T828" s="102"/>
      <c r="U828" s="102"/>
    </row>
    <row r="829" spans="1:21" ht="14.25" customHeight="1" x14ac:dyDescent="0.3">
      <c r="A829" s="1"/>
      <c r="S829" s="102"/>
      <c r="T829" s="102"/>
      <c r="U829" s="102"/>
    </row>
    <row r="830" spans="1:21" ht="14.25" customHeight="1" x14ac:dyDescent="0.3">
      <c r="A830" s="1"/>
      <c r="S830" s="102"/>
      <c r="T830" s="102"/>
      <c r="U830" s="102"/>
    </row>
    <row r="831" spans="1:21" ht="14.25" customHeight="1" x14ac:dyDescent="0.3">
      <c r="A831" s="1"/>
      <c r="S831" s="102"/>
      <c r="T831" s="102"/>
      <c r="U831" s="102"/>
    </row>
    <row r="832" spans="1:21" ht="14.25" customHeight="1" x14ac:dyDescent="0.3">
      <c r="A832" s="1"/>
      <c r="S832" s="102"/>
      <c r="T832" s="102"/>
      <c r="U832" s="102"/>
    </row>
    <row r="833" spans="1:21" ht="14.25" customHeight="1" x14ac:dyDescent="0.3">
      <c r="A833" s="1"/>
      <c r="S833" s="102"/>
      <c r="T833" s="102"/>
      <c r="U833" s="102"/>
    </row>
    <row r="834" spans="1:21" ht="14.25" customHeight="1" x14ac:dyDescent="0.3">
      <c r="A834" s="1"/>
      <c r="S834" s="102"/>
      <c r="T834" s="102"/>
      <c r="U834" s="102"/>
    </row>
    <row r="835" spans="1:21" ht="14.25" customHeight="1" x14ac:dyDescent="0.3">
      <c r="A835" s="1"/>
      <c r="S835" s="102"/>
      <c r="T835" s="102"/>
      <c r="U835" s="102"/>
    </row>
    <row r="836" spans="1:21" ht="14.25" customHeight="1" x14ac:dyDescent="0.3">
      <c r="A836" s="1"/>
      <c r="S836" s="102"/>
      <c r="T836" s="102"/>
      <c r="U836" s="102"/>
    </row>
    <row r="837" spans="1:21" ht="14.25" customHeight="1" x14ac:dyDescent="0.3">
      <c r="A837" s="1"/>
      <c r="S837" s="102"/>
      <c r="T837" s="102"/>
      <c r="U837" s="102"/>
    </row>
    <row r="838" spans="1:21" ht="14.25" customHeight="1" x14ac:dyDescent="0.3">
      <c r="A838" s="1"/>
      <c r="S838" s="102"/>
      <c r="T838" s="102"/>
      <c r="U838" s="102"/>
    </row>
    <row r="839" spans="1:21" ht="14.25" customHeight="1" x14ac:dyDescent="0.3">
      <c r="A839" s="1"/>
      <c r="S839" s="102"/>
      <c r="T839" s="102"/>
      <c r="U839" s="102"/>
    </row>
    <row r="840" spans="1:21" ht="14.25" customHeight="1" x14ac:dyDescent="0.3">
      <c r="A840" s="1"/>
      <c r="S840" s="102"/>
      <c r="T840" s="102"/>
      <c r="U840" s="102"/>
    </row>
    <row r="841" spans="1:21" ht="14.25" customHeight="1" x14ac:dyDescent="0.3">
      <c r="A841" s="1"/>
      <c r="S841" s="102"/>
      <c r="T841" s="102"/>
      <c r="U841" s="102"/>
    </row>
    <row r="842" spans="1:21" ht="14.25" customHeight="1" x14ac:dyDescent="0.3">
      <c r="A842" s="1"/>
      <c r="S842" s="102"/>
      <c r="T842" s="102"/>
      <c r="U842" s="102"/>
    </row>
    <row r="843" spans="1:21" ht="14.25" customHeight="1" x14ac:dyDescent="0.3">
      <c r="A843" s="1"/>
      <c r="S843" s="102"/>
      <c r="T843" s="102"/>
      <c r="U843" s="102"/>
    </row>
    <row r="844" spans="1:21" ht="14.25" customHeight="1" x14ac:dyDescent="0.3">
      <c r="A844" s="1"/>
      <c r="S844" s="102"/>
      <c r="T844" s="102"/>
      <c r="U844" s="102"/>
    </row>
    <row r="845" spans="1:21" ht="14.25" customHeight="1" x14ac:dyDescent="0.3">
      <c r="A845" s="1"/>
      <c r="S845" s="102"/>
      <c r="T845" s="102"/>
      <c r="U845" s="102"/>
    </row>
    <row r="846" spans="1:21" ht="14.25" customHeight="1" x14ac:dyDescent="0.3">
      <c r="A846" s="1"/>
      <c r="S846" s="102"/>
      <c r="T846" s="102"/>
      <c r="U846" s="102"/>
    </row>
    <row r="847" spans="1:21" ht="14.25" customHeight="1" x14ac:dyDescent="0.3">
      <c r="A847" s="1"/>
      <c r="S847" s="102"/>
      <c r="T847" s="102"/>
      <c r="U847" s="102"/>
    </row>
    <row r="848" spans="1:21" ht="14.25" customHeight="1" x14ac:dyDescent="0.3">
      <c r="A848" s="1"/>
      <c r="S848" s="102"/>
      <c r="T848" s="102"/>
      <c r="U848" s="102"/>
    </row>
    <row r="849" spans="1:21" ht="14.25" customHeight="1" x14ac:dyDescent="0.3">
      <c r="A849" s="1"/>
      <c r="S849" s="102"/>
      <c r="T849" s="102"/>
      <c r="U849" s="102"/>
    </row>
    <row r="850" spans="1:21" ht="14.25" customHeight="1" x14ac:dyDescent="0.3">
      <c r="A850" s="1"/>
      <c r="S850" s="102"/>
      <c r="T850" s="102"/>
      <c r="U850" s="102"/>
    </row>
    <row r="851" spans="1:21" ht="14.25" customHeight="1" x14ac:dyDescent="0.3">
      <c r="A851" s="1"/>
      <c r="S851" s="102"/>
      <c r="T851" s="102"/>
      <c r="U851" s="102"/>
    </row>
    <row r="852" spans="1:21" ht="14.25" customHeight="1" x14ac:dyDescent="0.3">
      <c r="A852" s="1"/>
      <c r="S852" s="102"/>
      <c r="T852" s="102"/>
      <c r="U852" s="102"/>
    </row>
    <row r="853" spans="1:21" ht="14.25" customHeight="1" x14ac:dyDescent="0.3">
      <c r="A853" s="1"/>
      <c r="S853" s="102"/>
      <c r="T853" s="102"/>
      <c r="U853" s="102"/>
    </row>
    <row r="854" spans="1:21" ht="14.25" customHeight="1" x14ac:dyDescent="0.3">
      <c r="A854" s="1"/>
      <c r="S854" s="102"/>
      <c r="T854" s="102"/>
      <c r="U854" s="102"/>
    </row>
    <row r="855" spans="1:21" ht="14.25" customHeight="1" x14ac:dyDescent="0.3">
      <c r="A855" s="1"/>
      <c r="S855" s="102"/>
      <c r="T855" s="102"/>
      <c r="U855" s="102"/>
    </row>
    <row r="856" spans="1:21" ht="14.25" customHeight="1" x14ac:dyDescent="0.3">
      <c r="A856" s="1"/>
      <c r="S856" s="102"/>
      <c r="T856" s="102"/>
      <c r="U856" s="102"/>
    </row>
    <row r="857" spans="1:21" ht="14.25" customHeight="1" x14ac:dyDescent="0.3">
      <c r="A857" s="1"/>
      <c r="S857" s="102"/>
      <c r="T857" s="102"/>
      <c r="U857" s="102"/>
    </row>
    <row r="858" spans="1:21" ht="14.25" customHeight="1" x14ac:dyDescent="0.3">
      <c r="A858" s="1"/>
      <c r="S858" s="102"/>
      <c r="T858" s="102"/>
      <c r="U858" s="102"/>
    </row>
    <row r="859" spans="1:21" ht="14.25" customHeight="1" x14ac:dyDescent="0.3">
      <c r="A859" s="1"/>
      <c r="S859" s="102"/>
      <c r="T859" s="102"/>
      <c r="U859" s="102"/>
    </row>
    <row r="860" spans="1:21" ht="14.25" customHeight="1" x14ac:dyDescent="0.3">
      <c r="A860" s="1"/>
      <c r="S860" s="102"/>
      <c r="T860" s="102"/>
      <c r="U860" s="102"/>
    </row>
    <row r="861" spans="1:21" ht="14.25" customHeight="1" x14ac:dyDescent="0.3">
      <c r="A861" s="1"/>
      <c r="S861" s="102"/>
      <c r="T861" s="102"/>
      <c r="U861" s="102"/>
    </row>
    <row r="862" spans="1:21" ht="14.25" customHeight="1" x14ac:dyDescent="0.3">
      <c r="A862" s="1"/>
      <c r="S862" s="102"/>
      <c r="T862" s="102"/>
      <c r="U862" s="102"/>
    </row>
    <row r="863" spans="1:21" ht="14.25" customHeight="1" x14ac:dyDescent="0.3">
      <c r="A863" s="1"/>
      <c r="S863" s="102"/>
      <c r="T863" s="102"/>
      <c r="U863" s="102"/>
    </row>
    <row r="864" spans="1:21" ht="14.25" customHeight="1" x14ac:dyDescent="0.3">
      <c r="A864" s="1"/>
      <c r="S864" s="102"/>
      <c r="T864" s="102"/>
      <c r="U864" s="102"/>
    </row>
    <row r="865" spans="1:21" ht="14.25" customHeight="1" x14ac:dyDescent="0.3">
      <c r="A865" s="1"/>
      <c r="S865" s="102"/>
      <c r="T865" s="102"/>
      <c r="U865" s="102"/>
    </row>
    <row r="866" spans="1:21" ht="14.25" customHeight="1" x14ac:dyDescent="0.3">
      <c r="A866" s="1"/>
      <c r="S866" s="102"/>
      <c r="T866" s="102"/>
      <c r="U866" s="102"/>
    </row>
    <row r="867" spans="1:21" ht="14.25" customHeight="1" x14ac:dyDescent="0.3">
      <c r="A867" s="1"/>
      <c r="S867" s="102"/>
      <c r="T867" s="102"/>
      <c r="U867" s="102"/>
    </row>
    <row r="868" spans="1:21" ht="14.25" customHeight="1" x14ac:dyDescent="0.3">
      <c r="A868" s="1"/>
      <c r="S868" s="102"/>
      <c r="T868" s="102"/>
      <c r="U868" s="102"/>
    </row>
    <row r="869" spans="1:21" ht="14.25" customHeight="1" x14ac:dyDescent="0.3">
      <c r="A869" s="1"/>
      <c r="S869" s="102"/>
      <c r="T869" s="102"/>
      <c r="U869" s="102"/>
    </row>
    <row r="870" spans="1:21" ht="14.25" customHeight="1" x14ac:dyDescent="0.3">
      <c r="A870" s="1"/>
      <c r="S870" s="102"/>
      <c r="T870" s="102"/>
      <c r="U870" s="102"/>
    </row>
    <row r="871" spans="1:21" ht="14.25" customHeight="1" x14ac:dyDescent="0.3">
      <c r="A871" s="1"/>
      <c r="S871" s="102"/>
      <c r="T871" s="102"/>
      <c r="U871" s="102"/>
    </row>
    <row r="872" spans="1:21" ht="14.25" customHeight="1" x14ac:dyDescent="0.3">
      <c r="A872" s="1"/>
      <c r="S872" s="102"/>
      <c r="T872" s="102"/>
      <c r="U872" s="102"/>
    </row>
    <row r="873" spans="1:21" ht="14.25" customHeight="1" x14ac:dyDescent="0.3">
      <c r="A873" s="1"/>
      <c r="S873" s="102"/>
      <c r="T873" s="102"/>
      <c r="U873" s="102"/>
    </row>
    <row r="874" spans="1:21" ht="14.25" customHeight="1" x14ac:dyDescent="0.3">
      <c r="A874" s="1"/>
      <c r="S874" s="102"/>
      <c r="T874" s="102"/>
      <c r="U874" s="102"/>
    </row>
    <row r="875" spans="1:21" ht="14.25" customHeight="1" x14ac:dyDescent="0.3">
      <c r="A875" s="1"/>
      <c r="S875" s="102"/>
      <c r="T875" s="102"/>
      <c r="U875" s="102"/>
    </row>
    <row r="876" spans="1:21" ht="14.25" customHeight="1" x14ac:dyDescent="0.3">
      <c r="A876" s="1"/>
      <c r="S876" s="102"/>
      <c r="T876" s="102"/>
      <c r="U876" s="102"/>
    </row>
    <row r="877" spans="1:21" ht="14.25" customHeight="1" x14ac:dyDescent="0.3">
      <c r="A877" s="1"/>
      <c r="S877" s="102"/>
      <c r="T877" s="102"/>
      <c r="U877" s="102"/>
    </row>
    <row r="878" spans="1:21" ht="14.25" customHeight="1" x14ac:dyDescent="0.3">
      <c r="A878" s="1"/>
      <c r="S878" s="102"/>
      <c r="T878" s="102"/>
      <c r="U878" s="102"/>
    </row>
    <row r="879" spans="1:21" ht="14.25" customHeight="1" x14ac:dyDescent="0.3">
      <c r="A879" s="1"/>
      <c r="S879" s="102"/>
      <c r="T879" s="102"/>
      <c r="U879" s="102"/>
    </row>
    <row r="880" spans="1:21" ht="14.25" customHeight="1" x14ac:dyDescent="0.3">
      <c r="A880" s="1"/>
      <c r="S880" s="102"/>
      <c r="T880" s="102"/>
      <c r="U880" s="102"/>
    </row>
    <row r="881" spans="1:21" ht="14.25" customHeight="1" x14ac:dyDescent="0.3">
      <c r="A881" s="1"/>
      <c r="S881" s="102"/>
      <c r="T881" s="102"/>
      <c r="U881" s="102"/>
    </row>
    <row r="882" spans="1:21" ht="14.25" customHeight="1" x14ac:dyDescent="0.3">
      <c r="A882" s="1"/>
      <c r="S882" s="102"/>
      <c r="T882" s="102"/>
      <c r="U882" s="102"/>
    </row>
    <row r="883" spans="1:21" ht="14.25" customHeight="1" x14ac:dyDescent="0.3">
      <c r="A883" s="1"/>
      <c r="S883" s="102"/>
      <c r="T883" s="102"/>
      <c r="U883" s="102"/>
    </row>
    <row r="884" spans="1:21" ht="14.25" customHeight="1" x14ac:dyDescent="0.3">
      <c r="A884" s="1"/>
      <c r="S884" s="102"/>
      <c r="T884" s="102"/>
      <c r="U884" s="102"/>
    </row>
    <row r="885" spans="1:21" ht="14.25" customHeight="1" x14ac:dyDescent="0.3">
      <c r="A885" s="1"/>
      <c r="S885" s="102"/>
      <c r="T885" s="102"/>
      <c r="U885" s="102"/>
    </row>
    <row r="886" spans="1:21" ht="14.25" customHeight="1" x14ac:dyDescent="0.3">
      <c r="A886" s="1"/>
      <c r="S886" s="102"/>
      <c r="T886" s="102"/>
      <c r="U886" s="102"/>
    </row>
    <row r="887" spans="1:21" ht="14.25" customHeight="1" x14ac:dyDescent="0.3">
      <c r="A887" s="1"/>
      <c r="S887" s="102"/>
      <c r="T887" s="102"/>
      <c r="U887" s="102"/>
    </row>
    <row r="888" spans="1:21" ht="14.25" customHeight="1" x14ac:dyDescent="0.3">
      <c r="A888" s="1"/>
      <c r="S888" s="102"/>
      <c r="T888" s="102"/>
      <c r="U888" s="102"/>
    </row>
    <row r="889" spans="1:21" ht="14.25" customHeight="1" x14ac:dyDescent="0.3">
      <c r="A889" s="1"/>
      <c r="S889" s="102"/>
      <c r="T889" s="102"/>
      <c r="U889" s="102"/>
    </row>
    <row r="890" spans="1:21" ht="14.25" customHeight="1" x14ac:dyDescent="0.3">
      <c r="A890" s="1"/>
      <c r="S890" s="102"/>
      <c r="T890" s="102"/>
      <c r="U890" s="102"/>
    </row>
    <row r="891" spans="1:21" ht="14.25" customHeight="1" x14ac:dyDescent="0.3">
      <c r="A891" s="1"/>
      <c r="S891" s="102"/>
      <c r="T891" s="102"/>
      <c r="U891" s="102"/>
    </row>
    <row r="892" spans="1:21" ht="14.25" customHeight="1" x14ac:dyDescent="0.3">
      <c r="A892" s="1"/>
      <c r="S892" s="102"/>
      <c r="T892" s="102"/>
      <c r="U892" s="102"/>
    </row>
    <row r="893" spans="1:21" ht="14.25" customHeight="1" x14ac:dyDescent="0.3">
      <c r="A893" s="1"/>
      <c r="S893" s="102"/>
      <c r="T893" s="102"/>
      <c r="U893" s="102"/>
    </row>
    <row r="894" spans="1:21" ht="14.25" customHeight="1" x14ac:dyDescent="0.3">
      <c r="A894" s="1"/>
      <c r="S894" s="102"/>
      <c r="T894" s="102"/>
      <c r="U894" s="102"/>
    </row>
    <row r="895" spans="1:21" ht="14.25" customHeight="1" x14ac:dyDescent="0.3">
      <c r="A895" s="1"/>
      <c r="S895" s="102"/>
      <c r="T895" s="102"/>
      <c r="U895" s="102"/>
    </row>
    <row r="896" spans="1:21" ht="14.25" customHeight="1" x14ac:dyDescent="0.3">
      <c r="A896" s="1"/>
      <c r="S896" s="102"/>
      <c r="T896" s="102"/>
      <c r="U896" s="102"/>
    </row>
    <row r="897" spans="1:21" ht="14.25" customHeight="1" x14ac:dyDescent="0.3">
      <c r="A897" s="1"/>
      <c r="S897" s="102"/>
      <c r="T897" s="102"/>
      <c r="U897" s="102"/>
    </row>
    <row r="898" spans="1:21" ht="14.25" customHeight="1" x14ac:dyDescent="0.3">
      <c r="A898" s="1"/>
      <c r="S898" s="102"/>
      <c r="T898" s="102"/>
      <c r="U898" s="102"/>
    </row>
    <row r="899" spans="1:21" ht="14.25" customHeight="1" x14ac:dyDescent="0.3">
      <c r="A899" s="1"/>
      <c r="S899" s="102"/>
      <c r="T899" s="102"/>
      <c r="U899" s="102"/>
    </row>
    <row r="900" spans="1:21" ht="14.25" customHeight="1" x14ac:dyDescent="0.3">
      <c r="A900" s="1"/>
      <c r="S900" s="102"/>
      <c r="T900" s="102"/>
      <c r="U900" s="102"/>
    </row>
    <row r="901" spans="1:21" ht="14.25" customHeight="1" x14ac:dyDescent="0.3">
      <c r="A901" s="1"/>
      <c r="S901" s="102"/>
      <c r="T901" s="102"/>
      <c r="U901" s="102"/>
    </row>
    <row r="902" spans="1:21" ht="14.25" customHeight="1" x14ac:dyDescent="0.3">
      <c r="A902" s="1"/>
      <c r="S902" s="102"/>
      <c r="T902" s="102"/>
      <c r="U902" s="102"/>
    </row>
    <row r="903" spans="1:21" ht="14.25" customHeight="1" x14ac:dyDescent="0.3">
      <c r="A903" s="1"/>
      <c r="S903" s="102"/>
      <c r="T903" s="102"/>
      <c r="U903" s="102"/>
    </row>
    <row r="904" spans="1:21" ht="14.25" customHeight="1" x14ac:dyDescent="0.3">
      <c r="A904" s="1"/>
      <c r="S904" s="102"/>
      <c r="T904" s="102"/>
      <c r="U904" s="102"/>
    </row>
    <row r="905" spans="1:21" ht="14.25" customHeight="1" x14ac:dyDescent="0.3">
      <c r="A905" s="1"/>
      <c r="S905" s="102"/>
      <c r="T905" s="102"/>
      <c r="U905" s="102"/>
    </row>
    <row r="906" spans="1:21" ht="14.25" customHeight="1" x14ac:dyDescent="0.3">
      <c r="A906" s="1"/>
      <c r="S906" s="102"/>
      <c r="T906" s="102"/>
      <c r="U906" s="102"/>
    </row>
    <row r="907" spans="1:21" ht="14.25" customHeight="1" x14ac:dyDescent="0.3">
      <c r="A907" s="1"/>
      <c r="S907" s="102"/>
      <c r="T907" s="102"/>
      <c r="U907" s="102"/>
    </row>
    <row r="908" spans="1:21" ht="14.25" customHeight="1" x14ac:dyDescent="0.3">
      <c r="A908" s="1"/>
      <c r="S908" s="102"/>
      <c r="T908" s="102"/>
      <c r="U908" s="102"/>
    </row>
    <row r="909" spans="1:21" ht="14.25" customHeight="1" x14ac:dyDescent="0.3">
      <c r="A909" s="1"/>
      <c r="S909" s="102"/>
      <c r="T909" s="102"/>
      <c r="U909" s="102"/>
    </row>
    <row r="910" spans="1:21" ht="14.25" customHeight="1" x14ac:dyDescent="0.3">
      <c r="A910" s="1"/>
      <c r="S910" s="102"/>
      <c r="T910" s="102"/>
      <c r="U910" s="102"/>
    </row>
    <row r="911" spans="1:21" ht="14.25" customHeight="1" x14ac:dyDescent="0.3">
      <c r="A911" s="1"/>
      <c r="S911" s="102"/>
      <c r="T911" s="102"/>
      <c r="U911" s="102"/>
    </row>
    <row r="912" spans="1:21" ht="14.25" customHeight="1" x14ac:dyDescent="0.3">
      <c r="A912" s="1"/>
      <c r="S912" s="102"/>
      <c r="T912" s="102"/>
      <c r="U912" s="102"/>
    </row>
    <row r="913" spans="1:21" ht="14.25" customHeight="1" x14ac:dyDescent="0.3">
      <c r="A913" s="1"/>
      <c r="S913" s="102"/>
      <c r="T913" s="102"/>
      <c r="U913" s="102"/>
    </row>
    <row r="914" spans="1:21" ht="14.25" customHeight="1" x14ac:dyDescent="0.3">
      <c r="A914" s="1"/>
      <c r="S914" s="102"/>
      <c r="T914" s="102"/>
      <c r="U914" s="102"/>
    </row>
    <row r="915" spans="1:21" ht="14.25" customHeight="1" x14ac:dyDescent="0.3">
      <c r="A915" s="1"/>
      <c r="S915" s="102"/>
      <c r="T915" s="102"/>
      <c r="U915" s="102"/>
    </row>
    <row r="916" spans="1:21" ht="14.25" customHeight="1" x14ac:dyDescent="0.3">
      <c r="A916" s="1"/>
      <c r="S916" s="102"/>
      <c r="T916" s="102"/>
      <c r="U916" s="102"/>
    </row>
    <row r="917" spans="1:21" ht="14.25" customHeight="1" x14ac:dyDescent="0.3">
      <c r="A917" s="1"/>
      <c r="S917" s="102"/>
      <c r="T917" s="102"/>
      <c r="U917" s="102"/>
    </row>
    <row r="918" spans="1:21" ht="14.25" customHeight="1" x14ac:dyDescent="0.3">
      <c r="A918" s="1"/>
      <c r="S918" s="102"/>
      <c r="T918" s="102"/>
      <c r="U918" s="102"/>
    </row>
    <row r="919" spans="1:21" ht="14.25" customHeight="1" x14ac:dyDescent="0.3">
      <c r="A919" s="1"/>
      <c r="S919" s="102"/>
      <c r="T919" s="102"/>
      <c r="U919" s="102"/>
    </row>
    <row r="920" spans="1:21" ht="14.25" customHeight="1" x14ac:dyDescent="0.3">
      <c r="A920" s="1"/>
      <c r="S920" s="102"/>
      <c r="T920" s="102"/>
      <c r="U920" s="102"/>
    </row>
    <row r="921" spans="1:21" ht="14.25" customHeight="1" x14ac:dyDescent="0.3">
      <c r="A921" s="1"/>
      <c r="S921" s="102"/>
      <c r="T921" s="102"/>
      <c r="U921" s="102"/>
    </row>
    <row r="922" spans="1:21" ht="14.25" customHeight="1" x14ac:dyDescent="0.3">
      <c r="A922" s="1"/>
      <c r="S922" s="102"/>
      <c r="T922" s="102"/>
      <c r="U922" s="102"/>
    </row>
    <row r="923" spans="1:21" ht="14.25" customHeight="1" x14ac:dyDescent="0.3">
      <c r="A923" s="1"/>
      <c r="S923" s="102"/>
      <c r="T923" s="102"/>
      <c r="U923" s="102"/>
    </row>
    <row r="924" spans="1:21" ht="14.25" customHeight="1" x14ac:dyDescent="0.3">
      <c r="A924" s="1"/>
      <c r="S924" s="102"/>
      <c r="T924" s="102"/>
      <c r="U924" s="102"/>
    </row>
    <row r="925" spans="1:21" ht="14.25" customHeight="1" x14ac:dyDescent="0.3">
      <c r="A925" s="1"/>
      <c r="S925" s="102"/>
      <c r="T925" s="102"/>
      <c r="U925" s="102"/>
    </row>
    <row r="926" spans="1:21" ht="14.25" customHeight="1" x14ac:dyDescent="0.3">
      <c r="A926" s="1"/>
      <c r="S926" s="102"/>
      <c r="T926" s="102"/>
      <c r="U926" s="102"/>
    </row>
    <row r="927" spans="1:21" ht="14.25" customHeight="1" x14ac:dyDescent="0.3">
      <c r="A927" s="1"/>
      <c r="S927" s="102"/>
      <c r="T927" s="102"/>
      <c r="U927" s="102"/>
    </row>
    <row r="928" spans="1:21" ht="14.25" customHeight="1" x14ac:dyDescent="0.3">
      <c r="A928" s="1"/>
      <c r="S928" s="102"/>
      <c r="T928" s="102"/>
      <c r="U928" s="102"/>
    </row>
    <row r="929" spans="1:21" ht="14.25" customHeight="1" x14ac:dyDescent="0.3">
      <c r="A929" s="1"/>
      <c r="S929" s="102"/>
      <c r="T929" s="102"/>
      <c r="U929" s="102"/>
    </row>
    <row r="930" spans="1:21" ht="14.25" customHeight="1" x14ac:dyDescent="0.3">
      <c r="A930" s="1"/>
      <c r="S930" s="102"/>
      <c r="T930" s="102"/>
      <c r="U930" s="102"/>
    </row>
    <row r="931" spans="1:21" ht="14.25" customHeight="1" x14ac:dyDescent="0.3">
      <c r="A931" s="1"/>
      <c r="S931" s="102"/>
      <c r="T931" s="102"/>
      <c r="U931" s="102"/>
    </row>
    <row r="932" spans="1:21" ht="14.25" customHeight="1" x14ac:dyDescent="0.3">
      <c r="A932" s="1"/>
      <c r="S932" s="102"/>
      <c r="T932" s="102"/>
      <c r="U932" s="102"/>
    </row>
    <row r="933" spans="1:21" ht="14.25" customHeight="1" x14ac:dyDescent="0.3">
      <c r="A933" s="1"/>
      <c r="S933" s="102"/>
      <c r="T933" s="102"/>
      <c r="U933" s="102"/>
    </row>
    <row r="934" spans="1:21" ht="14.25" customHeight="1" x14ac:dyDescent="0.3">
      <c r="A934" s="1"/>
      <c r="S934" s="102"/>
      <c r="T934" s="102"/>
      <c r="U934" s="102"/>
    </row>
    <row r="935" spans="1:21" ht="14.25" customHeight="1" x14ac:dyDescent="0.3">
      <c r="A935" s="1"/>
      <c r="S935" s="102"/>
      <c r="T935" s="102"/>
      <c r="U935" s="102"/>
    </row>
    <row r="936" spans="1:21" ht="14.25" customHeight="1" x14ac:dyDescent="0.3">
      <c r="A936" s="1"/>
      <c r="S936" s="102"/>
      <c r="T936" s="102"/>
      <c r="U936" s="102"/>
    </row>
    <row r="937" spans="1:21" ht="14.25" customHeight="1" x14ac:dyDescent="0.3">
      <c r="A937" s="1"/>
      <c r="S937" s="102"/>
      <c r="T937" s="102"/>
      <c r="U937" s="102"/>
    </row>
    <row r="938" spans="1:21" ht="14.25" customHeight="1" x14ac:dyDescent="0.3">
      <c r="A938" s="1"/>
      <c r="S938" s="102"/>
      <c r="T938" s="102"/>
      <c r="U938" s="102"/>
    </row>
    <row r="939" spans="1:21" ht="14.25" customHeight="1" x14ac:dyDescent="0.3">
      <c r="A939" s="1"/>
      <c r="S939" s="102"/>
      <c r="T939" s="102"/>
      <c r="U939" s="102"/>
    </row>
    <row r="940" spans="1:21" ht="14.25" customHeight="1" x14ac:dyDescent="0.3">
      <c r="A940" s="1"/>
      <c r="S940" s="102"/>
      <c r="T940" s="102"/>
      <c r="U940" s="102"/>
    </row>
    <row r="941" spans="1:21" ht="14.25" customHeight="1" x14ac:dyDescent="0.3">
      <c r="A941" s="1"/>
      <c r="S941" s="102"/>
      <c r="T941" s="102"/>
      <c r="U941" s="102"/>
    </row>
    <row r="942" spans="1:21" ht="14.25" customHeight="1" x14ac:dyDescent="0.3">
      <c r="A942" s="1"/>
      <c r="S942" s="102"/>
      <c r="T942" s="102"/>
      <c r="U942" s="102"/>
    </row>
    <row r="943" spans="1:21" ht="14.25" customHeight="1" x14ac:dyDescent="0.3">
      <c r="A943" s="1"/>
      <c r="S943" s="102"/>
      <c r="T943" s="102"/>
      <c r="U943" s="102"/>
    </row>
    <row r="944" spans="1:21" ht="14.25" customHeight="1" x14ac:dyDescent="0.3">
      <c r="A944" s="1"/>
      <c r="S944" s="102"/>
      <c r="T944" s="102"/>
      <c r="U944" s="102"/>
    </row>
    <row r="945" spans="1:21" ht="14.25" customHeight="1" x14ac:dyDescent="0.3">
      <c r="A945" s="1"/>
      <c r="S945" s="102"/>
      <c r="T945" s="102"/>
      <c r="U945" s="102"/>
    </row>
    <row r="946" spans="1:21" ht="14.25" customHeight="1" x14ac:dyDescent="0.3">
      <c r="A946" s="1"/>
      <c r="S946" s="102"/>
      <c r="T946" s="102"/>
      <c r="U946" s="102"/>
    </row>
    <row r="947" spans="1:21" ht="14.25" customHeight="1" x14ac:dyDescent="0.3">
      <c r="A947" s="1"/>
      <c r="S947" s="102"/>
      <c r="T947" s="102"/>
      <c r="U947" s="102"/>
    </row>
    <row r="948" spans="1:21" ht="14.25" customHeight="1" x14ac:dyDescent="0.3">
      <c r="A948" s="1"/>
      <c r="S948" s="102"/>
      <c r="T948" s="102"/>
      <c r="U948" s="102"/>
    </row>
    <row r="949" spans="1:21" ht="14.25" customHeight="1" x14ac:dyDescent="0.3">
      <c r="A949" s="1"/>
      <c r="S949" s="102"/>
      <c r="T949" s="102"/>
      <c r="U949" s="102"/>
    </row>
    <row r="950" spans="1:21" ht="14.25" customHeight="1" x14ac:dyDescent="0.3">
      <c r="A950" s="1"/>
      <c r="S950" s="102"/>
      <c r="T950" s="102"/>
      <c r="U950" s="102"/>
    </row>
    <row r="951" spans="1:21" ht="14.25" customHeight="1" x14ac:dyDescent="0.3">
      <c r="A951" s="1"/>
      <c r="S951" s="102"/>
      <c r="T951" s="102"/>
      <c r="U951" s="102"/>
    </row>
    <row r="952" spans="1:21" ht="14.25" customHeight="1" x14ac:dyDescent="0.3">
      <c r="A952" s="1"/>
      <c r="S952" s="102"/>
      <c r="T952" s="102"/>
      <c r="U952" s="102"/>
    </row>
    <row r="953" spans="1:21" ht="14.25" customHeight="1" x14ac:dyDescent="0.3">
      <c r="A953" s="1"/>
      <c r="S953" s="102"/>
      <c r="T953" s="102"/>
      <c r="U953" s="102"/>
    </row>
    <row r="954" spans="1:21" ht="14.25" customHeight="1" x14ac:dyDescent="0.3">
      <c r="A954" s="1"/>
      <c r="S954" s="102"/>
      <c r="T954" s="102"/>
      <c r="U954" s="102"/>
    </row>
    <row r="955" spans="1:21" ht="14.25" customHeight="1" x14ac:dyDescent="0.3">
      <c r="A955" s="1"/>
      <c r="S955" s="102"/>
      <c r="T955" s="102"/>
      <c r="U955" s="102"/>
    </row>
    <row r="956" spans="1:21" ht="14.25" customHeight="1" x14ac:dyDescent="0.3">
      <c r="A956" s="1"/>
      <c r="S956" s="102"/>
      <c r="T956" s="102"/>
      <c r="U956" s="102"/>
    </row>
    <row r="957" spans="1:21" ht="14.25" customHeight="1" x14ac:dyDescent="0.3">
      <c r="A957" s="1"/>
      <c r="S957" s="102"/>
      <c r="T957" s="102"/>
      <c r="U957" s="102"/>
    </row>
    <row r="958" spans="1:21" ht="14.25" customHeight="1" x14ac:dyDescent="0.3">
      <c r="A958" s="1"/>
      <c r="S958" s="102"/>
      <c r="T958" s="102"/>
      <c r="U958" s="102"/>
    </row>
    <row r="959" spans="1:21" ht="14.25" customHeight="1" x14ac:dyDescent="0.3">
      <c r="A959" s="1"/>
      <c r="S959" s="102"/>
      <c r="T959" s="102"/>
      <c r="U959" s="102"/>
    </row>
    <row r="960" spans="1:21" ht="14.25" customHeight="1" x14ac:dyDescent="0.3">
      <c r="A960" s="1"/>
      <c r="S960" s="102"/>
      <c r="T960" s="102"/>
      <c r="U960" s="102"/>
    </row>
    <row r="961" spans="1:21" ht="14.25" customHeight="1" x14ac:dyDescent="0.3">
      <c r="A961" s="1"/>
      <c r="S961" s="102"/>
      <c r="T961" s="102"/>
      <c r="U961" s="102"/>
    </row>
    <row r="962" spans="1:21" ht="14.25" customHeight="1" x14ac:dyDescent="0.3">
      <c r="A962" s="1"/>
      <c r="S962" s="102"/>
      <c r="T962" s="102"/>
      <c r="U962" s="102"/>
    </row>
    <row r="963" spans="1:21" ht="14.25" customHeight="1" x14ac:dyDescent="0.3">
      <c r="A963" s="1"/>
      <c r="S963" s="102"/>
      <c r="T963" s="102"/>
      <c r="U963" s="102"/>
    </row>
    <row r="964" spans="1:21" ht="14.25" customHeight="1" x14ac:dyDescent="0.3">
      <c r="A964" s="1"/>
      <c r="S964" s="102"/>
      <c r="T964" s="102"/>
      <c r="U964" s="102"/>
    </row>
    <row r="965" spans="1:21" ht="14.25" customHeight="1" x14ac:dyDescent="0.3">
      <c r="A965" s="1"/>
      <c r="S965" s="102"/>
      <c r="T965" s="102"/>
      <c r="U965" s="102"/>
    </row>
    <row r="966" spans="1:21" ht="14.25" customHeight="1" x14ac:dyDescent="0.3">
      <c r="A966" s="1"/>
      <c r="S966" s="102"/>
      <c r="T966" s="102"/>
      <c r="U966" s="102"/>
    </row>
    <row r="967" spans="1:21" ht="14.25" customHeight="1" x14ac:dyDescent="0.3">
      <c r="A967" s="1"/>
      <c r="S967" s="102"/>
      <c r="T967" s="102"/>
      <c r="U967" s="102"/>
    </row>
    <row r="968" spans="1:21" ht="14.25" customHeight="1" x14ac:dyDescent="0.3">
      <c r="A968" s="1"/>
      <c r="S968" s="102"/>
      <c r="T968" s="102"/>
      <c r="U968" s="102"/>
    </row>
    <row r="969" spans="1:21" ht="14.25" customHeight="1" x14ac:dyDescent="0.3">
      <c r="A969" s="1"/>
      <c r="S969" s="102"/>
      <c r="T969" s="102"/>
      <c r="U969" s="102"/>
    </row>
    <row r="970" spans="1:21" ht="14.25" customHeight="1" x14ac:dyDescent="0.3">
      <c r="A970" s="1"/>
      <c r="S970" s="102"/>
      <c r="T970" s="102"/>
      <c r="U970" s="102"/>
    </row>
    <row r="971" spans="1:21" ht="14.25" customHeight="1" x14ac:dyDescent="0.3">
      <c r="A971" s="1"/>
      <c r="S971" s="102"/>
      <c r="T971" s="102"/>
      <c r="U971" s="102"/>
    </row>
    <row r="972" spans="1:21" ht="14.25" customHeight="1" x14ac:dyDescent="0.3">
      <c r="A972" s="1"/>
      <c r="S972" s="102"/>
      <c r="T972" s="102"/>
      <c r="U972" s="102"/>
    </row>
    <row r="973" spans="1:21" ht="14.25" customHeight="1" x14ac:dyDescent="0.3">
      <c r="A973" s="1"/>
      <c r="S973" s="102"/>
      <c r="T973" s="102"/>
      <c r="U973" s="102"/>
    </row>
    <row r="974" spans="1:21" ht="14.25" customHeight="1" x14ac:dyDescent="0.3">
      <c r="A974" s="1"/>
      <c r="S974" s="102"/>
      <c r="T974" s="102"/>
      <c r="U974" s="102"/>
    </row>
    <row r="975" spans="1:21" ht="14.25" customHeight="1" x14ac:dyDescent="0.3">
      <c r="A975" s="1"/>
      <c r="S975" s="102"/>
      <c r="T975" s="102"/>
      <c r="U975" s="102"/>
    </row>
    <row r="976" spans="1:21" ht="14.25" customHeight="1" x14ac:dyDescent="0.3">
      <c r="A976" s="1"/>
      <c r="S976" s="102"/>
      <c r="T976" s="102"/>
      <c r="U976" s="102"/>
    </row>
    <row r="977" spans="1:21" ht="14.25" customHeight="1" x14ac:dyDescent="0.3">
      <c r="A977" s="1"/>
      <c r="S977" s="102"/>
      <c r="T977" s="102"/>
      <c r="U977" s="102"/>
    </row>
    <row r="978" spans="1:21" ht="14.25" customHeight="1" x14ac:dyDescent="0.3">
      <c r="A978" s="1"/>
      <c r="S978" s="102"/>
      <c r="T978" s="102"/>
      <c r="U978" s="102"/>
    </row>
    <row r="979" spans="1:21" ht="14.25" customHeight="1" x14ac:dyDescent="0.3">
      <c r="A979" s="1"/>
      <c r="S979" s="102"/>
      <c r="T979" s="102"/>
      <c r="U979" s="102"/>
    </row>
    <row r="980" spans="1:21" ht="14.25" customHeight="1" x14ac:dyDescent="0.3">
      <c r="A980" s="1"/>
      <c r="S980" s="102"/>
      <c r="T980" s="102"/>
      <c r="U980" s="102"/>
    </row>
    <row r="981" spans="1:21" ht="14.25" customHeight="1" x14ac:dyDescent="0.3">
      <c r="A981" s="1"/>
      <c r="S981" s="102"/>
      <c r="T981" s="102"/>
      <c r="U981" s="102"/>
    </row>
    <row r="982" spans="1:21" ht="14.25" customHeight="1" x14ac:dyDescent="0.3">
      <c r="A982" s="1"/>
      <c r="S982" s="102"/>
      <c r="T982" s="102"/>
      <c r="U982" s="102"/>
    </row>
    <row r="983" spans="1:21" ht="14.25" customHeight="1" x14ac:dyDescent="0.3">
      <c r="A983" s="1"/>
      <c r="S983" s="102"/>
      <c r="T983" s="102"/>
      <c r="U983" s="102"/>
    </row>
    <row r="984" spans="1:21" ht="14.25" customHeight="1" x14ac:dyDescent="0.3">
      <c r="A984" s="1"/>
      <c r="S984" s="102"/>
      <c r="T984" s="102"/>
      <c r="U984" s="102"/>
    </row>
    <row r="985" spans="1:21" ht="14.25" customHeight="1" x14ac:dyDescent="0.3">
      <c r="A985" s="1"/>
      <c r="S985" s="102"/>
      <c r="T985" s="102"/>
      <c r="U985" s="102"/>
    </row>
    <row r="986" spans="1:21" ht="14.25" customHeight="1" x14ac:dyDescent="0.3">
      <c r="A986" s="1"/>
      <c r="S986" s="102"/>
      <c r="T986" s="102"/>
      <c r="U986" s="102"/>
    </row>
    <row r="987" spans="1:21" ht="14.25" customHeight="1" x14ac:dyDescent="0.3">
      <c r="A987" s="1"/>
      <c r="S987" s="102"/>
      <c r="T987" s="102"/>
      <c r="U987" s="102"/>
    </row>
    <row r="988" spans="1:21" ht="14.25" customHeight="1" x14ac:dyDescent="0.3">
      <c r="A988" s="1"/>
      <c r="S988" s="102"/>
      <c r="T988" s="102"/>
      <c r="U988" s="102"/>
    </row>
    <row r="989" spans="1:21" ht="14.25" customHeight="1" x14ac:dyDescent="0.3">
      <c r="A989" s="1"/>
      <c r="S989" s="102"/>
      <c r="T989" s="102"/>
      <c r="U989" s="102"/>
    </row>
    <row r="990" spans="1:21" ht="14.25" customHeight="1" x14ac:dyDescent="0.3">
      <c r="A990" s="1"/>
      <c r="S990" s="102"/>
      <c r="T990" s="102"/>
      <c r="U990" s="102"/>
    </row>
    <row r="991" spans="1:21" ht="14.25" customHeight="1" x14ac:dyDescent="0.3">
      <c r="A991" s="1"/>
      <c r="S991" s="102"/>
      <c r="T991" s="102"/>
      <c r="U991" s="102"/>
    </row>
    <row r="992" spans="1:21" ht="14.25" customHeight="1" x14ac:dyDescent="0.3">
      <c r="A992" s="1"/>
      <c r="S992" s="102"/>
      <c r="T992" s="102"/>
      <c r="U992" s="102"/>
    </row>
    <row r="993" spans="1:21" ht="14.25" customHeight="1" x14ac:dyDescent="0.3">
      <c r="A993" s="1"/>
      <c r="S993" s="102"/>
      <c r="T993" s="102"/>
      <c r="U993" s="102"/>
    </row>
    <row r="994" spans="1:21" ht="14.25" customHeight="1" x14ac:dyDescent="0.3">
      <c r="A994" s="1"/>
      <c r="S994" s="102"/>
      <c r="T994" s="102"/>
      <c r="U994" s="102"/>
    </row>
    <row r="995" spans="1:21" ht="14.25" customHeight="1" x14ac:dyDescent="0.3">
      <c r="A995" s="1"/>
      <c r="S995" s="102"/>
      <c r="T995" s="102"/>
      <c r="U995" s="102"/>
    </row>
    <row r="996" spans="1:21" ht="14.25" customHeight="1" x14ac:dyDescent="0.3">
      <c r="A996" s="1"/>
      <c r="S996" s="102"/>
      <c r="T996" s="102"/>
      <c r="U996" s="102"/>
    </row>
    <row r="997" spans="1:21" ht="14.25" customHeight="1" x14ac:dyDescent="0.3">
      <c r="A997" s="1"/>
      <c r="S997" s="102"/>
      <c r="T997" s="102"/>
      <c r="U997" s="102"/>
    </row>
    <row r="998" spans="1:21" ht="14.25" customHeight="1" x14ac:dyDescent="0.3">
      <c r="A998" s="1"/>
      <c r="S998" s="102"/>
      <c r="T998" s="102"/>
      <c r="U998" s="102"/>
    </row>
    <row r="999" spans="1:21" ht="14.25" customHeight="1" x14ac:dyDescent="0.3">
      <c r="A999" s="1"/>
      <c r="S999" s="102"/>
      <c r="T999" s="102"/>
      <c r="U999" s="102"/>
    </row>
    <row r="1000" spans="1:21" ht="14.25" customHeight="1" x14ac:dyDescent="0.3">
      <c r="A1000" s="1"/>
      <c r="S1000" s="102"/>
      <c r="T1000" s="102"/>
      <c r="U1000" s="102"/>
    </row>
  </sheetData>
  <autoFilter ref="A1:J120" xr:uid="{00000000-0009-0000-0000-000007000000}"/>
  <dataValidations count="1">
    <dataValidation type="list" allowBlank="1" showErrorMessage="1" sqref="N2:N125 A2:A1000" xr:uid="{00000000-0002-0000-07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5"/>
  <dimension ref="A1:J1000"/>
  <sheetViews>
    <sheetView workbookViewId="0"/>
  </sheetViews>
  <sheetFormatPr defaultColWidth="14.44140625" defaultRowHeight="15" customHeight="1" x14ac:dyDescent="0.3"/>
  <cols>
    <col min="1" max="1" width="36.6640625" customWidth="1"/>
    <col min="2" max="2" width="54.33203125" hidden="1" customWidth="1"/>
    <col min="3" max="3" width="9" hidden="1" customWidth="1"/>
    <col min="4" max="7" width="9.109375" hidden="1" customWidth="1"/>
    <col min="8" max="8" width="9.109375" customWidth="1"/>
    <col min="9" max="26" width="8.6640625" customWidth="1"/>
  </cols>
  <sheetData>
    <row r="1" spans="1:10" ht="14.25" customHeight="1" x14ac:dyDescent="0.3">
      <c r="A1" s="5" t="s">
        <v>139</v>
      </c>
      <c r="B1" s="5" t="s">
        <v>140</v>
      </c>
      <c r="C1" s="5" t="s">
        <v>141</v>
      </c>
      <c r="D1" s="5" t="s">
        <v>89</v>
      </c>
      <c r="E1" s="5" t="s">
        <v>142</v>
      </c>
      <c r="F1" s="5" t="s">
        <v>143</v>
      </c>
      <c r="G1" s="5" t="s">
        <v>144</v>
      </c>
      <c r="H1" s="1" t="s">
        <v>91</v>
      </c>
      <c r="I1" s="5" t="s">
        <v>145</v>
      </c>
      <c r="J1" s="5" t="s">
        <v>79</v>
      </c>
    </row>
    <row r="2" spans="1:10" ht="14.25" customHeight="1" x14ac:dyDescent="0.35">
      <c r="A2" s="84" t="s">
        <v>151</v>
      </c>
      <c r="B2" s="85" t="e">
        <f t="shared" ref="B2:B117" ca="1" si="0">VLOOKUP(A2,TermekKod_data,2,FALSE)</f>
        <v>#N/A</v>
      </c>
      <c r="C2" s="86"/>
      <c r="D2" s="90" t="e">
        <f t="shared" ref="D2:D125" ca="1" si="1">VLOOKUP($A2,TermekKod_data,8,0)</f>
        <v>#N/A</v>
      </c>
      <c r="E2" s="86" t="s">
        <v>150</v>
      </c>
      <c r="F2" s="86"/>
      <c r="G2" s="86"/>
      <c r="H2" s="90" t="e">
        <f t="shared" ref="H2:H125" ca="1" si="2">VLOOKUP($A2,TermekKod_data,9,0)</f>
        <v>#N/A</v>
      </c>
      <c r="I2" s="86" t="s">
        <v>150</v>
      </c>
      <c r="J2" s="1" t="e">
        <f t="shared" ref="J2:J125" ca="1" si="3">VLOOKUP(A2,TermekKod_data,3,FALSE)</f>
        <v>#N/A</v>
      </c>
    </row>
    <row r="3" spans="1:10" ht="14.25" customHeight="1" x14ac:dyDescent="0.3">
      <c r="A3" s="90" t="s">
        <v>154</v>
      </c>
      <c r="B3" s="94" t="e">
        <f t="shared" ca="1" si="0"/>
        <v>#N/A</v>
      </c>
      <c r="C3" s="90"/>
      <c r="D3" s="90" t="e">
        <f t="shared" ca="1" si="1"/>
        <v>#N/A</v>
      </c>
      <c r="E3" s="90" t="s">
        <v>153</v>
      </c>
      <c r="F3" s="90"/>
      <c r="G3" s="90"/>
      <c r="H3" s="90" t="e">
        <f t="shared" ca="1" si="2"/>
        <v>#N/A</v>
      </c>
      <c r="I3" s="90" t="s">
        <v>153</v>
      </c>
      <c r="J3" s="47" t="e">
        <f t="shared" ca="1" si="3"/>
        <v>#N/A</v>
      </c>
    </row>
    <row r="4" spans="1:10" ht="14.25" customHeight="1" x14ac:dyDescent="0.35">
      <c r="A4" s="84" t="s">
        <v>155</v>
      </c>
      <c r="B4" s="94" t="str">
        <f t="shared" ca="1" si="0"/>
        <v>Float 6mm-Low-e 4mm termó</v>
      </c>
      <c r="C4" s="86"/>
      <c r="D4" s="87" t="str">
        <f t="shared" ca="1" si="1"/>
        <v>237.00</v>
      </c>
      <c r="E4" s="86" t="s">
        <v>150</v>
      </c>
      <c r="F4" s="86"/>
      <c r="G4" s="86"/>
      <c r="H4" s="87" t="str">
        <f t="shared" ca="1" si="2"/>
        <v>202.00</v>
      </c>
      <c r="I4" s="86" t="s">
        <v>150</v>
      </c>
      <c r="J4" s="1" t="str">
        <f t="shared" ca="1" si="3"/>
        <v>Duplex</v>
      </c>
    </row>
    <row r="5" spans="1:10" ht="14.25" customHeight="1" x14ac:dyDescent="0.35">
      <c r="A5" s="84" t="s">
        <v>156</v>
      </c>
      <c r="B5" s="85" t="str">
        <f t="shared" ca="1" si="0"/>
        <v>Reflexios 4mm-Low-e 4mm termó</v>
      </c>
      <c r="C5" s="86"/>
      <c r="D5" s="87" t="str">
        <f t="shared" ca="1" si="1"/>
        <v>294.00</v>
      </c>
      <c r="E5" s="86" t="s">
        <v>150</v>
      </c>
      <c r="F5" s="86"/>
      <c r="G5" s="86"/>
      <c r="H5" s="87" t="str">
        <f t="shared" ca="1" si="2"/>
        <v>250.00</v>
      </c>
      <c r="I5" s="86" t="s">
        <v>150</v>
      </c>
      <c r="J5" s="1" t="str">
        <f t="shared" ca="1" si="3"/>
        <v>Duplex</v>
      </c>
    </row>
    <row r="6" spans="1:10" ht="14.25" customHeight="1" x14ac:dyDescent="0.35">
      <c r="A6" s="84" t="s">
        <v>157</v>
      </c>
      <c r="B6" s="85" t="str">
        <f t="shared" ca="1" si="0"/>
        <v>Duplex 3.1.3.-Low-e 4mm termó</v>
      </c>
      <c r="C6" s="86"/>
      <c r="D6" s="87" t="str">
        <f t="shared" ca="1" si="1"/>
        <v>286.00</v>
      </c>
      <c r="E6" s="86" t="s">
        <v>150</v>
      </c>
      <c r="F6" s="86"/>
      <c r="G6" s="86"/>
      <c r="H6" s="87" t="str">
        <f t="shared" ca="1" si="2"/>
        <v>244.00</v>
      </c>
      <c r="I6" s="86" t="s">
        <v>150</v>
      </c>
      <c r="J6" s="1" t="str">
        <f t="shared" ca="1" si="3"/>
        <v>Duplex</v>
      </c>
    </row>
    <row r="7" spans="1:10" ht="14.25" customHeight="1" x14ac:dyDescent="0.35">
      <c r="A7" s="84" t="s">
        <v>158</v>
      </c>
      <c r="B7" s="85" t="str">
        <f t="shared" ca="1" si="0"/>
        <v>Float 4mm-Float 4mm-Float 4mm termó</v>
      </c>
      <c r="C7" s="86"/>
      <c r="D7" s="87" t="str">
        <f t="shared" ca="1" si="1"/>
        <v>340.00</v>
      </c>
      <c r="E7" s="86" t="s">
        <v>150</v>
      </c>
      <c r="F7" s="86"/>
      <c r="G7" s="86"/>
      <c r="H7" s="87" t="str">
        <f t="shared" ca="1" si="2"/>
        <v>289.00</v>
      </c>
      <c r="I7" s="86" t="s">
        <v>150</v>
      </c>
      <c r="J7" s="1" t="str">
        <f t="shared" ca="1" si="3"/>
        <v>Triplex</v>
      </c>
    </row>
    <row r="8" spans="1:10" ht="14.25" customHeight="1" x14ac:dyDescent="0.35">
      <c r="A8" s="84" t="s">
        <v>160</v>
      </c>
      <c r="B8" s="85" t="e">
        <f t="shared" ca="1" si="0"/>
        <v>#N/A</v>
      </c>
      <c r="C8" s="86"/>
      <c r="D8" s="90" t="e">
        <f t="shared" ca="1" si="1"/>
        <v>#N/A</v>
      </c>
      <c r="E8" s="86" t="s">
        <v>150</v>
      </c>
      <c r="F8" s="86"/>
      <c r="G8" s="86"/>
      <c r="H8" s="90" t="e">
        <f t="shared" ca="1" si="2"/>
        <v>#N/A</v>
      </c>
      <c r="I8" s="86" t="s">
        <v>150</v>
      </c>
      <c r="J8" s="1" t="e">
        <f t="shared" ca="1" si="3"/>
        <v>#N/A</v>
      </c>
    </row>
    <row r="9" spans="1:10" ht="14.25" customHeight="1" x14ac:dyDescent="0.35">
      <c r="A9" s="84" t="s">
        <v>161</v>
      </c>
      <c r="B9" s="85" t="str">
        <f t="shared" ca="1" si="0"/>
        <v>Homokfujt 4mm-Low-e 4mm termó</v>
      </c>
      <c r="C9" s="86"/>
      <c r="D9" s="87" t="str">
        <f t="shared" ca="1" si="1"/>
        <v>247.00</v>
      </c>
      <c r="E9" s="86" t="s">
        <v>150</v>
      </c>
      <c r="F9" s="86"/>
      <c r="G9" s="86"/>
      <c r="H9" s="87" t="str">
        <f t="shared" ca="1" si="2"/>
        <v>210.00</v>
      </c>
      <c r="I9" s="86" t="s">
        <v>150</v>
      </c>
      <c r="J9" s="1" t="str">
        <f t="shared" ca="1" si="3"/>
        <v>Duplex</v>
      </c>
    </row>
    <row r="10" spans="1:10" ht="21" customHeight="1" x14ac:dyDescent="0.3">
      <c r="A10" s="95" t="s">
        <v>162</v>
      </c>
      <c r="B10" s="85" t="str">
        <f t="shared" ca="1" si="0"/>
        <v>Duplakockas-Low-e 4mm termó</v>
      </c>
      <c r="C10" s="86"/>
      <c r="D10" s="87" t="str">
        <f t="shared" ca="1" si="1"/>
        <v>272.00</v>
      </c>
      <c r="E10" s="86" t="s">
        <v>150</v>
      </c>
      <c r="F10" s="86"/>
      <c r="G10" s="86"/>
      <c r="H10" s="87" t="str">
        <f t="shared" ca="1" si="2"/>
        <v>232.00</v>
      </c>
      <c r="I10" s="86" t="s">
        <v>150</v>
      </c>
      <c r="J10" s="1" t="str">
        <f t="shared" ca="1" si="3"/>
        <v>Duplex</v>
      </c>
    </row>
    <row r="11" spans="1:10" ht="21" customHeight="1" x14ac:dyDescent="0.3">
      <c r="A11" s="95" t="s">
        <v>163</v>
      </c>
      <c r="B11" s="85" t="str">
        <f t="shared" ca="1" si="0"/>
        <v>Satin bronz-Low-e 4mm termó</v>
      </c>
      <c r="C11" s="86"/>
      <c r="D11" s="87" t="str">
        <f t="shared" ca="1" si="1"/>
        <v>263.00</v>
      </c>
      <c r="E11" s="86" t="s">
        <v>150</v>
      </c>
      <c r="F11" s="86"/>
      <c r="G11" s="86"/>
      <c r="H11" s="87" t="str">
        <f t="shared" ca="1" si="2"/>
        <v>224.00</v>
      </c>
      <c r="I11" s="86" t="s">
        <v>150</v>
      </c>
      <c r="J11" s="1" t="str">
        <f t="shared" ca="1" si="3"/>
        <v>Duplex</v>
      </c>
    </row>
    <row r="12" spans="1:10" ht="20.25" customHeight="1" x14ac:dyDescent="0.3">
      <c r="A12" s="95" t="s">
        <v>164</v>
      </c>
      <c r="B12" s="85" t="str">
        <f t="shared" ca="1" si="0"/>
        <v>Fustos 4mm-Low-e 4mm termó</v>
      </c>
      <c r="C12" s="86"/>
      <c r="D12" s="87" t="str">
        <f t="shared" ca="1" si="1"/>
        <v>285.00</v>
      </c>
      <c r="E12" s="86" t="s">
        <v>150</v>
      </c>
      <c r="F12" s="86"/>
      <c r="G12" s="86"/>
      <c r="H12" s="87" t="str">
        <f t="shared" ca="1" si="2"/>
        <v>243.00</v>
      </c>
      <c r="I12" s="86" t="s">
        <v>150</v>
      </c>
      <c r="J12" s="1" t="str">
        <f t="shared" ca="1" si="3"/>
        <v>Duplex</v>
      </c>
    </row>
    <row r="13" spans="1:10" ht="14.25" customHeight="1" x14ac:dyDescent="0.35">
      <c r="A13" s="84" t="s">
        <v>165</v>
      </c>
      <c r="B13" s="85" t="str">
        <f t="shared" ca="1" si="0"/>
        <v>Tukor 4mm-Tukor 4mm termó</v>
      </c>
      <c r="C13" s="86"/>
      <c r="D13" s="87" t="str">
        <f t="shared" ca="1" si="1"/>
        <v>353.00</v>
      </c>
      <c r="E13" s="86" t="s">
        <v>150</v>
      </c>
      <c r="F13" s="86"/>
      <c r="G13" s="86"/>
      <c r="H13" s="87" t="str">
        <f t="shared" ca="1" si="2"/>
        <v>301.00</v>
      </c>
      <c r="I13" s="86" t="s">
        <v>150</v>
      </c>
      <c r="J13" s="1" t="str">
        <f t="shared" ca="1" si="3"/>
        <v>Duplex</v>
      </c>
    </row>
    <row r="14" spans="1:10" ht="14.25" customHeight="1" x14ac:dyDescent="0.35">
      <c r="A14" s="84" t="s">
        <v>166</v>
      </c>
      <c r="B14" s="85" t="str">
        <f t="shared" ca="1" si="0"/>
        <v>Float 4mm-Float 4mm-Low-e 4mm termó</v>
      </c>
      <c r="C14" s="86"/>
      <c r="D14" s="87" t="str">
        <f t="shared" ca="1" si="1"/>
        <v>295.00</v>
      </c>
      <c r="E14" s="86" t="s">
        <v>150</v>
      </c>
      <c r="F14" s="86"/>
      <c r="G14" s="86"/>
      <c r="H14" s="87" t="str">
        <f t="shared" ca="1" si="2"/>
        <v>251.00</v>
      </c>
      <c r="I14" s="86" t="s">
        <v>150</v>
      </c>
      <c r="J14" s="1" t="str">
        <f t="shared" ca="1" si="3"/>
        <v>Triplex</v>
      </c>
    </row>
    <row r="15" spans="1:10" ht="14.25" customHeight="1" x14ac:dyDescent="0.35">
      <c r="A15" s="84" t="s">
        <v>160</v>
      </c>
      <c r="B15" s="85" t="e">
        <f t="shared" ca="1" si="0"/>
        <v>#N/A</v>
      </c>
      <c r="C15" s="86"/>
      <c r="D15" s="90" t="e">
        <f t="shared" ca="1" si="1"/>
        <v>#N/A</v>
      </c>
      <c r="E15" s="86" t="s">
        <v>150</v>
      </c>
      <c r="F15" s="86"/>
      <c r="G15" s="86"/>
      <c r="H15" s="90" t="e">
        <f t="shared" ca="1" si="2"/>
        <v>#N/A</v>
      </c>
      <c r="I15" s="86" t="s">
        <v>150</v>
      </c>
      <c r="J15" s="1" t="e">
        <f t="shared" ca="1" si="3"/>
        <v>#N/A</v>
      </c>
    </row>
    <row r="16" spans="1:10" ht="14.25" customHeight="1" x14ac:dyDescent="0.35">
      <c r="A16" s="84" t="s">
        <v>167</v>
      </c>
      <c r="B16" s="85" t="str">
        <f t="shared" ca="1" si="0"/>
        <v>Duplex 3.1.3.-Low-e 4mm-Low-e 4mm termó</v>
      </c>
      <c r="C16" s="86"/>
      <c r="D16" s="87" t="str">
        <f t="shared" ca="1" si="1"/>
        <v>439.00</v>
      </c>
      <c r="E16" s="86" t="s">
        <v>150</v>
      </c>
      <c r="F16" s="86"/>
      <c r="G16" s="86"/>
      <c r="H16" s="87" t="str">
        <f t="shared" ca="1" si="2"/>
        <v>374.00</v>
      </c>
      <c r="I16" s="86" t="s">
        <v>150</v>
      </c>
      <c r="J16" s="1" t="str">
        <f t="shared" ca="1" si="3"/>
        <v>Triplex</v>
      </c>
    </row>
    <row r="17" spans="1:10" ht="14.25" customHeight="1" x14ac:dyDescent="0.35">
      <c r="A17" s="84" t="s">
        <v>168</v>
      </c>
      <c r="B17" s="85" t="str">
        <f t="shared" ca="1" si="0"/>
        <v>Duplex 3.1.3.-4 evszakos-Low-e 4mm termó</v>
      </c>
      <c r="C17" s="86"/>
      <c r="D17" s="87" t="str">
        <f t="shared" ca="1" si="1"/>
        <v>433.00</v>
      </c>
      <c r="E17" s="86" t="s">
        <v>150</v>
      </c>
      <c r="F17" s="86"/>
      <c r="G17" s="86"/>
      <c r="H17" s="87" t="str">
        <f t="shared" ca="1" si="2"/>
        <v>369.00</v>
      </c>
      <c r="I17" s="86" t="s">
        <v>150</v>
      </c>
      <c r="J17" s="1" t="str">
        <f t="shared" ca="1" si="3"/>
        <v>Triplex</v>
      </c>
    </row>
    <row r="18" spans="1:10" ht="14.25" customHeight="1" x14ac:dyDescent="0.35">
      <c r="A18" s="84" t="s">
        <v>169</v>
      </c>
      <c r="B18" s="85" t="str">
        <f t="shared" ca="1" si="0"/>
        <v>Float 3mm-Float 3mm termó</v>
      </c>
      <c r="C18" s="86"/>
      <c r="D18" s="87" t="str">
        <f t="shared" ca="1" si="1"/>
        <v>205.00</v>
      </c>
      <c r="E18" s="86" t="s">
        <v>150</v>
      </c>
      <c r="F18" s="86"/>
      <c r="G18" s="86"/>
      <c r="H18" s="87" t="str">
        <f t="shared" ca="1" si="2"/>
        <v>175.00</v>
      </c>
      <c r="I18" s="86" t="s">
        <v>150</v>
      </c>
      <c r="J18" s="1" t="str">
        <f t="shared" ca="1" si="3"/>
        <v>Duplex</v>
      </c>
    </row>
    <row r="19" spans="1:10" ht="14.25" customHeight="1" x14ac:dyDescent="0.35">
      <c r="A19" s="84" t="s">
        <v>170</v>
      </c>
      <c r="B19" s="85" t="str">
        <f t="shared" ca="1" si="0"/>
        <v>4 evszakos-Low-e 4mm-Low-e 4mm termó</v>
      </c>
      <c r="C19" s="86"/>
      <c r="D19" s="87" t="str">
        <f t="shared" ca="1" si="1"/>
        <v>300.00</v>
      </c>
      <c r="E19" s="86" t="s">
        <v>150</v>
      </c>
      <c r="F19" s="86"/>
      <c r="G19" s="86"/>
      <c r="H19" s="87" t="str">
        <f t="shared" ca="1" si="2"/>
        <v>255.00</v>
      </c>
      <c r="I19" s="86" t="s">
        <v>150</v>
      </c>
      <c r="J19" s="1" t="str">
        <f t="shared" ca="1" si="3"/>
        <v>Triplex</v>
      </c>
    </row>
    <row r="20" spans="1:10" ht="14.25" customHeight="1" x14ac:dyDescent="0.35">
      <c r="A20" s="84" t="s">
        <v>171</v>
      </c>
      <c r="B20" s="85" t="str">
        <f t="shared" ca="1" si="0"/>
        <v>4 evszakos-Low-e 4mm termó</v>
      </c>
      <c r="C20" s="86"/>
      <c r="D20" s="87" t="str">
        <f t="shared" ca="1" si="1"/>
        <v>195.00</v>
      </c>
      <c r="E20" s="86" t="s">
        <v>150</v>
      </c>
      <c r="F20" s="86"/>
      <c r="G20" s="86"/>
      <c r="H20" s="87" t="str">
        <f t="shared" ca="1" si="2"/>
        <v>166.00</v>
      </c>
      <c r="I20" s="86" t="s">
        <v>150</v>
      </c>
      <c r="J20" s="1" t="str">
        <f t="shared" ca="1" si="3"/>
        <v>Duplex</v>
      </c>
    </row>
    <row r="21" spans="1:10" ht="14.25" customHeight="1" x14ac:dyDescent="0.35">
      <c r="A21" s="84" t="s">
        <v>172</v>
      </c>
      <c r="B21" s="85" t="str">
        <f t="shared" ca="1" si="0"/>
        <v>4 evszakos-Float 4mm-Low-e 4mm termó</v>
      </c>
      <c r="C21" s="86"/>
      <c r="D21" s="87" t="str">
        <f t="shared" ca="1" si="1"/>
        <v>278.00</v>
      </c>
      <c r="E21" s="86" t="s">
        <v>150</v>
      </c>
      <c r="F21" s="86"/>
      <c r="G21" s="86"/>
      <c r="H21" s="87" t="str">
        <f t="shared" ca="1" si="2"/>
        <v>237.00</v>
      </c>
      <c r="I21" s="86" t="s">
        <v>150</v>
      </c>
      <c r="J21" s="1" t="str">
        <f t="shared" ca="1" si="3"/>
        <v>Triplex</v>
      </c>
    </row>
    <row r="22" spans="1:10" ht="14.25" customHeight="1" x14ac:dyDescent="0.35">
      <c r="A22" s="88" t="s">
        <v>173</v>
      </c>
      <c r="B22" s="85" t="str">
        <f t="shared" ca="1" si="0"/>
        <v>Homokfujt 4mm-Low-e 4mm-Low-e 4mm termó</v>
      </c>
      <c r="C22" s="90"/>
      <c r="D22" s="87" t="str">
        <f t="shared" ca="1" si="1"/>
        <v>380.00</v>
      </c>
      <c r="E22" s="90" t="s">
        <v>153</v>
      </c>
      <c r="F22" s="90"/>
      <c r="G22" s="90"/>
      <c r="H22" s="87" t="str">
        <f t="shared" ca="1" si="2"/>
        <v>323.00</v>
      </c>
      <c r="I22" s="90" t="s">
        <v>153</v>
      </c>
      <c r="J22" s="47" t="str">
        <f t="shared" ca="1" si="3"/>
        <v>Triplex</v>
      </c>
    </row>
    <row r="23" spans="1:10" ht="14.25" customHeight="1" x14ac:dyDescent="0.3">
      <c r="A23" s="90" t="s">
        <v>174</v>
      </c>
      <c r="B23" s="94" t="str">
        <f t="shared" ca="1" si="0"/>
        <v>Mintas uveg aprokockas-Float 4mm termó</v>
      </c>
      <c r="C23" s="90"/>
      <c r="D23" s="87" t="str">
        <f t="shared" ca="1" si="1"/>
        <v>250.00</v>
      </c>
      <c r="E23" s="90" t="s">
        <v>153</v>
      </c>
      <c r="F23" s="90"/>
      <c r="G23" s="90"/>
      <c r="H23" s="87" t="str">
        <f t="shared" ca="1" si="2"/>
        <v>213.00</v>
      </c>
      <c r="I23" s="90" t="s">
        <v>153</v>
      </c>
      <c r="J23" s="47" t="str">
        <f t="shared" ca="1" si="3"/>
        <v>Duplex</v>
      </c>
    </row>
    <row r="24" spans="1:10" ht="14.25" customHeight="1" x14ac:dyDescent="0.3">
      <c r="A24" s="90" t="s">
        <v>175</v>
      </c>
      <c r="B24" s="94" t="str">
        <f t="shared" ca="1" si="0"/>
        <v>Tukor 4mm-Savmarta barna tuskes termó</v>
      </c>
      <c r="C24" s="90"/>
      <c r="D24" s="87" t="str">
        <f t="shared" ca="1" si="1"/>
        <v>395.00</v>
      </c>
      <c r="E24" s="90" t="s">
        <v>153</v>
      </c>
      <c r="F24" s="90"/>
      <c r="G24" s="90"/>
      <c r="H24" s="87" t="str">
        <f t="shared" ca="1" si="2"/>
        <v>336.00</v>
      </c>
      <c r="I24" s="90" t="s">
        <v>153</v>
      </c>
      <c r="J24" s="47" t="str">
        <f t="shared" ca="1" si="3"/>
        <v>Duplex</v>
      </c>
    </row>
    <row r="25" spans="1:10" ht="14.25" customHeight="1" x14ac:dyDescent="0.3">
      <c r="A25" s="90" t="s">
        <v>176</v>
      </c>
      <c r="B25" s="94" t="str">
        <f t="shared" ca="1" si="0"/>
        <v>Duplex 3.1.3.-Duplex 3.1.3.-Float 6mm termó</v>
      </c>
      <c r="C25" s="90"/>
      <c r="D25" s="87" t="str">
        <f t="shared" ca="1" si="1"/>
        <v>456.00</v>
      </c>
      <c r="E25" s="90" t="s">
        <v>153</v>
      </c>
      <c r="F25" s="90"/>
      <c r="G25" s="90"/>
      <c r="H25" s="87" t="str">
        <f t="shared" ca="1" si="2"/>
        <v>388.00</v>
      </c>
      <c r="I25" s="90" t="s">
        <v>153</v>
      </c>
      <c r="J25" s="47" t="str">
        <f t="shared" ca="1" si="3"/>
        <v>Triplex</v>
      </c>
    </row>
    <row r="26" spans="1:10" ht="14.25" customHeight="1" x14ac:dyDescent="0.3">
      <c r="A26" s="90" t="s">
        <v>177</v>
      </c>
      <c r="B26" s="94" t="str">
        <f t="shared" ca="1" si="0"/>
        <v>Duplex 3.1.3.-Float 4mm-Low-e 4mm termó</v>
      </c>
      <c r="C26" s="90"/>
      <c r="D26" s="87" t="str">
        <f t="shared" ca="1" si="1"/>
        <v>417.00</v>
      </c>
      <c r="E26" s="90" t="s">
        <v>153</v>
      </c>
      <c r="F26" s="90"/>
      <c r="G26" s="90"/>
      <c r="H26" s="87" t="str">
        <f t="shared" ca="1" si="2"/>
        <v>355.00</v>
      </c>
      <c r="I26" s="90" t="s">
        <v>153</v>
      </c>
      <c r="J26" s="47" t="str">
        <f t="shared" ca="1" si="3"/>
        <v>Triplex</v>
      </c>
    </row>
    <row r="27" spans="1:10" ht="14.25" customHeight="1" x14ac:dyDescent="0.3">
      <c r="A27" s="90" t="s">
        <v>178</v>
      </c>
      <c r="B27" s="94" t="str">
        <f t="shared" ca="1" si="0"/>
        <v>Mintas uveg delta 2-Low-e 4mm termó</v>
      </c>
      <c r="C27" s="90"/>
      <c r="D27" s="87" t="str">
        <f t="shared" ca="1" si="1"/>
        <v>272.00</v>
      </c>
      <c r="E27" s="90" t="s">
        <v>153</v>
      </c>
      <c r="F27" s="90"/>
      <c r="G27" s="90"/>
      <c r="H27" s="87" t="str">
        <f t="shared" ca="1" si="2"/>
        <v>232.00</v>
      </c>
      <c r="I27" s="90" t="s">
        <v>153</v>
      </c>
      <c r="J27" s="47" t="str">
        <f t="shared" ca="1" si="3"/>
        <v>Duplex</v>
      </c>
    </row>
    <row r="28" spans="1:10" ht="14.25" customHeight="1" x14ac:dyDescent="0.3">
      <c r="A28" s="90" t="s">
        <v>179</v>
      </c>
      <c r="B28" s="94" t="str">
        <f t="shared" ca="1" si="0"/>
        <v>Barna csincsilla-Low-e 4mm-Low-e 4mm termó</v>
      </c>
      <c r="C28" s="90"/>
      <c r="D28" s="87" t="str">
        <f t="shared" ca="1" si="1"/>
        <v>460.00</v>
      </c>
      <c r="E28" s="90" t="s">
        <v>153</v>
      </c>
      <c r="F28" s="90"/>
      <c r="G28" s="90"/>
      <c r="H28" s="87" t="str">
        <f t="shared" ca="1" si="2"/>
        <v>391.00</v>
      </c>
      <c r="I28" s="90" t="s">
        <v>153</v>
      </c>
      <c r="J28" s="47" t="str">
        <f t="shared" ca="1" si="3"/>
        <v>Triplex</v>
      </c>
    </row>
    <row r="29" spans="1:10" ht="14.25" customHeight="1" x14ac:dyDescent="0.3">
      <c r="A29" s="90" t="s">
        <v>180</v>
      </c>
      <c r="B29" s="94" t="str">
        <f t="shared" ca="1" si="0"/>
        <v>Barna delta 2-Low-e 4mm termó</v>
      </c>
      <c r="C29" s="90"/>
      <c r="D29" s="87" t="str">
        <f t="shared" ca="1" si="1"/>
        <v>307.00</v>
      </c>
      <c r="E29" s="90" t="s">
        <v>153</v>
      </c>
      <c r="F29" s="90"/>
      <c r="G29" s="90"/>
      <c r="H29" s="87" t="str">
        <f t="shared" ca="1" si="2"/>
        <v>261.00</v>
      </c>
      <c r="I29" s="90" t="s">
        <v>153</v>
      </c>
      <c r="J29" s="47" t="str">
        <f t="shared" ca="1" si="3"/>
        <v>Duplex</v>
      </c>
    </row>
    <row r="30" spans="1:10" ht="14.25" customHeight="1" x14ac:dyDescent="0.3">
      <c r="A30" s="90" t="s">
        <v>181</v>
      </c>
      <c r="B30" s="94" t="str">
        <f t="shared" ca="1" si="0"/>
        <v>Barna fatorzs-Low-e 4mm termó</v>
      </c>
      <c r="C30" s="90"/>
      <c r="D30" s="87" t="str">
        <f t="shared" ca="1" si="1"/>
        <v>307.00</v>
      </c>
      <c r="E30" s="90" t="s">
        <v>153</v>
      </c>
      <c r="F30" s="90"/>
      <c r="G30" s="90"/>
      <c r="H30" s="87" t="str">
        <f t="shared" ca="1" si="2"/>
        <v>261.00</v>
      </c>
      <c r="I30" s="90" t="s">
        <v>153</v>
      </c>
      <c r="J30" s="47" t="str">
        <f t="shared" ca="1" si="3"/>
        <v>Duplex</v>
      </c>
    </row>
    <row r="31" spans="1:10" ht="14.25" customHeight="1" x14ac:dyDescent="0.3">
      <c r="A31" s="90" t="s">
        <v>182</v>
      </c>
      <c r="B31" s="94" t="str">
        <f t="shared" ca="1" si="0"/>
        <v>Mintas uveg feher fatorzs-Low-e 4mm termó</v>
      </c>
      <c r="C31" s="90"/>
      <c r="D31" s="87" t="str">
        <f t="shared" ca="1" si="1"/>
        <v>295.00</v>
      </c>
      <c r="E31" s="90" t="s">
        <v>153</v>
      </c>
      <c r="F31" s="90"/>
      <c r="G31" s="90"/>
      <c r="H31" s="87" t="str">
        <f t="shared" ca="1" si="2"/>
        <v>251.00</v>
      </c>
      <c r="I31" s="90" t="s">
        <v>153</v>
      </c>
      <c r="J31" s="47" t="str">
        <f t="shared" ca="1" si="3"/>
        <v>Duplex</v>
      </c>
    </row>
    <row r="32" spans="1:10" ht="14.25" customHeight="1" x14ac:dyDescent="0.3">
      <c r="A32" s="90" t="s">
        <v>183</v>
      </c>
      <c r="B32" s="94" t="str">
        <f t="shared" ca="1" si="0"/>
        <v>Tukor 4mm-Barna csincsilla termó</v>
      </c>
      <c r="C32" s="90"/>
      <c r="D32" s="87" t="str">
        <f t="shared" ca="1" si="1"/>
        <v>357.00</v>
      </c>
      <c r="E32" s="90" t="s">
        <v>153</v>
      </c>
      <c r="F32" s="90"/>
      <c r="G32" s="90"/>
      <c r="H32" s="87" t="str">
        <f t="shared" ca="1" si="2"/>
        <v>304.00</v>
      </c>
      <c r="I32" s="90" t="s">
        <v>153</v>
      </c>
      <c r="J32" s="47" t="str">
        <f t="shared" ca="1" si="3"/>
        <v>Duplex</v>
      </c>
    </row>
    <row r="33" spans="1:10" ht="14.25" customHeight="1" x14ac:dyDescent="0.3">
      <c r="A33" s="90" t="s">
        <v>184</v>
      </c>
      <c r="B33" s="94" t="str">
        <f t="shared" ca="1" si="0"/>
        <v>Savmarta barna tuskes-Low-e 4mm termó</v>
      </c>
      <c r="C33" s="90"/>
      <c r="D33" s="87" t="str">
        <f t="shared" ca="1" si="1"/>
        <v>324.00</v>
      </c>
      <c r="E33" s="90" t="s">
        <v>153</v>
      </c>
      <c r="F33" s="90"/>
      <c r="G33" s="90"/>
      <c r="H33" s="87" t="str">
        <f t="shared" ca="1" si="2"/>
        <v>276.00</v>
      </c>
      <c r="I33" s="90" t="s">
        <v>153</v>
      </c>
      <c r="J33" s="47" t="str">
        <f t="shared" ca="1" si="3"/>
        <v>Duplex</v>
      </c>
    </row>
    <row r="34" spans="1:10" ht="14.25" customHeight="1" x14ac:dyDescent="0.3">
      <c r="A34" s="90" t="s">
        <v>185</v>
      </c>
      <c r="B34" s="94" t="str">
        <f t="shared" ca="1" si="0"/>
        <v>Float 8mm-Low-e 4mm termó</v>
      </c>
      <c r="C34" s="90"/>
      <c r="D34" s="87" t="str">
        <f t="shared" ca="1" si="1"/>
        <v>275.00</v>
      </c>
      <c r="E34" s="90" t="s">
        <v>153</v>
      </c>
      <c r="F34" s="90"/>
      <c r="G34" s="90"/>
      <c r="H34" s="87" t="str">
        <f t="shared" ca="1" si="2"/>
        <v>234.00</v>
      </c>
      <c r="I34" s="90" t="s">
        <v>153</v>
      </c>
      <c r="J34" s="47" t="str">
        <f t="shared" ca="1" si="3"/>
        <v>Duplex</v>
      </c>
    </row>
    <row r="35" spans="1:10" ht="14.25" customHeight="1" x14ac:dyDescent="0.3">
      <c r="A35" s="90" t="s">
        <v>186</v>
      </c>
      <c r="B35" s="94" t="str">
        <f t="shared" ca="1" si="0"/>
        <v>Feher screen-Low-e 4mm termó</v>
      </c>
      <c r="C35" s="90"/>
      <c r="D35" s="87" t="str">
        <f t="shared" ca="1" si="1"/>
        <v>250.00</v>
      </c>
      <c r="E35" s="90" t="s">
        <v>153</v>
      </c>
      <c r="F35" s="90"/>
      <c r="G35" s="90"/>
      <c r="H35" s="87" t="str">
        <f t="shared" ca="1" si="2"/>
        <v>213.00</v>
      </c>
      <c r="I35" s="90" t="s">
        <v>153</v>
      </c>
      <c r="J35" s="47" t="str">
        <f t="shared" ca="1" si="3"/>
        <v>Duplex</v>
      </c>
    </row>
    <row r="36" spans="1:10" ht="14.25" customHeight="1" x14ac:dyDescent="0.3">
      <c r="A36" s="90" t="s">
        <v>187</v>
      </c>
      <c r="B36" s="94" t="str">
        <f t="shared" ca="1" si="0"/>
        <v>Mintas uveg delta 2-Float 4mm termó</v>
      </c>
      <c r="C36" s="90"/>
      <c r="D36" s="87" t="str">
        <f t="shared" ca="1" si="1"/>
        <v>250.00</v>
      </c>
      <c r="E36" s="90" t="s">
        <v>153</v>
      </c>
      <c r="F36" s="90"/>
      <c r="G36" s="90"/>
      <c r="H36" s="87" t="str">
        <f t="shared" ca="1" si="2"/>
        <v>213.00</v>
      </c>
      <c r="I36" s="90" t="s">
        <v>153</v>
      </c>
      <c r="J36" s="47" t="str">
        <f t="shared" ca="1" si="3"/>
        <v>Duplex</v>
      </c>
    </row>
    <row r="37" spans="1:10" ht="14.25" customHeight="1" x14ac:dyDescent="0.3">
      <c r="A37" s="90" t="s">
        <v>188</v>
      </c>
      <c r="B37" s="94" t="str">
        <f t="shared" ca="1" si="0"/>
        <v>Float 6mm-Low-e 4mm-Low-e 4mm termó</v>
      </c>
      <c r="C37" s="90"/>
      <c r="D37" s="87" t="str">
        <f t="shared" ca="1" si="1"/>
        <v>390.00</v>
      </c>
      <c r="E37" s="90" t="s">
        <v>153</v>
      </c>
      <c r="F37" s="90"/>
      <c r="G37" s="90"/>
      <c r="H37" s="87" t="str">
        <f t="shared" ca="1" si="2"/>
        <v>332.00</v>
      </c>
      <c r="I37" s="90" t="s">
        <v>153</v>
      </c>
      <c r="J37" s="47" t="str">
        <f t="shared" ca="1" si="3"/>
        <v>Triplex</v>
      </c>
    </row>
    <row r="38" spans="1:10" ht="14.25" customHeight="1" x14ac:dyDescent="0.3">
      <c r="A38" s="90" t="s">
        <v>189</v>
      </c>
      <c r="B38" s="94" t="str">
        <f t="shared" ca="1" si="0"/>
        <v>Feher screen-Float 4mm-Low-e 4mm termó</v>
      </c>
      <c r="C38" s="90"/>
      <c r="D38" s="87" t="str">
        <f t="shared" ca="1" si="1"/>
        <v>396.00</v>
      </c>
      <c r="E38" s="90" t="s">
        <v>153</v>
      </c>
      <c r="F38" s="90"/>
      <c r="G38" s="90"/>
      <c r="H38" s="87" t="str">
        <f t="shared" ca="1" si="2"/>
        <v>337.00</v>
      </c>
      <c r="I38" s="90" t="s">
        <v>153</v>
      </c>
      <c r="J38" s="47" t="str">
        <f t="shared" ca="1" si="3"/>
        <v>Triplex</v>
      </c>
    </row>
    <row r="39" spans="1:10" ht="14.25" customHeight="1" x14ac:dyDescent="0.3">
      <c r="A39" s="90" t="s">
        <v>190</v>
      </c>
      <c r="B39" s="94" t="str">
        <f t="shared" ca="1" si="0"/>
        <v>Mintas uveg feher fatorzs-Float 4mm termó</v>
      </c>
      <c r="C39" s="90"/>
      <c r="D39" s="87" t="str">
        <f t="shared" ca="1" si="1"/>
        <v>273.00</v>
      </c>
      <c r="E39" s="90" t="s">
        <v>153</v>
      </c>
      <c r="F39" s="90"/>
      <c r="G39" s="90"/>
      <c r="H39" s="87" t="str">
        <f t="shared" ca="1" si="2"/>
        <v>233.00</v>
      </c>
      <c r="I39" s="90" t="s">
        <v>153</v>
      </c>
      <c r="J39" s="47" t="str">
        <f t="shared" ca="1" si="3"/>
        <v>Duplex</v>
      </c>
    </row>
    <row r="40" spans="1:10" ht="14.25" customHeight="1" x14ac:dyDescent="0.3">
      <c r="A40" s="90" t="s">
        <v>191</v>
      </c>
      <c r="B40" s="94" t="str">
        <f t="shared" ca="1" si="0"/>
        <v>Homokfujt 4mm-Float 4mm termó</v>
      </c>
      <c r="C40" s="90"/>
      <c r="D40" s="87" t="str">
        <f t="shared" ca="1" si="1"/>
        <v>225.00</v>
      </c>
      <c r="E40" s="90" t="s">
        <v>153</v>
      </c>
      <c r="F40" s="90"/>
      <c r="G40" s="90"/>
      <c r="H40" s="87" t="str">
        <f t="shared" ca="1" si="2"/>
        <v>192.00</v>
      </c>
      <c r="I40" s="90" t="s">
        <v>153</v>
      </c>
      <c r="J40" s="47" t="str">
        <f t="shared" ca="1" si="3"/>
        <v>Duplex</v>
      </c>
    </row>
    <row r="41" spans="1:10" ht="14.25" customHeight="1" x14ac:dyDescent="0.3">
      <c r="A41" s="90" t="s">
        <v>192</v>
      </c>
      <c r="B41" s="94" t="str">
        <f t="shared" ca="1" si="0"/>
        <v>Mintas uveg aprokockas-Low-e 4mm termó</v>
      </c>
      <c r="C41" s="90"/>
      <c r="D41" s="87" t="str">
        <f t="shared" ca="1" si="1"/>
        <v>272.00</v>
      </c>
      <c r="E41" s="90" t="s">
        <v>153</v>
      </c>
      <c r="F41" s="90"/>
      <c r="G41" s="90"/>
      <c r="H41" s="87" t="str">
        <f t="shared" ca="1" si="2"/>
        <v>232.00</v>
      </c>
      <c r="I41" s="90" t="s">
        <v>153</v>
      </c>
      <c r="J41" s="47" t="str">
        <f t="shared" ca="1" si="3"/>
        <v>Duplex</v>
      </c>
    </row>
    <row r="42" spans="1:10" ht="14.25" customHeight="1" x14ac:dyDescent="0.3">
      <c r="A42" s="90" t="s">
        <v>193</v>
      </c>
      <c r="B42" s="94" t="str">
        <f t="shared" ca="1" si="0"/>
        <v>Reflexios 4mm-Low-e 4mm-Low-e 4mm termó</v>
      </c>
      <c r="C42" s="90"/>
      <c r="D42" s="87" t="str">
        <f t="shared" ca="1" si="1"/>
        <v>447.00</v>
      </c>
      <c r="E42" s="90" t="s">
        <v>153</v>
      </c>
      <c r="F42" s="90"/>
      <c r="G42" s="90"/>
      <c r="H42" s="87" t="str">
        <f t="shared" ca="1" si="2"/>
        <v>380.00</v>
      </c>
      <c r="I42" s="90" t="s">
        <v>153</v>
      </c>
      <c r="J42" s="47" t="str">
        <f t="shared" ca="1" si="3"/>
        <v>Triplex</v>
      </c>
    </row>
    <row r="43" spans="1:10" ht="14.25" customHeight="1" x14ac:dyDescent="0.3">
      <c r="A43" s="90" t="s">
        <v>194</v>
      </c>
      <c r="B43" s="94" t="str">
        <f t="shared" ca="1" si="0"/>
        <v>Savmarta feher tuskes-Low-e 4mm termó</v>
      </c>
      <c r="C43" s="90"/>
      <c r="D43" s="87" t="str">
        <f t="shared" ca="1" si="1"/>
        <v>295.00</v>
      </c>
      <c r="E43" s="90" t="s">
        <v>153</v>
      </c>
      <c r="F43" s="90"/>
      <c r="G43" s="90"/>
      <c r="H43" s="87" t="str">
        <f t="shared" ca="1" si="2"/>
        <v>251.00</v>
      </c>
      <c r="I43" s="90" t="s">
        <v>153</v>
      </c>
      <c r="J43" s="47" t="str">
        <f t="shared" ca="1" si="3"/>
        <v>Duplex</v>
      </c>
    </row>
    <row r="44" spans="1:10" ht="14.25" customHeight="1" x14ac:dyDescent="0.3">
      <c r="A44" s="90" t="s">
        <v>195</v>
      </c>
      <c r="B44" s="94" t="str">
        <f t="shared" ca="1" si="0"/>
        <v>Barna csincsilla-Low-e 4mm termó</v>
      </c>
      <c r="C44" s="90"/>
      <c r="D44" s="87" t="str">
        <f t="shared" ca="1" si="1"/>
        <v>307.00</v>
      </c>
      <c r="E44" s="90" t="s">
        <v>153</v>
      </c>
      <c r="F44" s="90"/>
      <c r="G44" s="90"/>
      <c r="H44" s="87" t="str">
        <f t="shared" ca="1" si="2"/>
        <v>261.00</v>
      </c>
      <c r="I44" s="90" t="s">
        <v>153</v>
      </c>
      <c r="J44" s="47" t="str">
        <f t="shared" ca="1" si="3"/>
        <v>Duplex</v>
      </c>
    </row>
    <row r="45" spans="1:10" ht="14.25" customHeight="1" x14ac:dyDescent="0.3">
      <c r="A45" s="90" t="s">
        <v>196</v>
      </c>
      <c r="B45" s="94" t="str">
        <f t="shared" ca="1" si="0"/>
        <v>Mintas uveg aprokockas-Float 4mm-Low-e 4mm termó</v>
      </c>
      <c r="C45" s="90"/>
      <c r="D45" s="87" t="str">
        <f t="shared" ca="1" si="1"/>
        <v>403.00</v>
      </c>
      <c r="E45" s="90" t="s">
        <v>153</v>
      </c>
      <c r="F45" s="90"/>
      <c r="G45" s="90"/>
      <c r="H45" s="87" t="str">
        <f t="shared" ca="1" si="2"/>
        <v>343.00</v>
      </c>
      <c r="I45" s="90" t="s">
        <v>153</v>
      </c>
      <c r="J45" s="47" t="str">
        <f t="shared" ca="1" si="3"/>
        <v>Triplex</v>
      </c>
    </row>
    <row r="46" spans="1:10" ht="14.25" customHeight="1" x14ac:dyDescent="0.3">
      <c r="A46" s="90" t="s">
        <v>197</v>
      </c>
      <c r="B46" s="94" t="str">
        <f t="shared" ca="1" si="0"/>
        <v>Homokfujt 4mm-Float 4mm-Low-e 4mm termó</v>
      </c>
      <c r="C46" s="90"/>
      <c r="D46" s="87" t="str">
        <f t="shared" ca="1" si="1"/>
        <v>358.00</v>
      </c>
      <c r="E46" s="90" t="s">
        <v>153</v>
      </c>
      <c r="F46" s="90"/>
      <c r="G46" s="90"/>
      <c r="H46" s="87" t="str">
        <f t="shared" ca="1" si="2"/>
        <v>305.00</v>
      </c>
      <c r="I46" s="90" t="s">
        <v>153</v>
      </c>
      <c r="J46" s="47" t="str">
        <f t="shared" ca="1" si="3"/>
        <v>Triplex</v>
      </c>
    </row>
    <row r="47" spans="1:10" ht="14.25" customHeight="1" x14ac:dyDescent="0.3">
      <c r="A47" s="90" t="s">
        <v>198</v>
      </c>
      <c r="B47" s="94" t="str">
        <f t="shared" ca="1" si="0"/>
        <v>Savamarta barna tegla-Low-e 4mm termó</v>
      </c>
      <c r="C47" s="90"/>
      <c r="D47" s="87" t="str">
        <f t="shared" ca="1" si="1"/>
        <v>324.00</v>
      </c>
      <c r="E47" s="90" t="s">
        <v>153</v>
      </c>
      <c r="F47" s="90"/>
      <c r="G47" s="90"/>
      <c r="H47" s="87" t="str">
        <f t="shared" ca="1" si="2"/>
        <v>276.00</v>
      </c>
      <c r="I47" s="90" t="s">
        <v>153</v>
      </c>
      <c r="J47" s="47" t="str">
        <f t="shared" ca="1" si="3"/>
        <v>Duplex</v>
      </c>
    </row>
    <row r="48" spans="1:10" ht="14.25" customHeight="1" x14ac:dyDescent="0.3">
      <c r="A48" s="90" t="s">
        <v>199</v>
      </c>
      <c r="B48" s="94" t="str">
        <f t="shared" ca="1" si="0"/>
        <v>Savmarta feher Tegla-Low-e 4mm termó</v>
      </c>
      <c r="C48" s="90"/>
      <c r="D48" s="87" t="str">
        <f t="shared" ca="1" si="1"/>
        <v>295.00</v>
      </c>
      <c r="E48" s="90" t="s">
        <v>153</v>
      </c>
      <c r="F48" s="90"/>
      <c r="G48" s="90"/>
      <c r="H48" s="87" t="str">
        <f t="shared" ca="1" si="2"/>
        <v>251.00</v>
      </c>
      <c r="I48" s="90" t="s">
        <v>153</v>
      </c>
      <c r="J48" s="47" t="str">
        <f t="shared" ca="1" si="3"/>
        <v>Duplex</v>
      </c>
    </row>
    <row r="49" spans="1:10" ht="14.25" customHeight="1" x14ac:dyDescent="0.3">
      <c r="A49" s="90" t="s">
        <v>200</v>
      </c>
      <c r="B49" s="94" t="str">
        <f t="shared" ca="1" si="0"/>
        <v>Duplex 3.1.3.-Duplex 3.1.3. termó</v>
      </c>
      <c r="C49" s="90"/>
      <c r="D49" s="87" t="str">
        <f t="shared" ca="1" si="1"/>
        <v>319.00</v>
      </c>
      <c r="E49" s="90" t="s">
        <v>153</v>
      </c>
      <c r="F49" s="90"/>
      <c r="G49" s="90"/>
      <c r="H49" s="87" t="str">
        <f t="shared" ca="1" si="2"/>
        <v>272.00</v>
      </c>
      <c r="I49" s="90" t="s">
        <v>153</v>
      </c>
      <c r="J49" s="47" t="str">
        <f t="shared" ca="1" si="3"/>
        <v>Duplex</v>
      </c>
    </row>
    <row r="50" spans="1:10" ht="14.25" customHeight="1" x14ac:dyDescent="0.3">
      <c r="A50" s="90" t="s">
        <v>202</v>
      </c>
      <c r="B50" s="94" t="str">
        <f t="shared" ca="1" si="0"/>
        <v>Barna delta 2-Tukor 4mm termó</v>
      </c>
      <c r="C50" s="90"/>
      <c r="D50" s="87" t="str">
        <f t="shared" ca="1" si="1"/>
        <v>357.00</v>
      </c>
      <c r="E50" s="90" t="s">
        <v>153</v>
      </c>
      <c r="F50" s="90"/>
      <c r="G50" s="90"/>
      <c r="H50" s="87" t="str">
        <f t="shared" ca="1" si="2"/>
        <v>304.00</v>
      </c>
      <c r="I50" s="90" t="s">
        <v>153</v>
      </c>
      <c r="J50" s="47" t="str">
        <f t="shared" ca="1" si="3"/>
        <v>Duplex</v>
      </c>
    </row>
    <row r="51" spans="1:10" ht="14.25" customHeight="1" x14ac:dyDescent="0.3">
      <c r="A51" s="90" t="s">
        <v>203</v>
      </c>
      <c r="B51" s="94" t="str">
        <f t="shared" ca="1" si="0"/>
        <v>Reflexios 4mm-Savmarta barna tuskes termó</v>
      </c>
      <c r="C51" s="90"/>
      <c r="D51" s="87" t="str">
        <f t="shared" ca="1" si="1"/>
        <v>386.00</v>
      </c>
      <c r="E51" s="90" t="s">
        <v>153</v>
      </c>
      <c r="F51" s="90"/>
      <c r="G51" s="90"/>
      <c r="H51" s="87" t="str">
        <f t="shared" ca="1" si="2"/>
        <v>329.00</v>
      </c>
      <c r="I51" s="90" t="s">
        <v>153</v>
      </c>
      <c r="J51" s="47" t="str">
        <f t="shared" ca="1" si="3"/>
        <v>Duplex</v>
      </c>
    </row>
    <row r="52" spans="1:10" ht="14.25" customHeight="1" x14ac:dyDescent="0.3">
      <c r="A52" s="90" t="s">
        <v>204</v>
      </c>
      <c r="B52" s="94" t="str">
        <f t="shared" ca="1" si="0"/>
        <v>Satin bronz-Satin bronz termó</v>
      </c>
      <c r="C52" s="90"/>
      <c r="D52" s="87" t="str">
        <f t="shared" ca="1" si="1"/>
        <v>303.00</v>
      </c>
      <c r="E52" s="90" t="s">
        <v>153</v>
      </c>
      <c r="F52" s="90"/>
      <c r="G52" s="90"/>
      <c r="H52" s="87" t="str">
        <f t="shared" ca="1" si="2"/>
        <v>258.00</v>
      </c>
      <c r="I52" s="90" t="s">
        <v>153</v>
      </c>
      <c r="J52" s="47" t="str">
        <f t="shared" ca="1" si="3"/>
        <v>Duplex</v>
      </c>
    </row>
    <row r="53" spans="1:10" ht="14.25" customHeight="1" x14ac:dyDescent="0.3">
      <c r="A53" s="90" t="s">
        <v>205</v>
      </c>
      <c r="B53" s="94" t="str">
        <f t="shared" ca="1" si="0"/>
        <v>4 evszakos-Homokfujt 4mm-Low-e 4mm termó</v>
      </c>
      <c r="C53" s="90"/>
      <c r="D53" s="87" t="str">
        <f t="shared" ca="1" si="1"/>
        <v>424.00</v>
      </c>
      <c r="E53" s="90" t="s">
        <v>153</v>
      </c>
      <c r="F53" s="90"/>
      <c r="G53" s="90"/>
      <c r="H53" s="87" t="str">
        <f t="shared" ca="1" si="2"/>
        <v>361.00</v>
      </c>
      <c r="I53" s="90" t="s">
        <v>153</v>
      </c>
      <c r="J53" s="47" t="str">
        <f t="shared" ca="1" si="3"/>
        <v>Triplex</v>
      </c>
    </row>
    <row r="54" spans="1:10" ht="14.25" customHeight="1" x14ac:dyDescent="0.3">
      <c r="A54" s="90" t="s">
        <v>206</v>
      </c>
      <c r="B54" s="94" t="str">
        <f t="shared" ca="1" si="0"/>
        <v>Float 6mm-Float 4mm termó</v>
      </c>
      <c r="C54" s="90"/>
      <c r="D54" s="87" t="str">
        <f t="shared" ca="1" si="1"/>
        <v>215.00</v>
      </c>
      <c r="E54" s="90" t="s">
        <v>153</v>
      </c>
      <c r="F54" s="90"/>
      <c r="G54" s="90"/>
      <c r="H54" s="87" t="str">
        <f t="shared" ca="1" si="2"/>
        <v>183.00</v>
      </c>
      <c r="I54" s="90" t="s">
        <v>153</v>
      </c>
      <c r="J54" s="47" t="str">
        <f t="shared" ca="1" si="3"/>
        <v>Duplex</v>
      </c>
    </row>
    <row r="55" spans="1:10" ht="14.25" customHeight="1" x14ac:dyDescent="0.3">
      <c r="A55" s="90" t="s">
        <v>207</v>
      </c>
      <c r="B55" s="94" t="str">
        <f t="shared" ca="1" si="0"/>
        <v>Reflexios 4mm-Float 4mm termó</v>
      </c>
      <c r="C55" s="90"/>
      <c r="D55" s="87" t="str">
        <f t="shared" ca="1" si="1"/>
        <v>272.00</v>
      </c>
      <c r="E55" s="90" t="s">
        <v>153</v>
      </c>
      <c r="F55" s="90"/>
      <c r="G55" s="90"/>
      <c r="H55" s="87" t="str">
        <f t="shared" ca="1" si="2"/>
        <v>232.00</v>
      </c>
      <c r="I55" s="90" t="s">
        <v>153</v>
      </c>
      <c r="J55" s="47" t="str">
        <f t="shared" ca="1" si="3"/>
        <v>Duplex</v>
      </c>
    </row>
    <row r="56" spans="1:10" ht="14.25" customHeight="1" x14ac:dyDescent="0.3">
      <c r="A56" s="90" t="s">
        <v>208</v>
      </c>
      <c r="B56" s="94" t="str">
        <f t="shared" ca="1" si="0"/>
        <v>Feher csincsilla-Low-e 4mm termó</v>
      </c>
      <c r="C56" s="90"/>
      <c r="D56" s="87" t="str">
        <f t="shared" ca="1" si="1"/>
        <v>272.00</v>
      </c>
      <c r="E56" s="90" t="s">
        <v>153</v>
      </c>
      <c r="F56" s="90"/>
      <c r="G56" s="90"/>
      <c r="H56" s="87" t="str">
        <f t="shared" ca="1" si="2"/>
        <v>232.00</v>
      </c>
      <c r="I56" s="90" t="s">
        <v>153</v>
      </c>
      <c r="J56" s="47" t="str">
        <f t="shared" ca="1" si="3"/>
        <v>Duplex</v>
      </c>
    </row>
    <row r="57" spans="1:10" ht="14.25" customHeight="1" x14ac:dyDescent="0.3">
      <c r="A57" s="90" t="s">
        <v>209</v>
      </c>
      <c r="B57" s="94" t="str">
        <f t="shared" ca="1" si="0"/>
        <v>Savmarta feher tuskes-Float 4mm termó</v>
      </c>
      <c r="C57" s="90"/>
      <c r="D57" s="87" t="str">
        <f t="shared" ca="1" si="1"/>
        <v>273.00</v>
      </c>
      <c r="E57" s="90" t="s">
        <v>153</v>
      </c>
      <c r="F57" s="90"/>
      <c r="G57" s="90"/>
      <c r="H57" s="87" t="str">
        <f t="shared" ca="1" si="2"/>
        <v>233.00</v>
      </c>
      <c r="I57" s="90" t="s">
        <v>153</v>
      </c>
      <c r="J57" s="47" t="str">
        <f t="shared" ca="1" si="3"/>
        <v>Duplex</v>
      </c>
    </row>
    <row r="58" spans="1:10" ht="14.25" customHeight="1" x14ac:dyDescent="0.3">
      <c r="A58" s="90" t="s">
        <v>210</v>
      </c>
      <c r="B58" s="94" t="str">
        <f t="shared" ca="1" si="0"/>
        <v>Savmarta barna tuskes-Float 4mm termó</v>
      </c>
      <c r="C58" s="90"/>
      <c r="D58" s="87" t="str">
        <f t="shared" ca="1" si="1"/>
        <v>302.00</v>
      </c>
      <c r="E58" s="90" t="s">
        <v>153</v>
      </c>
      <c r="F58" s="90"/>
      <c r="G58" s="90"/>
      <c r="H58" s="87" t="str">
        <f t="shared" ca="1" si="2"/>
        <v>257.00</v>
      </c>
      <c r="I58" s="90" t="s">
        <v>153</v>
      </c>
      <c r="J58" s="47" t="str">
        <f t="shared" ca="1" si="3"/>
        <v>Duplex</v>
      </c>
    </row>
    <row r="59" spans="1:10" ht="14.25" customHeight="1" x14ac:dyDescent="0.3">
      <c r="A59" s="90" t="s">
        <v>211</v>
      </c>
      <c r="B59" s="94" t="str">
        <f t="shared" ca="1" si="0"/>
        <v>Savmarta barna hovirag-Low-e 4mm termó</v>
      </c>
      <c r="C59" s="90"/>
      <c r="D59" s="87" t="str">
        <f t="shared" ca="1" si="1"/>
        <v>324.00</v>
      </c>
      <c r="E59" s="90" t="s">
        <v>153</v>
      </c>
      <c r="F59" s="90"/>
      <c r="G59" s="90"/>
      <c r="H59" s="87" t="str">
        <f t="shared" ca="1" si="2"/>
        <v>276.00</v>
      </c>
      <c r="I59" s="90" t="s">
        <v>153</v>
      </c>
      <c r="J59" s="47" t="str">
        <f t="shared" ca="1" si="3"/>
        <v>Duplex</v>
      </c>
    </row>
    <row r="60" spans="1:10" ht="14.25" customHeight="1" x14ac:dyDescent="0.3">
      <c r="A60" s="90" t="s">
        <v>212</v>
      </c>
      <c r="B60" s="94" t="str">
        <f t="shared" ca="1" si="0"/>
        <v>Duplex 3.1.3.-Homokfujt 4mm-Low-e 4mm termó</v>
      </c>
      <c r="C60" s="90"/>
      <c r="D60" s="87" t="str">
        <f t="shared" ca="1" si="1"/>
        <v>463.00</v>
      </c>
      <c r="E60" s="90" t="s">
        <v>153</v>
      </c>
      <c r="F60" s="90"/>
      <c r="G60" s="90"/>
      <c r="H60" s="87" t="str">
        <f t="shared" ca="1" si="2"/>
        <v>394.00</v>
      </c>
      <c r="I60" s="90" t="s">
        <v>153</v>
      </c>
      <c r="J60" s="47" t="str">
        <f t="shared" ca="1" si="3"/>
        <v>Triplex</v>
      </c>
    </row>
    <row r="61" spans="1:10" ht="14.25" customHeight="1" x14ac:dyDescent="0.3">
      <c r="A61" s="90" t="s">
        <v>213</v>
      </c>
      <c r="B61" s="94" t="str">
        <f t="shared" ca="1" si="0"/>
        <v>Duplakockas-Float 4mm-Low-e 4mm termó</v>
      </c>
      <c r="C61" s="90"/>
      <c r="D61" s="87" t="str">
        <f t="shared" ca="1" si="1"/>
        <v>403.00</v>
      </c>
      <c r="E61" s="90" t="s">
        <v>153</v>
      </c>
      <c r="F61" s="90"/>
      <c r="G61" s="90"/>
      <c r="H61" s="87" t="str">
        <f t="shared" ca="1" si="2"/>
        <v>343.00</v>
      </c>
      <c r="I61" s="90" t="s">
        <v>153</v>
      </c>
      <c r="J61" s="47" t="str">
        <f t="shared" ca="1" si="3"/>
        <v>Triplex</v>
      </c>
    </row>
    <row r="62" spans="1:10" ht="14.25" customHeight="1" x14ac:dyDescent="0.3">
      <c r="A62" s="90" t="s">
        <v>214</v>
      </c>
      <c r="B62" s="94" t="str">
        <f t="shared" ca="1" si="0"/>
        <v>Fustos 4mm-Mintas uveg feher fatorzs termó</v>
      </c>
      <c r="C62" s="90"/>
      <c r="D62" s="87" t="str">
        <f t="shared" ca="1" si="1"/>
        <v>327.00</v>
      </c>
      <c r="E62" s="90" t="s">
        <v>153</v>
      </c>
      <c r="F62" s="90"/>
      <c r="G62" s="90"/>
      <c r="H62" s="87" t="str">
        <f t="shared" ca="1" si="2"/>
        <v>278.00</v>
      </c>
      <c r="I62" s="90" t="s">
        <v>153</v>
      </c>
      <c r="J62" s="47" t="str">
        <f t="shared" ca="1" si="3"/>
        <v>Duplex</v>
      </c>
    </row>
    <row r="63" spans="1:10" ht="14.25" customHeight="1" x14ac:dyDescent="0.3">
      <c r="A63" s="90" t="s">
        <v>215</v>
      </c>
      <c r="B63" s="94" t="str">
        <f t="shared" ca="1" si="0"/>
        <v>4 evszakos-Mintas uveg feher fatorzs-Low-e 4mm termó</v>
      </c>
      <c r="C63" s="90"/>
      <c r="D63" s="87" t="str">
        <f t="shared" ca="1" si="1"/>
        <v>442.00</v>
      </c>
      <c r="E63" s="90" t="s">
        <v>153</v>
      </c>
      <c r="F63" s="90"/>
      <c r="G63" s="90"/>
      <c r="H63" s="87" t="str">
        <f t="shared" ca="1" si="2"/>
        <v>376.00</v>
      </c>
      <c r="I63" s="90" t="s">
        <v>153</v>
      </c>
      <c r="J63" s="47" t="str">
        <f t="shared" ca="1" si="3"/>
        <v>Triplex</v>
      </c>
    </row>
    <row r="64" spans="1:10" ht="14.25" customHeight="1" x14ac:dyDescent="0.3">
      <c r="A64" s="90" t="s">
        <v>216</v>
      </c>
      <c r="B64" s="94" t="str">
        <f t="shared" ca="1" si="0"/>
        <v>Float 6mm-Float 4mm-Float 4mm termó</v>
      </c>
      <c r="C64" s="90"/>
      <c r="D64" s="87" t="str">
        <f t="shared" ca="1" si="1"/>
        <v>346.00</v>
      </c>
      <c r="E64" s="90" t="s">
        <v>153</v>
      </c>
      <c r="F64" s="90"/>
      <c r="G64" s="90"/>
      <c r="H64" s="87" t="str">
        <f t="shared" ca="1" si="2"/>
        <v>295.00</v>
      </c>
      <c r="I64" s="90" t="s">
        <v>153</v>
      </c>
      <c r="J64" s="47" t="str">
        <f t="shared" ca="1" si="3"/>
        <v>Triplex</v>
      </c>
    </row>
    <row r="65" spans="1:10" ht="14.25" customHeight="1" x14ac:dyDescent="0.3">
      <c r="A65" s="90" t="s">
        <v>217</v>
      </c>
      <c r="B65" s="94" t="str">
        <f t="shared" ca="1" si="0"/>
        <v>Barna fatorzs-Float 4mm termó</v>
      </c>
      <c r="C65" s="90"/>
      <c r="D65" s="87" t="str">
        <f t="shared" ca="1" si="1"/>
        <v>285.00</v>
      </c>
      <c r="E65" s="90" t="s">
        <v>153</v>
      </c>
      <c r="F65" s="90"/>
      <c r="G65" s="90"/>
      <c r="H65" s="87" t="str">
        <f t="shared" ca="1" si="2"/>
        <v>243.00</v>
      </c>
      <c r="I65" s="90" t="s">
        <v>153</v>
      </c>
      <c r="J65" s="47" t="str">
        <f t="shared" ca="1" si="3"/>
        <v>Duplex</v>
      </c>
    </row>
    <row r="66" spans="1:10" ht="14.25" customHeight="1" x14ac:dyDescent="0.3">
      <c r="A66" s="90" t="s">
        <v>218</v>
      </c>
      <c r="B66" s="94" t="str">
        <f t="shared" ca="1" si="0"/>
        <v>4 evszakos-Savmarta feher Tegla-Low-e 4mm termó</v>
      </c>
      <c r="C66" s="90"/>
      <c r="D66" s="87" t="str">
        <f t="shared" ca="1" si="1"/>
        <v>442.00</v>
      </c>
      <c r="E66" s="90" t="s">
        <v>153</v>
      </c>
      <c r="F66" s="90"/>
      <c r="G66" s="90"/>
      <c r="H66" s="87" t="str">
        <f t="shared" ca="1" si="2"/>
        <v>376.00</v>
      </c>
      <c r="I66" s="90" t="s">
        <v>153</v>
      </c>
      <c r="J66" s="47" t="str">
        <f t="shared" ca="1" si="3"/>
        <v>Triplex</v>
      </c>
    </row>
    <row r="67" spans="1:10" ht="14.25" customHeight="1" x14ac:dyDescent="0.3">
      <c r="A67" s="90" t="s">
        <v>219</v>
      </c>
      <c r="B67" s="94" t="str">
        <f t="shared" ca="1" si="0"/>
        <v>Reflexios 4mm-Float 4mm-Low-e 4mm termó</v>
      </c>
      <c r="C67" s="90"/>
      <c r="D67" s="87" t="str">
        <f t="shared" ca="1" si="1"/>
        <v>425.00</v>
      </c>
      <c r="E67" s="90" t="s">
        <v>153</v>
      </c>
      <c r="F67" s="90"/>
      <c r="G67" s="90"/>
      <c r="H67" s="87" t="str">
        <f t="shared" ca="1" si="2"/>
        <v>362.00</v>
      </c>
      <c r="I67" s="90" t="s">
        <v>153</v>
      </c>
      <c r="J67" s="47" t="str">
        <f t="shared" ca="1" si="3"/>
        <v>Triplex</v>
      </c>
    </row>
    <row r="68" spans="1:10" ht="14.25" customHeight="1" x14ac:dyDescent="0.3">
      <c r="A68" s="90" t="s">
        <v>220</v>
      </c>
      <c r="B68" s="94" t="str">
        <f t="shared" ca="1" si="0"/>
        <v>Float 6mm-Float 4mm-Low-e 4mm termó</v>
      </c>
      <c r="C68" s="90"/>
      <c r="D68" s="87" t="str">
        <f t="shared" ca="1" si="1"/>
        <v>368.00</v>
      </c>
      <c r="E68" s="90" t="s">
        <v>153</v>
      </c>
      <c r="F68" s="90"/>
      <c r="G68" s="90"/>
      <c r="H68" s="87" t="str">
        <f t="shared" ca="1" si="2"/>
        <v>313.00</v>
      </c>
      <c r="I68" s="90" t="s">
        <v>153</v>
      </c>
      <c r="J68" s="47" t="str">
        <f t="shared" ca="1" si="3"/>
        <v>Triplex</v>
      </c>
    </row>
    <row r="69" spans="1:10" ht="14.25" customHeight="1" x14ac:dyDescent="0.3">
      <c r="A69" s="90" t="s">
        <v>221</v>
      </c>
      <c r="B69" s="94" t="str">
        <f t="shared" ca="1" si="0"/>
        <v>4 evszakos-Low-e 4mm-Duplex 3.1.3. termó</v>
      </c>
      <c r="C69" s="90"/>
      <c r="D69" s="87" t="str">
        <f t="shared" ca="1" si="1"/>
        <v>433.00</v>
      </c>
      <c r="E69" s="90" t="s">
        <v>153</v>
      </c>
      <c r="F69" s="90"/>
      <c r="G69" s="90"/>
      <c r="H69" s="87" t="str">
        <f t="shared" ca="1" si="2"/>
        <v>369.00</v>
      </c>
      <c r="I69" s="90" t="s">
        <v>153</v>
      </c>
      <c r="J69" s="47" t="str">
        <f t="shared" ca="1" si="3"/>
        <v>Triplex</v>
      </c>
    </row>
    <row r="70" spans="1:10" ht="14.25" customHeight="1" x14ac:dyDescent="0.3">
      <c r="A70" s="90" t="s">
        <v>222</v>
      </c>
      <c r="B70" s="94" t="str">
        <f t="shared" ca="1" si="0"/>
        <v>Savmarta feher Tegla-Float 4mm-Low-e 4mm termó</v>
      </c>
      <c r="C70" s="90"/>
      <c r="D70" s="87" t="str">
        <f t="shared" ca="1" si="1"/>
        <v>426.00</v>
      </c>
      <c r="E70" s="90" t="s">
        <v>153</v>
      </c>
      <c r="F70" s="90"/>
      <c r="G70" s="90"/>
      <c r="H70" s="87" t="str">
        <f t="shared" ca="1" si="2"/>
        <v>363.00</v>
      </c>
      <c r="I70" s="90" t="s">
        <v>153</v>
      </c>
      <c r="J70" s="47" t="str">
        <f t="shared" ca="1" si="3"/>
        <v>Triplex</v>
      </c>
    </row>
    <row r="71" spans="1:10" ht="14.25" customHeight="1" x14ac:dyDescent="0.3">
      <c r="A71" s="90" t="s">
        <v>223</v>
      </c>
      <c r="B71" s="94" t="str">
        <f t="shared" ca="1" si="0"/>
        <v>Tukor 4mm-Barna fatorzs termó</v>
      </c>
      <c r="C71" s="90"/>
      <c r="D71" s="87" t="str">
        <f t="shared" ca="1" si="1"/>
        <v>357.00</v>
      </c>
      <c r="E71" s="90" t="s">
        <v>153</v>
      </c>
      <c r="F71" s="90"/>
      <c r="G71" s="90"/>
      <c r="H71" s="87" t="str">
        <f t="shared" ca="1" si="2"/>
        <v>304.00</v>
      </c>
      <c r="I71" s="90" t="s">
        <v>153</v>
      </c>
      <c r="J71" s="47" t="str">
        <f t="shared" ca="1" si="3"/>
        <v>Duplex</v>
      </c>
    </row>
    <row r="72" spans="1:10" ht="14.25" customHeight="1" x14ac:dyDescent="0.3">
      <c r="A72" s="90" t="s">
        <v>224</v>
      </c>
      <c r="B72" s="94" t="str">
        <f t="shared" ca="1" si="0"/>
        <v>Barna delta 2-Float 4mm termó</v>
      </c>
      <c r="C72" s="90"/>
      <c r="D72" s="87" t="str">
        <f t="shared" ca="1" si="1"/>
        <v>285.00</v>
      </c>
      <c r="E72" s="90" t="s">
        <v>153</v>
      </c>
      <c r="F72" s="90"/>
      <c r="G72" s="90"/>
      <c r="H72" s="87" t="str">
        <f t="shared" ca="1" si="2"/>
        <v>243.00</v>
      </c>
      <c r="I72" s="90" t="s">
        <v>153</v>
      </c>
      <c r="J72" s="47" t="str">
        <f t="shared" ca="1" si="3"/>
        <v>Duplex</v>
      </c>
    </row>
    <row r="73" spans="1:10" ht="14.25" customHeight="1" x14ac:dyDescent="0.3">
      <c r="A73" s="90" t="s">
        <v>225</v>
      </c>
      <c r="B73" s="94" t="str">
        <f t="shared" ca="1" si="0"/>
        <v>Fehér hóvirág-Low-e 4mm-Low-e 4mm termó</v>
      </c>
      <c r="C73" s="90"/>
      <c r="D73" s="87" t="str">
        <f t="shared" ca="1" si="1"/>
        <v>448.00</v>
      </c>
      <c r="E73" s="90" t="s">
        <v>153</v>
      </c>
      <c r="F73" s="90"/>
      <c r="G73" s="90"/>
      <c r="H73" s="87" t="str">
        <f t="shared" ca="1" si="2"/>
        <v>381.00</v>
      </c>
      <c r="I73" s="90" t="s">
        <v>153</v>
      </c>
      <c r="J73" s="47" t="str">
        <f t="shared" ca="1" si="3"/>
        <v>Triplex</v>
      </c>
    </row>
    <row r="74" spans="1:10" ht="14.25" customHeight="1" x14ac:dyDescent="0.3">
      <c r="A74" s="90" t="s">
        <v>226</v>
      </c>
      <c r="B74" s="94" t="str">
        <f t="shared" ca="1" si="0"/>
        <v>4 evszakos-Float 4mm-Duplex 3.1.3. termó</v>
      </c>
      <c r="C74" s="90"/>
      <c r="D74" s="87" t="str">
        <f t="shared" ca="1" si="1"/>
        <v>411.00</v>
      </c>
      <c r="E74" s="90" t="s">
        <v>153</v>
      </c>
      <c r="F74" s="90"/>
      <c r="G74" s="90"/>
      <c r="H74" s="87" t="str">
        <f t="shared" ca="1" si="2"/>
        <v>350.00</v>
      </c>
      <c r="I74" s="90" t="s">
        <v>153</v>
      </c>
      <c r="J74" s="47" t="str">
        <f t="shared" ca="1" si="3"/>
        <v>Triplex</v>
      </c>
    </row>
    <row r="75" spans="1:10" ht="14.25" customHeight="1" x14ac:dyDescent="0.3">
      <c r="A75" s="90" t="s">
        <v>227</v>
      </c>
      <c r="B75" s="94" t="str">
        <f t="shared" ca="1" si="0"/>
        <v>Savmarta feher Tegla-Float 4mm termó</v>
      </c>
      <c r="C75" s="90"/>
      <c r="D75" s="87" t="str">
        <f t="shared" ca="1" si="1"/>
        <v>273.00</v>
      </c>
      <c r="E75" s="90" t="s">
        <v>153</v>
      </c>
      <c r="F75" s="90"/>
      <c r="G75" s="90"/>
      <c r="H75" s="87" t="str">
        <f t="shared" ca="1" si="2"/>
        <v>233.00</v>
      </c>
      <c r="I75" s="90" t="s">
        <v>153</v>
      </c>
      <c r="J75" s="47" t="str">
        <f t="shared" ca="1" si="3"/>
        <v>Duplex</v>
      </c>
    </row>
    <row r="76" spans="1:10" ht="14.25" customHeight="1" x14ac:dyDescent="0.3">
      <c r="A76" s="90" t="s">
        <v>228</v>
      </c>
      <c r="B76" s="94" t="str">
        <f t="shared" ca="1" si="0"/>
        <v>Savmarta barna hovirag-Float 4mm-Low-e 4mm termó</v>
      </c>
      <c r="C76" s="90"/>
      <c r="D76" s="87" t="str">
        <f t="shared" ca="1" si="1"/>
        <v>476.00</v>
      </c>
      <c r="E76" s="90" t="s">
        <v>153</v>
      </c>
      <c r="F76" s="90"/>
      <c r="G76" s="90"/>
      <c r="H76" s="87" t="str">
        <f t="shared" ca="1" si="2"/>
        <v>405.00</v>
      </c>
      <c r="I76" s="90" t="s">
        <v>153</v>
      </c>
      <c r="J76" s="47" t="str">
        <f t="shared" ca="1" si="3"/>
        <v>Triplex</v>
      </c>
    </row>
    <row r="77" spans="1:10" ht="14.25" customHeight="1" x14ac:dyDescent="0.3">
      <c r="A77" s="90" t="s">
        <v>229</v>
      </c>
      <c r="B77" s="94" t="str">
        <f t="shared" ca="1" si="0"/>
        <v>4 evszakos-Satin bronz-Low-e 4mm termó</v>
      </c>
      <c r="C77" s="90"/>
      <c r="D77" s="87" t="str">
        <f t="shared" ca="1" si="1"/>
        <v>425.00</v>
      </c>
      <c r="E77" s="90" t="s">
        <v>153</v>
      </c>
      <c r="F77" s="90"/>
      <c r="G77" s="90"/>
      <c r="H77" s="87" t="str">
        <f t="shared" ca="1" si="2"/>
        <v>362.00</v>
      </c>
      <c r="I77" s="90" t="s">
        <v>153</v>
      </c>
      <c r="J77" s="47" t="str">
        <f t="shared" ca="1" si="3"/>
        <v>Triplex</v>
      </c>
    </row>
    <row r="78" spans="1:10" ht="14.25" customHeight="1" x14ac:dyDescent="0.3">
      <c r="A78" s="90" t="s">
        <v>230</v>
      </c>
      <c r="B78" s="94" t="str">
        <f t="shared" ca="1" si="0"/>
        <v>Savmarta feher tuskes-Low-e 4mm-Low-e 4mm termó</v>
      </c>
      <c r="C78" s="90"/>
      <c r="D78" s="87" t="str">
        <f t="shared" ca="1" si="1"/>
        <v>448.00</v>
      </c>
      <c r="E78" s="90" t="s">
        <v>153</v>
      </c>
      <c r="F78" s="90"/>
      <c r="G78" s="90"/>
      <c r="H78" s="87" t="str">
        <f t="shared" ca="1" si="2"/>
        <v>381.00</v>
      </c>
      <c r="I78" s="90" t="s">
        <v>153</v>
      </c>
      <c r="J78" s="47" t="str">
        <f t="shared" ca="1" si="3"/>
        <v>Triplex</v>
      </c>
    </row>
    <row r="79" spans="1:10" ht="14.25" customHeight="1" x14ac:dyDescent="0.3">
      <c r="A79" s="90" t="s">
        <v>231</v>
      </c>
      <c r="B79" s="94" t="str">
        <f t="shared" ca="1" si="0"/>
        <v>Mintas uveg aprokockas-Low-e 4mm-Low-e 4mm termó</v>
      </c>
      <c r="C79" s="90"/>
      <c r="D79" s="87" t="str">
        <f t="shared" ca="1" si="1"/>
        <v>425.00</v>
      </c>
      <c r="E79" s="90" t="s">
        <v>153</v>
      </c>
      <c r="F79" s="90"/>
      <c r="G79" s="90"/>
      <c r="H79" s="87" t="str">
        <f t="shared" ca="1" si="2"/>
        <v>362.00</v>
      </c>
      <c r="I79" s="90" t="s">
        <v>153</v>
      </c>
      <c r="J79" s="47" t="str">
        <f t="shared" ca="1" si="3"/>
        <v>Triplex</v>
      </c>
    </row>
    <row r="80" spans="1:10" ht="14.25" customHeight="1" x14ac:dyDescent="0.3">
      <c r="A80" s="90" t="s">
        <v>232</v>
      </c>
      <c r="B80" s="94" t="str">
        <f t="shared" ca="1" si="0"/>
        <v>Barna fatorzs-Float 4mm-Low-e 4mm termó</v>
      </c>
      <c r="C80" s="90"/>
      <c r="D80" s="87" t="str">
        <f t="shared" ca="1" si="1"/>
        <v>438.00</v>
      </c>
      <c r="E80" s="90" t="s">
        <v>153</v>
      </c>
      <c r="F80" s="90"/>
      <c r="G80" s="90"/>
      <c r="H80" s="87" t="str">
        <f t="shared" ca="1" si="2"/>
        <v>373.00</v>
      </c>
      <c r="I80" s="90" t="s">
        <v>153</v>
      </c>
      <c r="J80" s="47" t="str">
        <f t="shared" ca="1" si="3"/>
        <v>Triplex</v>
      </c>
    </row>
    <row r="81" spans="1:10" ht="14.25" customHeight="1" x14ac:dyDescent="0.3">
      <c r="A81" s="90" t="s">
        <v>233</v>
      </c>
      <c r="B81" s="94" t="str">
        <f t="shared" ca="1" si="0"/>
        <v>Feher csincsilla-Low-e 4mm-Low-e 4mm termó</v>
      </c>
      <c r="C81" s="90"/>
      <c r="D81" s="87" t="str">
        <f t="shared" ca="1" si="1"/>
        <v>425.00</v>
      </c>
      <c r="E81" s="90" t="s">
        <v>153</v>
      </c>
      <c r="F81" s="90"/>
      <c r="G81" s="90"/>
      <c r="H81" s="87" t="str">
        <f t="shared" ca="1" si="2"/>
        <v>362.00</v>
      </c>
      <c r="I81" s="90" t="s">
        <v>153</v>
      </c>
      <c r="J81" s="47" t="str">
        <f t="shared" ca="1" si="3"/>
        <v>Triplex</v>
      </c>
    </row>
    <row r="82" spans="1:10" ht="14.25" customHeight="1" x14ac:dyDescent="0.3">
      <c r="A82" s="90" t="s">
        <v>234</v>
      </c>
      <c r="B82" s="94" t="str">
        <f t="shared" ca="1" si="0"/>
        <v>Feher screen-Tukor 4mm termó</v>
      </c>
      <c r="C82" s="90"/>
      <c r="D82" s="87" t="str">
        <f t="shared" ca="1" si="1"/>
        <v>315.00</v>
      </c>
      <c r="E82" s="90" t="s">
        <v>153</v>
      </c>
      <c r="F82" s="90"/>
      <c r="G82" s="90"/>
      <c r="H82" s="87" t="str">
        <f t="shared" ca="1" si="2"/>
        <v>268.00</v>
      </c>
      <c r="I82" s="90" t="s">
        <v>153</v>
      </c>
      <c r="J82" s="47" t="str">
        <f t="shared" ca="1" si="3"/>
        <v>Duplex</v>
      </c>
    </row>
    <row r="83" spans="1:10" ht="14.25" customHeight="1" x14ac:dyDescent="0.3">
      <c r="A83" s="90" t="s">
        <v>235</v>
      </c>
      <c r="B83" s="94" t="str">
        <f t="shared" ca="1" si="0"/>
        <v>Duplex 3.1.3.-Homokfujt 4mm termó</v>
      </c>
      <c r="C83" s="90"/>
      <c r="D83" s="87" t="str">
        <f t="shared" ca="1" si="1"/>
        <v>310.00</v>
      </c>
      <c r="E83" s="90" t="s">
        <v>153</v>
      </c>
      <c r="F83" s="90"/>
      <c r="G83" s="90"/>
      <c r="H83" s="87" t="str">
        <f t="shared" ca="1" si="2"/>
        <v>264.00</v>
      </c>
      <c r="I83" s="90" t="s">
        <v>153</v>
      </c>
      <c r="J83" s="47" t="str">
        <f t="shared" ca="1" si="3"/>
        <v>Duplex</v>
      </c>
    </row>
    <row r="84" spans="1:10" ht="14.25" customHeight="1" x14ac:dyDescent="0.3">
      <c r="A84" s="90" t="s">
        <v>236</v>
      </c>
      <c r="B84" s="94" t="str">
        <f t="shared" ca="1" si="0"/>
        <v>Tukor 4mm-Savmarta feher tuskes termó</v>
      </c>
      <c r="C84" s="90"/>
      <c r="D84" s="87" t="str">
        <f t="shared" ca="1" si="1"/>
        <v>345.00</v>
      </c>
      <c r="E84" s="90" t="s">
        <v>153</v>
      </c>
      <c r="F84" s="90"/>
      <c r="G84" s="90"/>
      <c r="H84" s="87" t="str">
        <f t="shared" ca="1" si="2"/>
        <v>294.00</v>
      </c>
      <c r="I84" s="90" t="s">
        <v>153</v>
      </c>
      <c r="J84" s="47" t="str">
        <f t="shared" ca="1" si="3"/>
        <v>Duplex</v>
      </c>
    </row>
    <row r="85" spans="1:10" ht="14.25" customHeight="1" x14ac:dyDescent="0.3">
      <c r="A85" s="90" t="s">
        <v>237</v>
      </c>
      <c r="B85" s="94" t="str">
        <f t="shared" ca="1" si="0"/>
        <v>Tukor 4mm-Satin bronz termó</v>
      </c>
      <c r="C85" s="90"/>
      <c r="D85" s="87" t="str">
        <f t="shared" ca="1" si="1"/>
        <v>328.00</v>
      </c>
      <c r="E85" s="90" t="s">
        <v>153</v>
      </c>
      <c r="F85" s="90"/>
      <c r="G85" s="90"/>
      <c r="H85" s="87" t="str">
        <f t="shared" ca="1" si="2"/>
        <v>279.00</v>
      </c>
      <c r="I85" s="90" t="s">
        <v>153</v>
      </c>
      <c r="J85" s="47" t="str">
        <f t="shared" ca="1" si="3"/>
        <v>Duplex</v>
      </c>
    </row>
    <row r="86" spans="1:10" ht="14.25" customHeight="1" x14ac:dyDescent="0.3">
      <c r="A86" s="90" t="s">
        <v>238</v>
      </c>
      <c r="B86" s="94" t="str">
        <f t="shared" ca="1" si="0"/>
        <v>Float 4mm-Satin bronz termó</v>
      </c>
      <c r="C86" s="90"/>
      <c r="D86" s="87" t="str">
        <f t="shared" ca="1" si="1"/>
        <v>256.00</v>
      </c>
      <c r="E86" s="90" t="s">
        <v>153</v>
      </c>
      <c r="F86" s="90"/>
      <c r="G86" s="90"/>
      <c r="H86" s="87" t="str">
        <f t="shared" ca="1" si="2"/>
        <v>218.00</v>
      </c>
      <c r="I86" s="90" t="s">
        <v>153</v>
      </c>
      <c r="J86" s="47" t="str">
        <f t="shared" ca="1" si="3"/>
        <v>Duplex</v>
      </c>
    </row>
    <row r="87" spans="1:10" ht="14.25" customHeight="1" x14ac:dyDescent="0.3">
      <c r="A87" s="90" t="s">
        <v>239</v>
      </c>
      <c r="B87" s="94" t="str">
        <f t="shared" ca="1" si="0"/>
        <v>Savamarta barna tegla-Float 4mm-Low-e 4mm termó</v>
      </c>
      <c r="C87" s="90"/>
      <c r="D87" s="87" t="str">
        <f t="shared" ca="1" si="1"/>
        <v>476.00</v>
      </c>
      <c r="E87" s="90" t="s">
        <v>153</v>
      </c>
      <c r="F87" s="90"/>
      <c r="G87" s="90"/>
      <c r="H87" s="87" t="str">
        <f t="shared" ca="1" si="2"/>
        <v>405.00</v>
      </c>
      <c r="I87" s="90" t="s">
        <v>153</v>
      </c>
      <c r="J87" s="47" t="str">
        <f t="shared" ca="1" si="3"/>
        <v>Triplex</v>
      </c>
    </row>
    <row r="88" spans="1:10" ht="14.25" customHeight="1" x14ac:dyDescent="0.3">
      <c r="A88" s="90" t="s">
        <v>240</v>
      </c>
      <c r="B88" s="94" t="str">
        <f t="shared" ca="1" si="0"/>
        <v>Reflexios 4mm-Barna csincsilla termó</v>
      </c>
      <c r="C88" s="90"/>
      <c r="D88" s="87" t="str">
        <f t="shared" ca="1" si="1"/>
        <v>348.00</v>
      </c>
      <c r="E88" s="90" t="s">
        <v>153</v>
      </c>
      <c r="F88" s="90"/>
      <c r="G88" s="90"/>
      <c r="H88" s="87" t="str">
        <f t="shared" ca="1" si="2"/>
        <v>296.00</v>
      </c>
      <c r="I88" s="90" t="s">
        <v>153</v>
      </c>
      <c r="J88" s="47" t="str">
        <f t="shared" ca="1" si="3"/>
        <v>Duplex</v>
      </c>
    </row>
    <row r="89" spans="1:10" ht="14.25" customHeight="1" x14ac:dyDescent="0.3">
      <c r="A89" s="90" t="s">
        <v>241</v>
      </c>
      <c r="B89" s="94" t="str">
        <f t="shared" ca="1" si="0"/>
        <v>Homokfujt 4mm-Homokfujt 4mm termó</v>
      </c>
      <c r="C89" s="90"/>
      <c r="D89" s="87" t="str">
        <f t="shared" ca="1" si="1"/>
        <v>301.00</v>
      </c>
      <c r="E89" s="90" t="s">
        <v>153</v>
      </c>
      <c r="F89" s="90"/>
      <c r="G89" s="90"/>
      <c r="H89" s="87" t="str">
        <f t="shared" ca="1" si="2"/>
        <v>256.00</v>
      </c>
      <c r="I89" s="90" t="s">
        <v>153</v>
      </c>
      <c r="J89" s="47" t="str">
        <f t="shared" ca="1" si="3"/>
        <v>Duplex</v>
      </c>
    </row>
    <row r="90" spans="1:10" ht="14.25" customHeight="1" x14ac:dyDescent="0.3">
      <c r="A90" s="90" t="s">
        <v>242</v>
      </c>
      <c r="B90" s="94" t="str">
        <f t="shared" ca="1" si="0"/>
        <v>Tukor 4mm-Mintas uveg feher fatorzs termó</v>
      </c>
      <c r="C90" s="90"/>
      <c r="D90" s="87" t="str">
        <f t="shared" ca="1" si="1"/>
        <v>345.00</v>
      </c>
      <c r="E90" s="90" t="s">
        <v>153</v>
      </c>
      <c r="F90" s="90"/>
      <c r="G90" s="90"/>
      <c r="H90" s="87" t="str">
        <f t="shared" ca="1" si="2"/>
        <v>294.00</v>
      </c>
      <c r="I90" s="90" t="s">
        <v>153</v>
      </c>
      <c r="J90" s="47" t="str">
        <f t="shared" ca="1" si="3"/>
        <v>Duplex</v>
      </c>
    </row>
    <row r="91" spans="1:10" ht="14.25" customHeight="1" x14ac:dyDescent="0.3">
      <c r="A91" s="90" t="s">
        <v>243</v>
      </c>
      <c r="B91" s="94" t="str">
        <f t="shared" ca="1" si="0"/>
        <v>Reflexios 4mm-Float 4mm-Homokfujt 4mm termó</v>
      </c>
      <c r="C91" s="90"/>
      <c r="D91" s="87" t="str">
        <f t="shared" ca="1" si="1"/>
        <v>449.00</v>
      </c>
      <c r="E91" s="90" t="s">
        <v>153</v>
      </c>
      <c r="F91" s="90"/>
      <c r="G91" s="90"/>
      <c r="H91" s="87" t="str">
        <f t="shared" ca="1" si="2"/>
        <v>382.00</v>
      </c>
      <c r="I91" s="90" t="s">
        <v>153</v>
      </c>
      <c r="J91" s="47" t="str">
        <f t="shared" ca="1" si="3"/>
        <v>Triplex</v>
      </c>
    </row>
    <row r="92" spans="1:10" ht="14.25" customHeight="1" x14ac:dyDescent="0.3">
      <c r="A92" s="90" t="s">
        <v>244</v>
      </c>
      <c r="B92" s="94" t="str">
        <f t="shared" ca="1" si="0"/>
        <v>Savmarta barna tuskes-Low-e 4mm-Low-e 4mm termó</v>
      </c>
      <c r="C92" s="90"/>
      <c r="D92" s="87" t="str">
        <f t="shared" ca="1" si="1"/>
        <v>458.00</v>
      </c>
      <c r="E92" s="90" t="s">
        <v>153</v>
      </c>
      <c r="F92" s="90"/>
      <c r="G92" s="90"/>
      <c r="H92" s="87" t="str">
        <f t="shared" ca="1" si="2"/>
        <v>390.00</v>
      </c>
      <c r="I92" s="90" t="s">
        <v>153</v>
      </c>
      <c r="J92" s="47" t="str">
        <f t="shared" ca="1" si="3"/>
        <v>Triplex</v>
      </c>
    </row>
    <row r="93" spans="1:10" ht="14.25" customHeight="1" x14ac:dyDescent="0.3">
      <c r="A93" s="90" t="s">
        <v>245</v>
      </c>
      <c r="B93" s="94" t="str">
        <f t="shared" ca="1" si="0"/>
        <v>4 evszakos-Mintas uveg aprokockas-Low-e 4mm termó</v>
      </c>
      <c r="C93" s="90"/>
      <c r="D93" s="87" t="str">
        <f t="shared" ca="1" si="1"/>
        <v>419.00</v>
      </c>
      <c r="E93" s="90" t="s">
        <v>153</v>
      </c>
      <c r="F93" s="90"/>
      <c r="G93" s="90"/>
      <c r="H93" s="87" t="str">
        <f t="shared" ca="1" si="2"/>
        <v>357.00</v>
      </c>
      <c r="I93" s="90" t="s">
        <v>153</v>
      </c>
      <c r="J93" s="47" t="str">
        <f t="shared" ca="1" si="3"/>
        <v>Triplex</v>
      </c>
    </row>
    <row r="94" spans="1:10" ht="14.25" customHeight="1" x14ac:dyDescent="0.3">
      <c r="A94" s="90" t="s">
        <v>246</v>
      </c>
      <c r="B94" s="94" t="str">
        <f t="shared" ca="1" si="0"/>
        <v>Savmarta barna palma-Low-e 4mm termó</v>
      </c>
      <c r="C94" s="90"/>
      <c r="D94" s="87" t="str">
        <f t="shared" ca="1" si="1"/>
        <v>324.00</v>
      </c>
      <c r="E94" s="90" t="s">
        <v>153</v>
      </c>
      <c r="F94" s="90"/>
      <c r="G94" s="90"/>
      <c r="H94" s="87" t="str">
        <f t="shared" ca="1" si="2"/>
        <v>276.00</v>
      </c>
      <c r="I94" s="90" t="s">
        <v>153</v>
      </c>
      <c r="J94" s="47" t="str">
        <f t="shared" ca="1" si="3"/>
        <v>Duplex</v>
      </c>
    </row>
    <row r="95" spans="1:10" ht="14.25" customHeight="1" x14ac:dyDescent="0.3">
      <c r="A95" s="90" t="s">
        <v>247</v>
      </c>
      <c r="B95" s="94" t="str">
        <f t="shared" ca="1" si="0"/>
        <v>Savmarta feher Tegla-Low-e 4mm-Low-e 4mm termó</v>
      </c>
      <c r="C95" s="90"/>
      <c r="D95" s="87" t="str">
        <f t="shared" ca="1" si="1"/>
        <v>448.00</v>
      </c>
      <c r="E95" s="90" t="s">
        <v>153</v>
      </c>
      <c r="F95" s="90"/>
      <c r="G95" s="90"/>
      <c r="H95" s="87" t="str">
        <f t="shared" ca="1" si="2"/>
        <v>381.00</v>
      </c>
      <c r="I95" s="90" t="s">
        <v>153</v>
      </c>
      <c r="J95" s="47" t="str">
        <f t="shared" ca="1" si="3"/>
        <v>Triplex</v>
      </c>
    </row>
    <row r="96" spans="1:10" ht="14.25" customHeight="1" x14ac:dyDescent="0.3">
      <c r="A96" s="90" t="s">
        <v>248</v>
      </c>
      <c r="B96" s="94" t="str">
        <f t="shared" ca="1" si="0"/>
        <v>Barna fatorzs-Low-e 4mm-Low-e 4mm termó</v>
      </c>
      <c r="C96" s="90"/>
      <c r="D96" s="87" t="str">
        <f t="shared" ca="1" si="1"/>
        <v>460.00</v>
      </c>
      <c r="E96" s="90" t="s">
        <v>153</v>
      </c>
      <c r="F96" s="90"/>
      <c r="G96" s="90"/>
      <c r="H96" s="87" t="str">
        <f t="shared" ca="1" si="2"/>
        <v>391.00</v>
      </c>
      <c r="I96" s="90" t="s">
        <v>153</v>
      </c>
      <c r="J96" s="47" t="str">
        <f t="shared" ca="1" si="3"/>
        <v>Triplex</v>
      </c>
    </row>
    <row r="97" spans="1:10" ht="14.25" customHeight="1" x14ac:dyDescent="0.3">
      <c r="A97" s="90" t="s">
        <v>249</v>
      </c>
      <c r="B97" s="94" t="str">
        <f t="shared" ca="1" si="0"/>
        <v>4 evszakos-Feher csincsilla-Low-e 4mm termó</v>
      </c>
      <c r="C97" s="90"/>
      <c r="D97" s="87" t="str">
        <f t="shared" ca="1" si="1"/>
        <v>419.00</v>
      </c>
      <c r="E97" s="90" t="s">
        <v>153</v>
      </c>
      <c r="F97" s="90"/>
      <c r="G97" s="90"/>
      <c r="H97" s="87" t="str">
        <f t="shared" ca="1" si="2"/>
        <v>357.00</v>
      </c>
      <c r="I97" s="90" t="s">
        <v>153</v>
      </c>
      <c r="J97" s="47" t="str">
        <f t="shared" ca="1" si="3"/>
        <v>Triplex</v>
      </c>
    </row>
    <row r="98" spans="1:10" ht="14.25" customHeight="1" x14ac:dyDescent="0.3">
      <c r="A98" s="90" t="s">
        <v>250</v>
      </c>
      <c r="B98" s="94" t="str">
        <f t="shared" ca="1" si="0"/>
        <v>4 evszakos-Duplex 3.1.3. termó</v>
      </c>
      <c r="C98" s="90"/>
      <c r="D98" s="87" t="str">
        <f t="shared" ca="1" si="1"/>
        <v>280.00</v>
      </c>
      <c r="E98" s="90" t="s">
        <v>153</v>
      </c>
      <c r="F98" s="90"/>
      <c r="G98" s="90"/>
      <c r="H98" s="87" t="str">
        <f t="shared" ca="1" si="2"/>
        <v>238.00</v>
      </c>
      <c r="I98" s="90" t="s">
        <v>153</v>
      </c>
      <c r="J98" s="47" t="str">
        <f t="shared" ca="1" si="3"/>
        <v>Duplex</v>
      </c>
    </row>
    <row r="99" spans="1:10" ht="14.25" customHeight="1" x14ac:dyDescent="0.3">
      <c r="A99" s="90" t="s">
        <v>251</v>
      </c>
      <c r="B99" s="94" t="str">
        <f t="shared" ca="1" si="0"/>
        <v>Duplex 3.1.3.-Float 6mm termó</v>
      </c>
      <c r="C99" s="90"/>
      <c r="D99" s="87" t="str">
        <f t="shared" ca="1" si="1"/>
        <v>270.00</v>
      </c>
      <c r="E99" s="90" t="s">
        <v>153</v>
      </c>
      <c r="F99" s="90"/>
      <c r="G99" s="90"/>
      <c r="H99" s="87" t="str">
        <f t="shared" ca="1" si="2"/>
        <v>230.00</v>
      </c>
      <c r="I99" s="90" t="s">
        <v>153</v>
      </c>
      <c r="J99" s="47" t="str">
        <f t="shared" ca="1" si="3"/>
        <v>Duplex</v>
      </c>
    </row>
    <row r="100" spans="1:10" ht="14.25" customHeight="1" x14ac:dyDescent="0.3">
      <c r="A100" s="90" t="s">
        <v>252</v>
      </c>
      <c r="B100" s="94" t="str">
        <f t="shared" ca="1" si="0"/>
        <v>Reflexios 4mm-Homokfujt 4mm termó</v>
      </c>
      <c r="C100" s="90"/>
      <c r="D100" s="87" t="str">
        <f t="shared" ca="1" si="1"/>
        <v>318.00</v>
      </c>
      <c r="E100" s="90" t="s">
        <v>153</v>
      </c>
      <c r="F100" s="90"/>
      <c r="G100" s="90"/>
      <c r="H100" s="87" t="str">
        <f t="shared" ca="1" si="2"/>
        <v>271.00</v>
      </c>
      <c r="I100" s="90" t="s">
        <v>153</v>
      </c>
      <c r="J100" s="47" t="str">
        <f t="shared" ca="1" si="3"/>
        <v>Duplex</v>
      </c>
    </row>
    <row r="101" spans="1:10" ht="14.25" customHeight="1" x14ac:dyDescent="0.3">
      <c r="A101" s="90" t="s">
        <v>253</v>
      </c>
      <c r="B101" s="94" t="str">
        <f t="shared" ca="1" si="0"/>
        <v>Satin bronz-Float 4mm-Float 4mm termó</v>
      </c>
      <c r="C101" s="90"/>
      <c r="D101" s="87" t="str">
        <f t="shared" ca="1" si="1"/>
        <v>337.00</v>
      </c>
      <c r="E101" s="90" t="s">
        <v>153</v>
      </c>
      <c r="F101" s="90"/>
      <c r="G101" s="90"/>
      <c r="H101" s="87" t="str">
        <f t="shared" ca="1" si="2"/>
        <v>287.00</v>
      </c>
      <c r="I101" s="90" t="s">
        <v>153</v>
      </c>
      <c r="J101" s="47" t="str">
        <f t="shared" ca="1" si="3"/>
        <v>Triplex</v>
      </c>
    </row>
    <row r="102" spans="1:10" ht="14.25" customHeight="1" x14ac:dyDescent="0.3">
      <c r="A102" s="90" t="s">
        <v>254</v>
      </c>
      <c r="B102" s="94" t="str">
        <f t="shared" ca="1" si="0"/>
        <v>Mintas uveg delta 2-Low-e 4mm-Low-e 4mm termó</v>
      </c>
      <c r="C102" s="90"/>
      <c r="D102" s="87" t="str">
        <f t="shared" ca="1" si="1"/>
        <v>425.00</v>
      </c>
      <c r="E102" s="90" t="s">
        <v>153</v>
      </c>
      <c r="F102" s="90"/>
      <c r="G102" s="90"/>
      <c r="H102" s="87" t="str">
        <f t="shared" ca="1" si="2"/>
        <v>362.00</v>
      </c>
      <c r="I102" s="90" t="s">
        <v>153</v>
      </c>
      <c r="J102" s="47" t="str">
        <f t="shared" ca="1" si="3"/>
        <v>Triplex</v>
      </c>
    </row>
    <row r="103" spans="1:10" ht="14.25" customHeight="1" x14ac:dyDescent="0.3">
      <c r="A103" s="90" t="s">
        <v>255</v>
      </c>
      <c r="B103" s="94" t="str">
        <f t="shared" ca="1" si="0"/>
        <v>Fehér hóvirág-Low-e 4mm termó</v>
      </c>
      <c r="C103" s="90"/>
      <c r="D103" s="87" t="str">
        <f t="shared" ca="1" si="1"/>
        <v>295.00</v>
      </c>
      <c r="E103" s="90" t="s">
        <v>153</v>
      </c>
      <c r="F103" s="90"/>
      <c r="G103" s="90"/>
      <c r="H103" s="87" t="str">
        <f t="shared" ca="1" si="2"/>
        <v>251.00</v>
      </c>
      <c r="I103" s="90" t="s">
        <v>153</v>
      </c>
      <c r="J103" s="47" t="str">
        <f t="shared" ca="1" si="3"/>
        <v>Duplex</v>
      </c>
    </row>
    <row r="104" spans="1:10" ht="14.25" customHeight="1" x14ac:dyDescent="0.3">
      <c r="A104" s="90" t="s">
        <v>256</v>
      </c>
      <c r="B104" s="94" t="str">
        <f t="shared" ca="1" si="0"/>
        <v>Float 6mm-Float 6mm termó</v>
      </c>
      <c r="C104" s="90"/>
      <c r="D104" s="87" t="str">
        <f t="shared" ca="1" si="1"/>
        <v>221.00</v>
      </c>
      <c r="E104" s="90" t="s">
        <v>153</v>
      </c>
      <c r="F104" s="90"/>
      <c r="G104" s="90"/>
      <c r="H104" s="87" t="str">
        <f t="shared" ca="1" si="2"/>
        <v>188.00</v>
      </c>
      <c r="I104" s="90" t="s">
        <v>153</v>
      </c>
      <c r="J104" s="47" t="str">
        <f t="shared" ca="1" si="3"/>
        <v>Duplex</v>
      </c>
    </row>
    <row r="105" spans="1:10" ht="14.25" customHeight="1" x14ac:dyDescent="0.3">
      <c r="A105" s="90" t="s">
        <v>257</v>
      </c>
      <c r="B105" s="94" t="str">
        <f t="shared" ca="1" si="0"/>
        <v>Barna delta 2-Float 4mm-Low-e 4mm termó</v>
      </c>
      <c r="C105" s="90"/>
      <c r="D105" s="87" t="str">
        <f t="shared" ca="1" si="1"/>
        <v>438.00</v>
      </c>
      <c r="E105" s="90" t="s">
        <v>153</v>
      </c>
      <c r="F105" s="90"/>
      <c r="G105" s="90"/>
      <c r="H105" s="87" t="str">
        <f t="shared" ca="1" si="2"/>
        <v>373.00</v>
      </c>
      <c r="I105" s="90" t="s">
        <v>153</v>
      </c>
      <c r="J105" s="47" t="str">
        <f t="shared" ca="1" si="3"/>
        <v>Triplex</v>
      </c>
    </row>
    <row r="106" spans="1:10" ht="14.25" customHeight="1" x14ac:dyDescent="0.3">
      <c r="A106" s="90" t="s">
        <v>258</v>
      </c>
      <c r="B106" s="94" t="str">
        <f t="shared" ca="1" si="0"/>
        <v>Feher screen-Float 4mm termó</v>
      </c>
      <c r="C106" s="90"/>
      <c r="D106" s="87" t="str">
        <f t="shared" ca="1" si="1"/>
        <v>228.00</v>
      </c>
      <c r="E106" s="90" t="s">
        <v>153</v>
      </c>
      <c r="F106" s="90"/>
      <c r="G106" s="90"/>
      <c r="H106" s="87" t="str">
        <f t="shared" ca="1" si="2"/>
        <v>194.00</v>
      </c>
      <c r="I106" s="90" t="s">
        <v>153</v>
      </c>
      <c r="J106" s="47" t="str">
        <f t="shared" ca="1" si="3"/>
        <v>Duplex</v>
      </c>
    </row>
    <row r="107" spans="1:10" ht="14.25" customHeight="1" x14ac:dyDescent="0.3">
      <c r="A107" s="90" t="s">
        <v>259</v>
      </c>
      <c r="B107" s="94" t="str">
        <f t="shared" ca="1" si="0"/>
        <v>Lowe 6 mm-Float 6mm termó</v>
      </c>
      <c r="C107" s="90"/>
      <c r="D107" s="87" t="str">
        <f t="shared" ca="1" si="1"/>
        <v>336.00</v>
      </c>
      <c r="E107" s="90" t="s">
        <v>153</v>
      </c>
      <c r="F107" s="90"/>
      <c r="G107" s="90"/>
      <c r="H107" s="87" t="str">
        <f t="shared" ca="1" si="2"/>
        <v>286.00</v>
      </c>
      <c r="I107" s="90" t="s">
        <v>153</v>
      </c>
      <c r="J107" s="47" t="str">
        <f t="shared" ca="1" si="3"/>
        <v>Duplex</v>
      </c>
    </row>
    <row r="108" spans="1:10" ht="14.25" customHeight="1" x14ac:dyDescent="0.3">
      <c r="A108" s="90" t="s">
        <v>260</v>
      </c>
      <c r="B108" s="94" t="str">
        <f t="shared" ca="1" si="0"/>
        <v>Fustos 4mm-Low-e 4mm-Low-e 4mm termó</v>
      </c>
      <c r="C108" s="90"/>
      <c r="D108" s="87" t="str">
        <f t="shared" ca="1" si="1"/>
        <v>438.00</v>
      </c>
      <c r="E108" s="90" t="s">
        <v>153</v>
      </c>
      <c r="F108" s="90"/>
      <c r="G108" s="90"/>
      <c r="H108" s="87" t="str">
        <f t="shared" ca="1" si="2"/>
        <v>373.00</v>
      </c>
      <c r="I108" s="90" t="s">
        <v>153</v>
      </c>
      <c r="J108" s="47" t="str">
        <f t="shared" ca="1" si="3"/>
        <v>Triplex</v>
      </c>
    </row>
    <row r="109" spans="1:10" ht="14.25" customHeight="1" x14ac:dyDescent="0.3">
      <c r="A109" s="90" t="s">
        <v>261</v>
      </c>
      <c r="B109" s="94" t="str">
        <f t="shared" ca="1" si="0"/>
        <v>4 evszakos-Float 4mm termó</v>
      </c>
      <c r="C109" s="90"/>
      <c r="D109" s="87" t="str">
        <f t="shared" ca="1" si="1"/>
        <v>174.00</v>
      </c>
      <c r="E109" s="90" t="s">
        <v>153</v>
      </c>
      <c r="F109" s="90"/>
      <c r="G109" s="90"/>
      <c r="H109" s="87" t="str">
        <f t="shared" ca="1" si="2"/>
        <v>148.00</v>
      </c>
      <c r="I109" s="90" t="s">
        <v>153</v>
      </c>
      <c r="J109" s="47" t="str">
        <f t="shared" ca="1" si="3"/>
        <v>Duplex</v>
      </c>
    </row>
    <row r="110" spans="1:10" ht="14.25" customHeight="1" x14ac:dyDescent="0.3">
      <c r="A110" s="90" t="s">
        <v>262</v>
      </c>
      <c r="B110" s="94" t="str">
        <f t="shared" ca="1" si="0"/>
        <v>Duplex 3.1.3.-Homokfujt 4mm-Duplex 3.1.3. termó</v>
      </c>
      <c r="C110" s="90"/>
      <c r="D110" s="87" t="str">
        <f t="shared" ca="1" si="1"/>
        <v>496.00</v>
      </c>
      <c r="E110" s="90" t="s">
        <v>153</v>
      </c>
      <c r="F110" s="90"/>
      <c r="G110" s="90"/>
      <c r="H110" s="87" t="str">
        <f t="shared" ca="1" si="2"/>
        <v>422.00</v>
      </c>
      <c r="I110" s="90" t="s">
        <v>153</v>
      </c>
      <c r="J110" s="47" t="str">
        <f t="shared" ca="1" si="3"/>
        <v>Triplex</v>
      </c>
    </row>
    <row r="111" spans="1:10" ht="14.25" customHeight="1" x14ac:dyDescent="0.3">
      <c r="A111" s="90" t="s">
        <v>263</v>
      </c>
      <c r="B111" s="94" t="str">
        <f t="shared" ca="1" si="0"/>
        <v>Reflexios 4mm-Lowe 6 mm termó</v>
      </c>
      <c r="C111" s="90"/>
      <c r="D111" s="87" t="str">
        <f t="shared" ca="1" si="1"/>
        <v>393.00</v>
      </c>
      <c r="E111" s="90" t="s">
        <v>153</v>
      </c>
      <c r="F111" s="90"/>
      <c r="G111" s="90"/>
      <c r="H111" s="87" t="str">
        <f t="shared" ca="1" si="2"/>
        <v>335.00</v>
      </c>
      <c r="I111" s="90" t="s">
        <v>153</v>
      </c>
      <c r="J111" s="47" t="str">
        <f t="shared" ca="1" si="3"/>
        <v>Duplex</v>
      </c>
    </row>
    <row r="112" spans="1:10" ht="14.25" customHeight="1" x14ac:dyDescent="0.3">
      <c r="A112" s="90" t="s">
        <v>264</v>
      </c>
      <c r="B112" s="94" t="str">
        <f t="shared" ca="1" si="0"/>
        <v>Reflexios 4mm-Homokfujt 4mm-Low-e 4mm termó</v>
      </c>
      <c r="C112" s="90"/>
      <c r="D112" s="87" t="str">
        <f t="shared" ca="1" si="1"/>
        <v>471.00</v>
      </c>
      <c r="E112" s="90" t="s">
        <v>153</v>
      </c>
      <c r="F112" s="90"/>
      <c r="G112" s="90"/>
      <c r="H112" s="87" t="str">
        <f t="shared" ca="1" si="2"/>
        <v>401.00</v>
      </c>
      <c r="I112" s="90" t="s">
        <v>153</v>
      </c>
      <c r="J112" s="47" t="str">
        <f t="shared" ca="1" si="3"/>
        <v>Triplex</v>
      </c>
    </row>
    <row r="113" spans="1:10" ht="14.25" customHeight="1" x14ac:dyDescent="0.3">
      <c r="A113" s="90" t="s">
        <v>265</v>
      </c>
      <c r="B113" s="94" t="str">
        <f t="shared" ca="1" si="0"/>
        <v>Fustos 4mm-Float 4mm-Low-e 4mm termó</v>
      </c>
      <c r="C113" s="90"/>
      <c r="D113" s="87" t="str">
        <f t="shared" ca="1" si="1"/>
        <v>416.00</v>
      </c>
      <c r="E113" s="90" t="s">
        <v>153</v>
      </c>
      <c r="F113" s="90"/>
      <c r="G113" s="90"/>
      <c r="H113" s="87" t="str">
        <f t="shared" ca="1" si="2"/>
        <v>354.00</v>
      </c>
      <c r="I113" s="90" t="s">
        <v>153</v>
      </c>
      <c r="J113" s="47" t="str">
        <f t="shared" ca="1" si="3"/>
        <v>Triplex</v>
      </c>
    </row>
    <row r="114" spans="1:10" ht="14.25" customHeight="1" x14ac:dyDescent="0.3">
      <c r="A114" s="90" t="s">
        <v>266</v>
      </c>
      <c r="B114" s="94" t="str">
        <f t="shared" ca="1" si="0"/>
        <v>Feher screen-Low-e 4mm-Low-e 4mm termó</v>
      </c>
      <c r="C114" s="90"/>
      <c r="D114" s="87" t="str">
        <f t="shared" ca="1" si="1"/>
        <v>418.00</v>
      </c>
      <c r="E114" s="90" t="s">
        <v>153</v>
      </c>
      <c r="F114" s="90"/>
      <c r="G114" s="90"/>
      <c r="H114" s="87" t="str">
        <f t="shared" ca="1" si="2"/>
        <v>356.00</v>
      </c>
      <c r="I114" s="90" t="s">
        <v>153</v>
      </c>
      <c r="J114" s="47" t="str">
        <f t="shared" ca="1" si="3"/>
        <v>Triplex</v>
      </c>
    </row>
    <row r="115" spans="1:10" ht="14.25" customHeight="1" x14ac:dyDescent="0.3">
      <c r="A115" s="90" t="s">
        <v>267</v>
      </c>
      <c r="B115" s="94" t="str">
        <f t="shared" ca="1" si="0"/>
        <v>Tukor 4mm-Homokfujt 4mm termó</v>
      </c>
      <c r="C115" s="90"/>
      <c r="D115" s="87" t="str">
        <f t="shared" ca="1" si="1"/>
        <v>327.00</v>
      </c>
      <c r="E115" s="90" t="s">
        <v>153</v>
      </c>
      <c r="F115" s="90"/>
      <c r="G115" s="90"/>
      <c r="H115" s="87" t="str">
        <f t="shared" ca="1" si="2"/>
        <v>278.00</v>
      </c>
      <c r="I115" s="90" t="s">
        <v>153</v>
      </c>
      <c r="J115" s="47" t="str">
        <f t="shared" ca="1" si="3"/>
        <v>Duplex</v>
      </c>
    </row>
    <row r="116" spans="1:10" ht="14.25" customHeight="1" x14ac:dyDescent="0.3">
      <c r="A116" s="90" t="s">
        <v>268</v>
      </c>
      <c r="B116" s="94" t="str">
        <f t="shared" ca="1" si="0"/>
        <v>Satin bronz-Float 4mm-Low-e 4mm termó</v>
      </c>
      <c r="C116" s="90"/>
      <c r="D116" s="87" t="str">
        <f t="shared" ca="1" si="1"/>
        <v>379.00</v>
      </c>
      <c r="E116" s="90" t="s">
        <v>153</v>
      </c>
      <c r="F116" s="90"/>
      <c r="G116" s="90"/>
      <c r="H116" s="87" t="str">
        <f t="shared" ca="1" si="2"/>
        <v>323.00</v>
      </c>
      <c r="I116" s="90" t="s">
        <v>153</v>
      </c>
      <c r="J116" s="47" t="str">
        <f t="shared" ca="1" si="3"/>
        <v>Triplex</v>
      </c>
    </row>
    <row r="117" spans="1:10" ht="14.25" customHeight="1" x14ac:dyDescent="0.3">
      <c r="A117" s="90" t="s">
        <v>269</v>
      </c>
      <c r="B117" s="94" t="str">
        <f t="shared" ca="1" si="0"/>
        <v>Feher csincsilla-Float 4mm-Low-e 4mm termó</v>
      </c>
      <c r="C117" s="90"/>
      <c r="D117" s="87" t="str">
        <f t="shared" ca="1" si="1"/>
        <v>403.00</v>
      </c>
      <c r="E117" s="90" t="s">
        <v>153</v>
      </c>
      <c r="F117" s="90"/>
      <c r="G117" s="90"/>
      <c r="H117" s="87" t="str">
        <f t="shared" ca="1" si="2"/>
        <v>343.00</v>
      </c>
      <c r="I117" s="90" t="s">
        <v>153</v>
      </c>
      <c r="J117" s="47" t="str">
        <f t="shared" ca="1" si="3"/>
        <v>Triplex</v>
      </c>
    </row>
    <row r="118" spans="1:10" ht="14.25" customHeight="1" x14ac:dyDescent="0.3">
      <c r="A118" s="86" t="s">
        <v>270</v>
      </c>
      <c r="B118" s="86" t="s">
        <v>328</v>
      </c>
      <c r="C118" s="86"/>
      <c r="D118" s="87" t="str">
        <f t="shared" ca="1" si="1"/>
        <v>384.00</v>
      </c>
      <c r="E118" s="90" t="s">
        <v>153</v>
      </c>
      <c r="F118" s="90"/>
      <c r="G118" s="90"/>
      <c r="H118" s="87" t="str">
        <f t="shared" ca="1" si="2"/>
        <v>327.00</v>
      </c>
      <c r="I118" s="90" t="s">
        <v>153</v>
      </c>
      <c r="J118" s="47" t="str">
        <f t="shared" ca="1" si="3"/>
        <v>Triplex</v>
      </c>
    </row>
    <row r="119" spans="1:10" ht="14.25" customHeight="1" x14ac:dyDescent="0.3">
      <c r="A119" s="86" t="s">
        <v>272</v>
      </c>
      <c r="B119" s="86" t="s">
        <v>329</v>
      </c>
      <c r="C119" s="86"/>
      <c r="D119" s="87" t="str">
        <f t="shared" ca="1" si="1"/>
        <v>451.00</v>
      </c>
      <c r="E119" s="90" t="s">
        <v>153</v>
      </c>
      <c r="F119" s="90"/>
      <c r="G119" s="90"/>
      <c r="H119" s="87" t="str">
        <f t="shared" ca="1" si="2"/>
        <v>384.00</v>
      </c>
      <c r="I119" s="90" t="s">
        <v>153</v>
      </c>
      <c r="J119" s="47" t="str">
        <f t="shared" ca="1" si="3"/>
        <v>Triplex</v>
      </c>
    </row>
    <row r="120" spans="1:10" ht="14.25" customHeight="1" x14ac:dyDescent="0.3">
      <c r="A120" s="86" t="s">
        <v>273</v>
      </c>
      <c r="B120" s="86" t="s">
        <v>330</v>
      </c>
      <c r="C120" s="86"/>
      <c r="D120" s="90" t="e">
        <f t="shared" ca="1" si="1"/>
        <v>#N/A</v>
      </c>
      <c r="E120" s="90" t="s">
        <v>153</v>
      </c>
      <c r="F120" s="90"/>
      <c r="G120" s="90"/>
      <c r="H120" s="90" t="e">
        <f t="shared" ca="1" si="2"/>
        <v>#N/A</v>
      </c>
      <c r="I120" s="90" t="s">
        <v>153</v>
      </c>
      <c r="J120" s="47" t="e">
        <f t="shared" ca="1" si="3"/>
        <v>#N/A</v>
      </c>
    </row>
    <row r="121" spans="1:10" ht="14.25" customHeight="1" x14ac:dyDescent="0.3">
      <c r="A121" s="86" t="s">
        <v>275</v>
      </c>
      <c r="B121" s="86" t="s">
        <v>331</v>
      </c>
      <c r="C121" s="86"/>
      <c r="D121" s="87" t="str">
        <f t="shared" ca="1" si="1"/>
        <v>346.00</v>
      </c>
      <c r="E121" s="90" t="s">
        <v>153</v>
      </c>
      <c r="F121" s="90"/>
      <c r="G121" s="90"/>
      <c r="H121" s="87" t="str">
        <f t="shared" ca="1" si="2"/>
        <v>295.00</v>
      </c>
      <c r="I121" s="90" t="s">
        <v>153</v>
      </c>
      <c r="J121" s="47" t="str">
        <f t="shared" ca="1" si="3"/>
        <v>Duplex</v>
      </c>
    </row>
    <row r="122" spans="1:10" ht="14.25" customHeight="1" x14ac:dyDescent="0.3">
      <c r="A122" s="86" t="s">
        <v>259</v>
      </c>
      <c r="B122" s="86" t="s">
        <v>332</v>
      </c>
      <c r="C122" s="86"/>
      <c r="D122" s="87" t="str">
        <f t="shared" ca="1" si="1"/>
        <v>336.00</v>
      </c>
      <c r="E122" s="90" t="s">
        <v>153</v>
      </c>
      <c r="F122" s="90"/>
      <c r="G122" s="90"/>
      <c r="H122" s="87" t="str">
        <f t="shared" ca="1" si="2"/>
        <v>286.00</v>
      </c>
      <c r="I122" s="90" t="s">
        <v>153</v>
      </c>
      <c r="J122" s="47" t="str">
        <f t="shared" ca="1" si="3"/>
        <v>Duplex</v>
      </c>
    </row>
    <row r="123" spans="1:10" ht="14.25" customHeight="1" x14ac:dyDescent="0.3">
      <c r="A123" s="86" t="s">
        <v>278</v>
      </c>
      <c r="B123" s="86" t="s">
        <v>333</v>
      </c>
      <c r="C123" s="86"/>
      <c r="D123" s="90" t="e">
        <f t="shared" ca="1" si="1"/>
        <v>#N/A</v>
      </c>
      <c r="E123" s="90" t="s">
        <v>153</v>
      </c>
      <c r="F123" s="90"/>
      <c r="G123" s="90"/>
      <c r="H123" s="90" t="e">
        <f t="shared" ca="1" si="2"/>
        <v>#N/A</v>
      </c>
      <c r="I123" s="90" t="s">
        <v>153</v>
      </c>
      <c r="J123" s="47" t="e">
        <f t="shared" ca="1" si="3"/>
        <v>#N/A</v>
      </c>
    </row>
    <row r="124" spans="1:10" ht="14.25" customHeight="1" x14ac:dyDescent="0.3">
      <c r="A124" s="86" t="s">
        <v>280</v>
      </c>
      <c r="B124" s="86" t="s">
        <v>334</v>
      </c>
      <c r="C124" s="86"/>
      <c r="D124" s="87" t="str">
        <f t="shared" ca="1" si="1"/>
        <v>3,252.00</v>
      </c>
      <c r="E124" s="90" t="s">
        <v>153</v>
      </c>
      <c r="F124" s="90"/>
      <c r="G124" s="90"/>
      <c r="H124" s="87" t="str">
        <f t="shared" ca="1" si="2"/>
        <v>2,765.00</v>
      </c>
      <c r="I124" s="90" t="s">
        <v>153</v>
      </c>
      <c r="J124" s="47" t="str">
        <f t="shared" ca="1" si="3"/>
        <v>Duplex</v>
      </c>
    </row>
    <row r="125" spans="1:10" ht="14.25" customHeight="1" x14ac:dyDescent="0.3">
      <c r="A125" s="86" t="s">
        <v>282</v>
      </c>
      <c r="B125" s="86" t="s">
        <v>334</v>
      </c>
      <c r="C125" s="86"/>
      <c r="D125" s="87" t="str">
        <f t="shared" ca="1" si="1"/>
        <v>385.00</v>
      </c>
      <c r="E125" s="90" t="s">
        <v>153</v>
      </c>
      <c r="F125" s="90"/>
      <c r="G125" s="90"/>
      <c r="H125" s="87" t="str">
        <f t="shared" ca="1" si="2"/>
        <v>328.00</v>
      </c>
      <c r="I125" s="90" t="s">
        <v>153</v>
      </c>
      <c r="J125" s="47" t="str">
        <f t="shared" ca="1" si="3"/>
        <v>Duplex</v>
      </c>
    </row>
    <row r="126" spans="1:10" ht="14.25" customHeight="1" x14ac:dyDescent="0.3"/>
    <row r="127" spans="1:10" ht="14.25" customHeight="1" x14ac:dyDescent="0.3"/>
    <row r="128" spans="1:10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25" xr:uid="{00000000-0002-0000-08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unka6"/>
  <dimension ref="A1:O1000"/>
  <sheetViews>
    <sheetView workbookViewId="0"/>
  </sheetViews>
  <sheetFormatPr defaultColWidth="14.44140625" defaultRowHeight="15" customHeight="1" x14ac:dyDescent="0.3"/>
  <cols>
    <col min="1" max="1" width="36.6640625" customWidth="1"/>
    <col min="2" max="3" width="9.109375" customWidth="1"/>
    <col min="4" max="4" width="3.6640625" customWidth="1"/>
    <col min="5" max="26" width="8.6640625" customWidth="1"/>
  </cols>
  <sheetData>
    <row r="1" spans="1:15" ht="14.25" customHeight="1" x14ac:dyDescent="0.3">
      <c r="A1" s="80" t="s">
        <v>146</v>
      </c>
      <c r="B1" s="80"/>
      <c r="C1" s="103"/>
      <c r="D1" s="103"/>
      <c r="E1" s="104" t="s">
        <v>335</v>
      </c>
      <c r="F1" s="83" t="s">
        <v>148</v>
      </c>
      <c r="G1" s="104" t="s">
        <v>149</v>
      </c>
    </row>
    <row r="2" spans="1:15" ht="14.25" customHeight="1" x14ac:dyDescent="0.35">
      <c r="A2" s="88" t="s">
        <v>151</v>
      </c>
      <c r="B2" s="90" t="e">
        <f t="shared" ref="B2:B116" ca="1" si="0">VLOOKUP($A2,TermekKod_data,9,0)</f>
        <v>#N/A</v>
      </c>
      <c r="C2" s="89" t="e">
        <f t="shared" ref="C2:C126" ca="1" si="1">SUM(B2-(B2*8/115))</f>
        <v>#N/A</v>
      </c>
      <c r="D2" s="90"/>
      <c r="E2" s="91" t="e">
        <f t="shared" ref="E2:E126" ca="1" si="2">SUM(F2-(F2*19/119))</f>
        <v>#N/A</v>
      </c>
      <c r="F2" s="91" t="e">
        <f t="shared" ref="F2:F126" ca="1" si="3">SUM(C2/4.92)</f>
        <v>#N/A</v>
      </c>
      <c r="G2" s="92" t="e">
        <f t="shared" ref="G2:G126" ca="1" si="4">SUM(C2)</f>
        <v>#N/A</v>
      </c>
    </row>
    <row r="3" spans="1:15" ht="14.25" customHeight="1" x14ac:dyDescent="0.3">
      <c r="A3" s="90" t="s">
        <v>154</v>
      </c>
      <c r="B3" s="90" t="e">
        <f t="shared" ca="1" si="0"/>
        <v>#N/A</v>
      </c>
      <c r="C3" s="89" t="e">
        <f t="shared" ca="1" si="1"/>
        <v>#N/A</v>
      </c>
      <c r="D3" s="90"/>
      <c r="E3" s="91" t="e">
        <f t="shared" ca="1" si="2"/>
        <v>#N/A</v>
      </c>
      <c r="F3" s="91" t="e">
        <f t="shared" ca="1" si="3"/>
        <v>#N/A</v>
      </c>
      <c r="G3" s="92" t="e">
        <f t="shared" ca="1" si="4"/>
        <v>#N/A</v>
      </c>
      <c r="O3" s="77"/>
    </row>
    <row r="4" spans="1:15" ht="14.25" customHeight="1" x14ac:dyDescent="0.35">
      <c r="A4" s="88" t="s">
        <v>155</v>
      </c>
      <c r="B4" s="87" t="str">
        <f t="shared" ca="1" si="0"/>
        <v>202.00</v>
      </c>
      <c r="C4" s="89">
        <f t="shared" ca="1" si="1"/>
        <v>187.94782608695652</v>
      </c>
      <c r="D4" s="90"/>
      <c r="E4" s="91">
        <f t="shared" ca="1" si="2"/>
        <v>32.101493831891183</v>
      </c>
      <c r="F4" s="91">
        <f t="shared" ca="1" si="3"/>
        <v>38.200777659950511</v>
      </c>
      <c r="G4" s="92">
        <f t="shared" ca="1" si="4"/>
        <v>187.94782608695652</v>
      </c>
      <c r="O4" s="77"/>
    </row>
    <row r="5" spans="1:15" ht="14.25" customHeight="1" x14ac:dyDescent="0.35">
      <c r="A5" s="88" t="s">
        <v>156</v>
      </c>
      <c r="B5" s="87" t="str">
        <f t="shared" ca="1" si="0"/>
        <v>250.00</v>
      </c>
      <c r="C5" s="89">
        <f t="shared" ca="1" si="1"/>
        <v>232.60869565217391</v>
      </c>
      <c r="D5" s="90"/>
      <c r="E5" s="91">
        <f t="shared" ca="1" si="2"/>
        <v>39.729571574122758</v>
      </c>
      <c r="F5" s="91">
        <f t="shared" ca="1" si="3"/>
        <v>47.278190173206077</v>
      </c>
      <c r="G5" s="92">
        <f t="shared" ca="1" si="4"/>
        <v>232.60869565217391</v>
      </c>
    </row>
    <row r="6" spans="1:15" ht="14.25" customHeight="1" x14ac:dyDescent="0.35">
      <c r="A6" s="88" t="s">
        <v>157</v>
      </c>
      <c r="B6" s="87" t="str">
        <f t="shared" ca="1" si="0"/>
        <v>244.00</v>
      </c>
      <c r="C6" s="89">
        <f t="shared" ca="1" si="1"/>
        <v>227.02608695652174</v>
      </c>
      <c r="D6" s="90"/>
      <c r="E6" s="91">
        <f t="shared" ca="1" si="2"/>
        <v>38.776061856343816</v>
      </c>
      <c r="F6" s="91">
        <f t="shared" ca="1" si="3"/>
        <v>46.143513609049137</v>
      </c>
      <c r="G6" s="92">
        <f t="shared" ca="1" si="4"/>
        <v>227.02608695652174</v>
      </c>
    </row>
    <row r="7" spans="1:15" ht="14.25" customHeight="1" x14ac:dyDescent="0.35">
      <c r="A7" s="88" t="s">
        <v>158</v>
      </c>
      <c r="B7" s="87" t="str">
        <f t="shared" ca="1" si="0"/>
        <v>289.00</v>
      </c>
      <c r="C7" s="89">
        <f t="shared" ca="1" si="1"/>
        <v>268.89565217391305</v>
      </c>
      <c r="D7" s="90"/>
      <c r="E7" s="91">
        <f t="shared" ca="1" si="2"/>
        <v>45.927384739685905</v>
      </c>
      <c r="F7" s="91">
        <f t="shared" ca="1" si="3"/>
        <v>54.65358784022623</v>
      </c>
      <c r="G7" s="92">
        <f t="shared" ca="1" si="4"/>
        <v>268.89565217391305</v>
      </c>
    </row>
    <row r="8" spans="1:15" ht="14.25" customHeight="1" x14ac:dyDescent="0.35">
      <c r="A8" s="88" t="s">
        <v>159</v>
      </c>
      <c r="B8" s="87" t="str">
        <f t="shared" ca="1" si="0"/>
        <v>251.00</v>
      </c>
      <c r="C8" s="89">
        <f t="shared" ca="1" si="1"/>
        <v>233.53913043478261</v>
      </c>
      <c r="D8" s="90"/>
      <c r="E8" s="91">
        <f t="shared" ca="1" si="2"/>
        <v>39.888489860419249</v>
      </c>
      <c r="F8" s="91">
        <f t="shared" ca="1" si="3"/>
        <v>47.467302933898907</v>
      </c>
      <c r="G8" s="92">
        <f t="shared" ca="1" si="4"/>
        <v>233.53913043478261</v>
      </c>
    </row>
    <row r="9" spans="1:15" ht="14.25" customHeight="1" x14ac:dyDescent="0.35">
      <c r="A9" s="88" t="s">
        <v>161</v>
      </c>
      <c r="B9" s="87" t="str">
        <f t="shared" ca="1" si="0"/>
        <v>210.00</v>
      </c>
      <c r="C9" s="89">
        <f t="shared" ca="1" si="1"/>
        <v>195.39130434782609</v>
      </c>
      <c r="D9" s="90"/>
      <c r="E9" s="91">
        <f t="shared" ca="1" si="2"/>
        <v>33.372840122263121</v>
      </c>
      <c r="F9" s="91">
        <f t="shared" ca="1" si="3"/>
        <v>39.71367974549311</v>
      </c>
      <c r="G9" s="92">
        <f t="shared" ca="1" si="4"/>
        <v>195.39130434782609</v>
      </c>
    </row>
    <row r="10" spans="1:15" ht="18" customHeight="1" x14ac:dyDescent="0.3">
      <c r="A10" s="96" t="s">
        <v>162</v>
      </c>
      <c r="B10" s="87" t="str">
        <f t="shared" ca="1" si="0"/>
        <v>232.00</v>
      </c>
      <c r="C10" s="89">
        <f t="shared" ca="1" si="1"/>
        <v>215.8608695652174</v>
      </c>
      <c r="D10" s="90"/>
      <c r="E10" s="91">
        <f t="shared" ca="1" si="2"/>
        <v>36.869042420785917</v>
      </c>
      <c r="F10" s="91">
        <f t="shared" ca="1" si="3"/>
        <v>43.874160480735242</v>
      </c>
      <c r="G10" s="92">
        <f t="shared" ca="1" si="4"/>
        <v>215.8608695652174</v>
      </c>
    </row>
    <row r="11" spans="1:15" ht="18" customHeight="1" x14ac:dyDescent="0.3">
      <c r="A11" s="96" t="s">
        <v>163</v>
      </c>
      <c r="B11" s="87" t="str">
        <f t="shared" ca="1" si="0"/>
        <v>224.00</v>
      </c>
      <c r="C11" s="89">
        <f t="shared" ca="1" si="1"/>
        <v>208.41739130434783</v>
      </c>
      <c r="D11" s="90"/>
      <c r="E11" s="91">
        <f t="shared" ca="1" si="2"/>
        <v>35.597696130413993</v>
      </c>
      <c r="F11" s="91">
        <f t="shared" ca="1" si="3"/>
        <v>42.36125839519265</v>
      </c>
      <c r="G11" s="92">
        <f t="shared" ca="1" si="4"/>
        <v>208.41739130434783</v>
      </c>
    </row>
    <row r="12" spans="1:15" ht="18" customHeight="1" x14ac:dyDescent="0.3">
      <c r="A12" s="96" t="s">
        <v>164</v>
      </c>
      <c r="B12" s="87" t="str">
        <f t="shared" ca="1" si="0"/>
        <v>243.00</v>
      </c>
      <c r="C12" s="89">
        <f t="shared" ca="1" si="1"/>
        <v>226.09565217391304</v>
      </c>
      <c r="D12" s="90"/>
      <c r="E12" s="91">
        <f t="shared" ca="1" si="2"/>
        <v>38.617143570047318</v>
      </c>
      <c r="F12" s="91">
        <f t="shared" ca="1" si="3"/>
        <v>45.954400848356308</v>
      </c>
      <c r="G12" s="92">
        <f t="shared" ca="1" si="4"/>
        <v>226.09565217391304</v>
      </c>
    </row>
    <row r="13" spans="1:15" ht="14.25" customHeight="1" x14ac:dyDescent="0.35">
      <c r="A13" s="88" t="s">
        <v>165</v>
      </c>
      <c r="B13" s="87" t="str">
        <f t="shared" ca="1" si="0"/>
        <v>301.00</v>
      </c>
      <c r="C13" s="89">
        <f t="shared" ca="1" si="1"/>
        <v>280.06086956521739</v>
      </c>
      <c r="D13" s="90"/>
      <c r="E13" s="91">
        <f t="shared" ca="1" si="2"/>
        <v>47.834404175243797</v>
      </c>
      <c r="F13" s="91">
        <f t="shared" ca="1" si="3"/>
        <v>56.922940968540118</v>
      </c>
      <c r="G13" s="92">
        <f t="shared" ca="1" si="4"/>
        <v>280.06086956521739</v>
      </c>
    </row>
    <row r="14" spans="1:15" ht="14.25" customHeight="1" x14ac:dyDescent="0.35">
      <c r="A14" s="88" t="s">
        <v>166</v>
      </c>
      <c r="B14" s="87" t="str">
        <f t="shared" ca="1" si="0"/>
        <v>251.00</v>
      </c>
      <c r="C14" s="89">
        <f t="shared" ca="1" si="1"/>
        <v>233.53913043478261</v>
      </c>
      <c r="D14" s="90"/>
      <c r="E14" s="91">
        <f t="shared" ca="1" si="2"/>
        <v>39.888489860419249</v>
      </c>
      <c r="F14" s="91">
        <f t="shared" ca="1" si="3"/>
        <v>47.467302933898907</v>
      </c>
      <c r="G14" s="92">
        <f t="shared" ca="1" si="4"/>
        <v>233.53913043478261</v>
      </c>
    </row>
    <row r="15" spans="1:15" ht="14.25" customHeight="1" x14ac:dyDescent="0.35">
      <c r="A15" s="88" t="s">
        <v>167</v>
      </c>
      <c r="B15" s="87" t="str">
        <f t="shared" ca="1" si="0"/>
        <v>374.00</v>
      </c>
      <c r="C15" s="89">
        <f t="shared" ca="1" si="1"/>
        <v>347.98260869565217</v>
      </c>
      <c r="D15" s="90"/>
      <c r="E15" s="91">
        <f t="shared" ca="1" si="2"/>
        <v>59.435439074887647</v>
      </c>
      <c r="F15" s="91">
        <f t="shared" ca="1" si="3"/>
        <v>70.728172499116297</v>
      </c>
      <c r="G15" s="92">
        <f t="shared" ca="1" si="4"/>
        <v>347.98260869565217</v>
      </c>
    </row>
    <row r="16" spans="1:15" ht="14.25" customHeight="1" x14ac:dyDescent="0.35">
      <c r="A16" s="88" t="s">
        <v>168</v>
      </c>
      <c r="B16" s="87" t="str">
        <f t="shared" ca="1" si="0"/>
        <v>369.00</v>
      </c>
      <c r="C16" s="89">
        <f t="shared" ca="1" si="1"/>
        <v>343.33043478260868</v>
      </c>
      <c r="D16" s="90"/>
      <c r="E16" s="91">
        <f t="shared" ca="1" si="2"/>
        <v>58.640847643405188</v>
      </c>
      <c r="F16" s="91">
        <f t="shared" ca="1" si="3"/>
        <v>69.782608695652172</v>
      </c>
      <c r="G16" s="92">
        <f t="shared" ca="1" si="4"/>
        <v>343.33043478260868</v>
      </c>
    </row>
    <row r="17" spans="1:7" ht="14.25" customHeight="1" x14ac:dyDescent="0.35">
      <c r="A17" s="88" t="s">
        <v>169</v>
      </c>
      <c r="B17" s="87" t="str">
        <f t="shared" ca="1" si="0"/>
        <v>175.00</v>
      </c>
      <c r="C17" s="89">
        <f t="shared" ca="1" si="1"/>
        <v>162.82608695652175</v>
      </c>
      <c r="D17" s="90"/>
      <c r="E17" s="91">
        <f t="shared" ca="1" si="2"/>
        <v>27.810700101885935</v>
      </c>
      <c r="F17" s="91">
        <f t="shared" ca="1" si="3"/>
        <v>33.094733121244261</v>
      </c>
      <c r="G17" s="92">
        <f t="shared" ca="1" si="4"/>
        <v>162.82608695652175</v>
      </c>
    </row>
    <row r="18" spans="1:7" ht="14.25" customHeight="1" x14ac:dyDescent="0.35">
      <c r="A18" s="88" t="s">
        <v>170</v>
      </c>
      <c r="B18" s="87" t="str">
        <f t="shared" ca="1" si="0"/>
        <v>255.00</v>
      </c>
      <c r="C18" s="89">
        <f t="shared" ca="1" si="1"/>
        <v>237.26086956521738</v>
      </c>
      <c r="D18" s="90"/>
      <c r="E18" s="91">
        <f t="shared" ca="1" si="2"/>
        <v>40.524163005605203</v>
      </c>
      <c r="F18" s="91">
        <f t="shared" ca="1" si="3"/>
        <v>48.223753976670196</v>
      </c>
      <c r="G18" s="92">
        <f t="shared" ca="1" si="4"/>
        <v>237.26086956521738</v>
      </c>
    </row>
    <row r="19" spans="1:7" ht="14.25" customHeight="1" x14ac:dyDescent="0.35">
      <c r="A19" s="88" t="s">
        <v>171</v>
      </c>
      <c r="B19" s="87" t="str">
        <f t="shared" ca="1" si="0"/>
        <v>166.00</v>
      </c>
      <c r="C19" s="89">
        <f t="shared" ca="1" si="1"/>
        <v>154.45217391304348</v>
      </c>
      <c r="D19" s="90"/>
      <c r="E19" s="91">
        <f t="shared" ca="1" si="2"/>
        <v>26.380435525217514</v>
      </c>
      <c r="F19" s="91">
        <f t="shared" ca="1" si="3"/>
        <v>31.392718275008839</v>
      </c>
      <c r="G19" s="92">
        <f t="shared" ca="1" si="4"/>
        <v>154.45217391304348</v>
      </c>
    </row>
    <row r="20" spans="1:7" ht="14.25" customHeight="1" x14ac:dyDescent="0.35">
      <c r="A20" s="88" t="s">
        <v>172</v>
      </c>
      <c r="B20" s="87" t="str">
        <f t="shared" ca="1" si="0"/>
        <v>237.00</v>
      </c>
      <c r="C20" s="89">
        <f t="shared" ca="1" si="1"/>
        <v>220.51304347826087</v>
      </c>
      <c r="D20" s="90"/>
      <c r="E20" s="91">
        <f t="shared" ca="1" si="2"/>
        <v>37.663633852268376</v>
      </c>
      <c r="F20" s="91">
        <f t="shared" ca="1" si="3"/>
        <v>44.819724284199367</v>
      </c>
      <c r="G20" s="92">
        <f t="shared" ca="1" si="4"/>
        <v>220.51304347826087</v>
      </c>
    </row>
    <row r="21" spans="1:7" ht="14.25" customHeight="1" x14ac:dyDescent="0.35">
      <c r="A21" s="88" t="s">
        <v>173</v>
      </c>
      <c r="B21" s="87" t="str">
        <f t="shared" ca="1" si="0"/>
        <v>323.00</v>
      </c>
      <c r="C21" s="89">
        <f t="shared" ca="1" si="1"/>
        <v>300.53043478260872</v>
      </c>
      <c r="D21" s="90"/>
      <c r="E21" s="91">
        <f t="shared" ca="1" si="2"/>
        <v>51.330606473766608</v>
      </c>
      <c r="F21" s="91">
        <f t="shared" ca="1" si="3"/>
        <v>61.083421703782264</v>
      </c>
      <c r="G21" s="92">
        <f t="shared" ca="1" si="4"/>
        <v>300.53043478260872</v>
      </c>
    </row>
    <row r="22" spans="1:7" ht="14.25" customHeight="1" x14ac:dyDescent="0.3">
      <c r="A22" s="90" t="s">
        <v>174</v>
      </c>
      <c r="B22" s="87" t="str">
        <f t="shared" ca="1" si="0"/>
        <v>213.00</v>
      </c>
      <c r="C22" s="89">
        <f t="shared" ca="1" si="1"/>
        <v>198.18260869565216</v>
      </c>
      <c r="D22" s="90"/>
      <c r="E22" s="91">
        <f t="shared" ca="1" si="2"/>
        <v>33.849594981152585</v>
      </c>
      <c r="F22" s="91">
        <f t="shared" ca="1" si="3"/>
        <v>40.281018027571577</v>
      </c>
      <c r="G22" s="92">
        <f t="shared" ca="1" si="4"/>
        <v>198.18260869565216</v>
      </c>
    </row>
    <row r="23" spans="1:7" ht="14.25" customHeight="1" x14ac:dyDescent="0.3">
      <c r="A23" s="90" t="s">
        <v>175</v>
      </c>
      <c r="B23" s="87" t="str">
        <f t="shared" ca="1" si="0"/>
        <v>336.00</v>
      </c>
      <c r="C23" s="89">
        <f t="shared" ca="1" si="1"/>
        <v>312.62608695652176</v>
      </c>
      <c r="D23" s="90"/>
      <c r="E23" s="91">
        <f t="shared" ca="1" si="2"/>
        <v>53.39654419562099</v>
      </c>
      <c r="F23" s="91">
        <f t="shared" ca="1" si="3"/>
        <v>63.541887592788974</v>
      </c>
      <c r="G23" s="92">
        <f t="shared" ca="1" si="4"/>
        <v>312.62608695652176</v>
      </c>
    </row>
    <row r="24" spans="1:7" ht="14.25" customHeight="1" x14ac:dyDescent="0.3">
      <c r="A24" s="90" t="s">
        <v>176</v>
      </c>
      <c r="B24" s="87" t="str">
        <f t="shared" ca="1" si="0"/>
        <v>388.00</v>
      </c>
      <c r="C24" s="89">
        <f t="shared" ca="1" si="1"/>
        <v>361.00869565217391</v>
      </c>
      <c r="D24" s="90"/>
      <c r="E24" s="91">
        <f t="shared" ca="1" si="2"/>
        <v>61.66029508303852</v>
      </c>
      <c r="F24" s="91">
        <f t="shared" ca="1" si="3"/>
        <v>73.375751148815837</v>
      </c>
      <c r="G24" s="92">
        <f t="shared" ca="1" si="4"/>
        <v>361.00869565217391</v>
      </c>
    </row>
    <row r="25" spans="1:7" ht="14.25" customHeight="1" x14ac:dyDescent="0.3">
      <c r="A25" s="90" t="s">
        <v>177</v>
      </c>
      <c r="B25" s="87" t="str">
        <f t="shared" ca="1" si="0"/>
        <v>355.00</v>
      </c>
      <c r="C25" s="89">
        <f t="shared" ca="1" si="1"/>
        <v>330.30434782608694</v>
      </c>
      <c r="D25" s="90"/>
      <c r="E25" s="91">
        <f t="shared" ca="1" si="2"/>
        <v>56.415991635254315</v>
      </c>
      <c r="F25" s="91">
        <f t="shared" ca="1" si="3"/>
        <v>67.135030045952632</v>
      </c>
      <c r="G25" s="92">
        <f t="shared" ca="1" si="4"/>
        <v>330.30434782608694</v>
      </c>
    </row>
    <row r="26" spans="1:7" ht="14.25" customHeight="1" x14ac:dyDescent="0.3">
      <c r="A26" s="90" t="s">
        <v>178</v>
      </c>
      <c r="B26" s="87" t="str">
        <f t="shared" ca="1" si="0"/>
        <v>232.00</v>
      </c>
      <c r="C26" s="89">
        <f t="shared" ca="1" si="1"/>
        <v>215.8608695652174</v>
      </c>
      <c r="D26" s="90"/>
      <c r="E26" s="91">
        <f t="shared" ca="1" si="2"/>
        <v>36.869042420785917</v>
      </c>
      <c r="F26" s="91">
        <f t="shared" ca="1" si="3"/>
        <v>43.874160480735242</v>
      </c>
      <c r="G26" s="92">
        <f t="shared" ca="1" si="4"/>
        <v>215.8608695652174</v>
      </c>
    </row>
    <row r="27" spans="1:7" ht="14.25" customHeight="1" x14ac:dyDescent="0.3">
      <c r="A27" s="90" t="s">
        <v>179</v>
      </c>
      <c r="B27" s="87" t="str">
        <f t="shared" ca="1" si="0"/>
        <v>391.00</v>
      </c>
      <c r="C27" s="89">
        <f t="shared" ca="1" si="1"/>
        <v>363.8</v>
      </c>
      <c r="D27" s="90"/>
      <c r="E27" s="91">
        <f t="shared" ca="1" si="2"/>
        <v>62.137049941927998</v>
      </c>
      <c r="F27" s="91">
        <f t="shared" ca="1" si="3"/>
        <v>73.943089430894318</v>
      </c>
      <c r="G27" s="92">
        <f t="shared" ca="1" si="4"/>
        <v>363.8</v>
      </c>
    </row>
    <row r="28" spans="1:7" ht="14.25" customHeight="1" x14ac:dyDescent="0.3">
      <c r="A28" s="90" t="s">
        <v>180</v>
      </c>
      <c r="B28" s="87" t="str">
        <f t="shared" ca="1" si="0"/>
        <v>261.00</v>
      </c>
      <c r="C28" s="89">
        <f t="shared" ca="1" si="1"/>
        <v>242.84347826086957</v>
      </c>
      <c r="D28" s="90"/>
      <c r="E28" s="91">
        <f t="shared" ca="1" si="2"/>
        <v>41.47767272338416</v>
      </c>
      <c r="F28" s="91">
        <f t="shared" ca="1" si="3"/>
        <v>49.35843054082715</v>
      </c>
      <c r="G28" s="92">
        <f t="shared" ca="1" si="4"/>
        <v>242.84347826086957</v>
      </c>
    </row>
    <row r="29" spans="1:7" ht="14.25" customHeight="1" x14ac:dyDescent="0.3">
      <c r="A29" s="90" t="s">
        <v>181</v>
      </c>
      <c r="B29" s="87" t="str">
        <f t="shared" ca="1" si="0"/>
        <v>261.00</v>
      </c>
      <c r="C29" s="89">
        <f t="shared" ca="1" si="1"/>
        <v>242.84347826086957</v>
      </c>
      <c r="D29" s="90"/>
      <c r="E29" s="91">
        <f t="shared" ca="1" si="2"/>
        <v>41.47767272338416</v>
      </c>
      <c r="F29" s="91">
        <f t="shared" ca="1" si="3"/>
        <v>49.35843054082715</v>
      </c>
      <c r="G29" s="92">
        <f t="shared" ca="1" si="4"/>
        <v>242.84347826086957</v>
      </c>
    </row>
    <row r="30" spans="1:7" ht="14.25" customHeight="1" x14ac:dyDescent="0.3">
      <c r="A30" s="90" t="s">
        <v>182</v>
      </c>
      <c r="B30" s="87" t="str">
        <f t="shared" ca="1" si="0"/>
        <v>251.00</v>
      </c>
      <c r="C30" s="89">
        <f t="shared" ca="1" si="1"/>
        <v>233.53913043478261</v>
      </c>
      <c r="D30" s="90"/>
      <c r="E30" s="91">
        <f t="shared" ca="1" si="2"/>
        <v>39.888489860419249</v>
      </c>
      <c r="F30" s="91">
        <f t="shared" ca="1" si="3"/>
        <v>47.467302933898907</v>
      </c>
      <c r="G30" s="92">
        <f t="shared" ca="1" si="4"/>
        <v>233.53913043478261</v>
      </c>
    </row>
    <row r="31" spans="1:7" ht="14.25" customHeight="1" x14ac:dyDescent="0.3">
      <c r="A31" s="90" t="s">
        <v>183</v>
      </c>
      <c r="B31" s="87" t="str">
        <f t="shared" ca="1" si="0"/>
        <v>304.00</v>
      </c>
      <c r="C31" s="89">
        <f t="shared" ca="1" si="1"/>
        <v>282.85217391304349</v>
      </c>
      <c r="D31" s="90"/>
      <c r="E31" s="91">
        <f t="shared" ca="1" si="2"/>
        <v>48.311159034133276</v>
      </c>
      <c r="F31" s="91">
        <f t="shared" ca="1" si="3"/>
        <v>57.490279250618599</v>
      </c>
      <c r="G31" s="92">
        <f t="shared" ca="1" si="4"/>
        <v>282.85217391304349</v>
      </c>
    </row>
    <row r="32" spans="1:7" ht="14.25" customHeight="1" x14ac:dyDescent="0.3">
      <c r="A32" s="90" t="s">
        <v>184</v>
      </c>
      <c r="B32" s="87" t="str">
        <f t="shared" ca="1" si="0"/>
        <v>276.00</v>
      </c>
      <c r="C32" s="89">
        <f t="shared" ca="1" si="1"/>
        <v>256.8</v>
      </c>
      <c r="D32" s="90"/>
      <c r="E32" s="91">
        <f t="shared" ca="1" si="2"/>
        <v>43.861447017831523</v>
      </c>
      <c r="F32" s="91">
        <f t="shared" ca="1" si="3"/>
        <v>52.195121951219512</v>
      </c>
      <c r="G32" s="92">
        <f t="shared" ca="1" si="4"/>
        <v>256.8</v>
      </c>
    </row>
    <row r="33" spans="1:7" ht="14.25" customHeight="1" x14ac:dyDescent="0.3">
      <c r="A33" s="90" t="s">
        <v>185</v>
      </c>
      <c r="B33" s="87" t="str">
        <f t="shared" ca="1" si="0"/>
        <v>234.00</v>
      </c>
      <c r="C33" s="89">
        <f t="shared" ca="1" si="1"/>
        <v>217.7217391304348</v>
      </c>
      <c r="D33" s="90"/>
      <c r="E33" s="91">
        <f t="shared" ca="1" si="2"/>
        <v>37.186878993378905</v>
      </c>
      <c r="F33" s="91">
        <f t="shared" ca="1" si="3"/>
        <v>44.252386002120893</v>
      </c>
      <c r="G33" s="92">
        <f t="shared" ca="1" si="4"/>
        <v>217.7217391304348</v>
      </c>
    </row>
    <row r="34" spans="1:7" ht="14.25" customHeight="1" x14ac:dyDescent="0.3">
      <c r="A34" s="90" t="s">
        <v>186</v>
      </c>
      <c r="B34" s="87" t="str">
        <f t="shared" ca="1" si="0"/>
        <v>213.00</v>
      </c>
      <c r="C34" s="89">
        <f t="shared" ca="1" si="1"/>
        <v>198.18260869565216</v>
      </c>
      <c r="D34" s="90"/>
      <c r="E34" s="91">
        <f t="shared" ca="1" si="2"/>
        <v>33.849594981152585</v>
      </c>
      <c r="F34" s="91">
        <f t="shared" ca="1" si="3"/>
        <v>40.281018027571577</v>
      </c>
      <c r="G34" s="92">
        <f t="shared" ca="1" si="4"/>
        <v>198.18260869565216</v>
      </c>
    </row>
    <row r="35" spans="1:7" ht="14.25" customHeight="1" x14ac:dyDescent="0.3">
      <c r="A35" s="90" t="s">
        <v>187</v>
      </c>
      <c r="B35" s="87" t="str">
        <f t="shared" ca="1" si="0"/>
        <v>213.00</v>
      </c>
      <c r="C35" s="89">
        <f t="shared" ca="1" si="1"/>
        <v>198.18260869565216</v>
      </c>
      <c r="D35" s="90"/>
      <c r="E35" s="91">
        <f t="shared" ca="1" si="2"/>
        <v>33.849594981152585</v>
      </c>
      <c r="F35" s="91">
        <f t="shared" ca="1" si="3"/>
        <v>40.281018027571577</v>
      </c>
      <c r="G35" s="92">
        <f t="shared" ca="1" si="4"/>
        <v>198.18260869565216</v>
      </c>
    </row>
    <row r="36" spans="1:7" ht="14.25" customHeight="1" x14ac:dyDescent="0.3">
      <c r="A36" s="90" t="s">
        <v>188</v>
      </c>
      <c r="B36" s="87" t="str">
        <f t="shared" ca="1" si="0"/>
        <v>332.00</v>
      </c>
      <c r="C36" s="89">
        <f t="shared" ca="1" si="1"/>
        <v>308.90434782608696</v>
      </c>
      <c r="D36" s="90"/>
      <c r="E36" s="91">
        <f t="shared" ca="1" si="2"/>
        <v>52.760871050435028</v>
      </c>
      <c r="F36" s="91">
        <f t="shared" ca="1" si="3"/>
        <v>62.785436550017678</v>
      </c>
      <c r="G36" s="92">
        <f t="shared" ca="1" si="4"/>
        <v>308.90434782608696</v>
      </c>
    </row>
    <row r="37" spans="1:7" ht="14.25" customHeight="1" x14ac:dyDescent="0.3">
      <c r="A37" s="90" t="s">
        <v>189</v>
      </c>
      <c r="B37" s="87" t="str">
        <f t="shared" ca="1" si="0"/>
        <v>337.00</v>
      </c>
      <c r="C37" s="89">
        <f t="shared" ca="1" si="1"/>
        <v>313.55652173913046</v>
      </c>
      <c r="D37" s="90"/>
      <c r="E37" s="91">
        <f t="shared" ca="1" si="2"/>
        <v>53.55546248191748</v>
      </c>
      <c r="F37" s="91">
        <f t="shared" ca="1" si="3"/>
        <v>63.731000353481804</v>
      </c>
      <c r="G37" s="92">
        <f t="shared" ca="1" si="4"/>
        <v>313.55652173913046</v>
      </c>
    </row>
    <row r="38" spans="1:7" ht="14.25" customHeight="1" x14ac:dyDescent="0.3">
      <c r="A38" s="90" t="s">
        <v>190</v>
      </c>
      <c r="B38" s="87" t="str">
        <f t="shared" ca="1" si="0"/>
        <v>233.00</v>
      </c>
      <c r="C38" s="89">
        <f t="shared" ca="1" si="1"/>
        <v>216.7913043478261</v>
      </c>
      <c r="D38" s="90"/>
      <c r="E38" s="91">
        <f t="shared" ca="1" si="2"/>
        <v>37.027960707082414</v>
      </c>
      <c r="F38" s="91">
        <f t="shared" ca="1" si="3"/>
        <v>44.063273241428071</v>
      </c>
      <c r="G38" s="92">
        <f t="shared" ca="1" si="4"/>
        <v>216.7913043478261</v>
      </c>
    </row>
    <row r="39" spans="1:7" ht="14.25" customHeight="1" x14ac:dyDescent="0.3">
      <c r="A39" s="90" t="s">
        <v>191</v>
      </c>
      <c r="B39" s="87" t="str">
        <f t="shared" ca="1" si="0"/>
        <v>192.00</v>
      </c>
      <c r="C39" s="89">
        <f t="shared" ca="1" si="1"/>
        <v>178.64347826086956</v>
      </c>
      <c r="D39" s="90"/>
      <c r="E39" s="91">
        <f t="shared" ca="1" si="2"/>
        <v>30.512310968926275</v>
      </c>
      <c r="F39" s="91">
        <f t="shared" ca="1" si="3"/>
        <v>36.309650053022267</v>
      </c>
      <c r="G39" s="92">
        <f t="shared" ca="1" si="4"/>
        <v>178.64347826086956</v>
      </c>
    </row>
    <row r="40" spans="1:7" ht="14.25" customHeight="1" x14ac:dyDescent="0.3">
      <c r="A40" s="90" t="s">
        <v>192</v>
      </c>
      <c r="B40" s="87" t="str">
        <f t="shared" ca="1" si="0"/>
        <v>232.00</v>
      </c>
      <c r="C40" s="89">
        <f t="shared" ca="1" si="1"/>
        <v>215.8608695652174</v>
      </c>
      <c r="D40" s="90"/>
      <c r="E40" s="91">
        <f t="shared" ca="1" si="2"/>
        <v>36.869042420785917</v>
      </c>
      <c r="F40" s="91">
        <f t="shared" ca="1" si="3"/>
        <v>43.874160480735242</v>
      </c>
      <c r="G40" s="92">
        <f t="shared" ca="1" si="4"/>
        <v>215.8608695652174</v>
      </c>
    </row>
    <row r="41" spans="1:7" ht="14.25" customHeight="1" x14ac:dyDescent="0.3">
      <c r="A41" s="90" t="s">
        <v>193</v>
      </c>
      <c r="B41" s="87" t="str">
        <f t="shared" ca="1" si="0"/>
        <v>380.00</v>
      </c>
      <c r="C41" s="89">
        <f t="shared" ca="1" si="1"/>
        <v>353.56521739130437</v>
      </c>
      <c r="D41" s="90"/>
      <c r="E41" s="91">
        <f t="shared" ca="1" si="2"/>
        <v>60.388948792666596</v>
      </c>
      <c r="F41" s="91">
        <f t="shared" ca="1" si="3"/>
        <v>71.862849063273245</v>
      </c>
      <c r="G41" s="92">
        <f t="shared" ca="1" si="4"/>
        <v>353.56521739130437</v>
      </c>
    </row>
    <row r="42" spans="1:7" ht="14.25" customHeight="1" x14ac:dyDescent="0.3">
      <c r="A42" s="90" t="s">
        <v>194</v>
      </c>
      <c r="B42" s="87" t="str">
        <f t="shared" ca="1" si="0"/>
        <v>251.00</v>
      </c>
      <c r="C42" s="89">
        <f t="shared" ca="1" si="1"/>
        <v>233.53913043478261</v>
      </c>
      <c r="D42" s="90"/>
      <c r="E42" s="91">
        <f t="shared" ca="1" si="2"/>
        <v>39.888489860419249</v>
      </c>
      <c r="F42" s="91">
        <f t="shared" ca="1" si="3"/>
        <v>47.467302933898907</v>
      </c>
      <c r="G42" s="92">
        <f t="shared" ca="1" si="4"/>
        <v>233.53913043478261</v>
      </c>
    </row>
    <row r="43" spans="1:7" ht="14.25" customHeight="1" x14ac:dyDescent="0.3">
      <c r="A43" s="90" t="s">
        <v>195</v>
      </c>
      <c r="B43" s="87" t="str">
        <f t="shared" ca="1" si="0"/>
        <v>261.00</v>
      </c>
      <c r="C43" s="89">
        <f t="shared" ca="1" si="1"/>
        <v>242.84347826086957</v>
      </c>
      <c r="D43" s="90"/>
      <c r="E43" s="91">
        <f t="shared" ca="1" si="2"/>
        <v>41.47767272338416</v>
      </c>
      <c r="F43" s="91">
        <f t="shared" ca="1" si="3"/>
        <v>49.35843054082715</v>
      </c>
      <c r="G43" s="92">
        <f t="shared" ca="1" si="4"/>
        <v>242.84347826086957</v>
      </c>
    </row>
    <row r="44" spans="1:7" ht="14.25" customHeight="1" x14ac:dyDescent="0.3">
      <c r="A44" s="90" t="s">
        <v>196</v>
      </c>
      <c r="B44" s="87" t="str">
        <f t="shared" ca="1" si="0"/>
        <v>343.00</v>
      </c>
      <c r="C44" s="89">
        <f t="shared" ca="1" si="1"/>
        <v>319.1391304347826</v>
      </c>
      <c r="D44" s="90"/>
      <c r="E44" s="91">
        <f t="shared" ca="1" si="2"/>
        <v>54.508972199696416</v>
      </c>
      <c r="F44" s="91">
        <f t="shared" ca="1" si="3"/>
        <v>64.865676917638737</v>
      </c>
      <c r="G44" s="92">
        <f t="shared" ca="1" si="4"/>
        <v>319.1391304347826</v>
      </c>
    </row>
    <row r="45" spans="1:7" ht="14.25" customHeight="1" x14ac:dyDescent="0.3">
      <c r="A45" s="90" t="s">
        <v>197</v>
      </c>
      <c r="B45" s="87" t="str">
        <f t="shared" ca="1" si="0"/>
        <v>305.00</v>
      </c>
      <c r="C45" s="89">
        <f t="shared" ca="1" si="1"/>
        <v>283.78260869565219</v>
      </c>
      <c r="D45" s="90"/>
      <c r="E45" s="91">
        <f t="shared" ca="1" si="2"/>
        <v>48.470077320429766</v>
      </c>
      <c r="F45" s="91">
        <f t="shared" ca="1" si="3"/>
        <v>57.679392011311421</v>
      </c>
      <c r="G45" s="92">
        <f t="shared" ca="1" si="4"/>
        <v>283.78260869565219</v>
      </c>
    </row>
    <row r="46" spans="1:7" ht="14.25" customHeight="1" x14ac:dyDescent="0.3">
      <c r="A46" s="90" t="s">
        <v>198</v>
      </c>
      <c r="B46" s="87" t="str">
        <f t="shared" ca="1" si="0"/>
        <v>276.00</v>
      </c>
      <c r="C46" s="89">
        <f t="shared" ca="1" si="1"/>
        <v>256.8</v>
      </c>
      <c r="D46" s="90"/>
      <c r="E46" s="91">
        <f t="shared" ca="1" si="2"/>
        <v>43.861447017831523</v>
      </c>
      <c r="F46" s="91">
        <f t="shared" ca="1" si="3"/>
        <v>52.195121951219512</v>
      </c>
      <c r="G46" s="92">
        <f t="shared" ca="1" si="4"/>
        <v>256.8</v>
      </c>
    </row>
    <row r="47" spans="1:7" ht="14.25" customHeight="1" x14ac:dyDescent="0.3">
      <c r="A47" s="90" t="s">
        <v>199</v>
      </c>
      <c r="B47" s="87" t="str">
        <f t="shared" ca="1" si="0"/>
        <v>251.00</v>
      </c>
      <c r="C47" s="89">
        <f t="shared" ca="1" si="1"/>
        <v>233.53913043478261</v>
      </c>
      <c r="D47" s="90"/>
      <c r="E47" s="91">
        <f t="shared" ca="1" si="2"/>
        <v>39.888489860419249</v>
      </c>
      <c r="F47" s="91">
        <f t="shared" ca="1" si="3"/>
        <v>47.467302933898907</v>
      </c>
      <c r="G47" s="92">
        <f t="shared" ca="1" si="4"/>
        <v>233.53913043478261</v>
      </c>
    </row>
    <row r="48" spans="1:7" ht="14.25" customHeight="1" x14ac:dyDescent="0.3">
      <c r="A48" s="90" t="s">
        <v>200</v>
      </c>
      <c r="B48" s="87" t="str">
        <f t="shared" ca="1" si="0"/>
        <v>272.00</v>
      </c>
      <c r="C48" s="89">
        <f t="shared" ca="1" si="1"/>
        <v>253.07826086956521</v>
      </c>
      <c r="D48" s="90"/>
      <c r="E48" s="91">
        <f t="shared" ca="1" si="2"/>
        <v>43.225773872645561</v>
      </c>
      <c r="F48" s="91">
        <f t="shared" ca="1" si="3"/>
        <v>51.438670908448216</v>
      </c>
      <c r="G48" s="92">
        <f t="shared" ca="1" si="4"/>
        <v>253.07826086956521</v>
      </c>
    </row>
    <row r="49" spans="1:7" ht="14.25" customHeight="1" x14ac:dyDescent="0.3">
      <c r="A49" s="90" t="s">
        <v>202</v>
      </c>
      <c r="B49" s="87" t="str">
        <f t="shared" ca="1" si="0"/>
        <v>304.00</v>
      </c>
      <c r="C49" s="89">
        <f t="shared" ca="1" si="1"/>
        <v>282.85217391304349</v>
      </c>
      <c r="D49" s="90"/>
      <c r="E49" s="91">
        <f t="shared" ca="1" si="2"/>
        <v>48.311159034133276</v>
      </c>
      <c r="F49" s="91">
        <f t="shared" ca="1" si="3"/>
        <v>57.490279250618599</v>
      </c>
      <c r="G49" s="92">
        <f t="shared" ca="1" si="4"/>
        <v>282.85217391304349</v>
      </c>
    </row>
    <row r="50" spans="1:7" ht="14.25" customHeight="1" x14ac:dyDescent="0.3">
      <c r="A50" s="90" t="s">
        <v>203</v>
      </c>
      <c r="B50" s="87" t="str">
        <f t="shared" ca="1" si="0"/>
        <v>329.00</v>
      </c>
      <c r="C50" s="89">
        <f t="shared" ca="1" si="1"/>
        <v>306.11304347826086</v>
      </c>
      <c r="D50" s="90"/>
      <c r="E50" s="91">
        <f t="shared" ca="1" si="2"/>
        <v>52.284116191545543</v>
      </c>
      <c r="F50" s="91">
        <f t="shared" ca="1" si="3"/>
        <v>62.218098267939197</v>
      </c>
      <c r="G50" s="92">
        <f t="shared" ca="1" si="4"/>
        <v>306.11304347826086</v>
      </c>
    </row>
    <row r="51" spans="1:7" ht="14.25" customHeight="1" x14ac:dyDescent="0.3">
      <c r="A51" s="90" t="s">
        <v>204</v>
      </c>
      <c r="B51" s="87" t="str">
        <f t="shared" ca="1" si="0"/>
        <v>258.00</v>
      </c>
      <c r="C51" s="89">
        <f t="shared" ca="1" si="1"/>
        <v>240.05217391304348</v>
      </c>
      <c r="D51" s="90"/>
      <c r="E51" s="91">
        <f t="shared" ca="1" si="2"/>
        <v>41.000917864494689</v>
      </c>
      <c r="F51" s="91">
        <f t="shared" ca="1" si="3"/>
        <v>48.791092258748677</v>
      </c>
      <c r="G51" s="92">
        <f t="shared" ca="1" si="4"/>
        <v>240.05217391304348</v>
      </c>
    </row>
    <row r="52" spans="1:7" ht="14.25" customHeight="1" x14ac:dyDescent="0.3">
      <c r="A52" s="90" t="s">
        <v>205</v>
      </c>
      <c r="B52" s="87" t="str">
        <f t="shared" ca="1" si="0"/>
        <v>361.00</v>
      </c>
      <c r="C52" s="89">
        <f t="shared" ca="1" si="1"/>
        <v>335.88695652173914</v>
      </c>
      <c r="D52" s="90"/>
      <c r="E52" s="91">
        <f t="shared" ca="1" si="2"/>
        <v>57.369501353033257</v>
      </c>
      <c r="F52" s="91">
        <f t="shared" ca="1" si="3"/>
        <v>68.26970661010958</v>
      </c>
      <c r="G52" s="92">
        <f t="shared" ca="1" si="4"/>
        <v>335.88695652173914</v>
      </c>
    </row>
    <row r="53" spans="1:7" ht="14.25" customHeight="1" x14ac:dyDescent="0.3">
      <c r="A53" s="90" t="s">
        <v>206</v>
      </c>
      <c r="B53" s="87" t="str">
        <f t="shared" ca="1" si="0"/>
        <v>183.00</v>
      </c>
      <c r="C53" s="89">
        <f t="shared" ca="1" si="1"/>
        <v>170.26956521739132</v>
      </c>
      <c r="D53" s="90"/>
      <c r="E53" s="91">
        <f t="shared" ca="1" si="2"/>
        <v>29.082046392257858</v>
      </c>
      <c r="F53" s="91">
        <f t="shared" ca="1" si="3"/>
        <v>34.607635206786853</v>
      </c>
      <c r="G53" s="92">
        <f t="shared" ca="1" si="4"/>
        <v>170.26956521739132</v>
      </c>
    </row>
    <row r="54" spans="1:7" ht="14.25" customHeight="1" x14ac:dyDescent="0.3">
      <c r="A54" s="90" t="s">
        <v>207</v>
      </c>
      <c r="B54" s="87" t="str">
        <f t="shared" ca="1" si="0"/>
        <v>232.00</v>
      </c>
      <c r="C54" s="89">
        <f t="shared" ca="1" si="1"/>
        <v>215.8608695652174</v>
      </c>
      <c r="D54" s="90"/>
      <c r="E54" s="91">
        <f t="shared" ca="1" si="2"/>
        <v>36.869042420785917</v>
      </c>
      <c r="F54" s="91">
        <f t="shared" ca="1" si="3"/>
        <v>43.874160480735242</v>
      </c>
      <c r="G54" s="92">
        <f t="shared" ca="1" si="4"/>
        <v>215.8608695652174</v>
      </c>
    </row>
    <row r="55" spans="1:7" ht="14.25" customHeight="1" x14ac:dyDescent="0.3">
      <c r="A55" s="90" t="s">
        <v>208</v>
      </c>
      <c r="B55" s="87" t="str">
        <f t="shared" ca="1" si="0"/>
        <v>232.00</v>
      </c>
      <c r="C55" s="89">
        <f t="shared" ca="1" si="1"/>
        <v>215.8608695652174</v>
      </c>
      <c r="D55" s="90"/>
      <c r="E55" s="91">
        <f t="shared" ca="1" si="2"/>
        <v>36.869042420785917</v>
      </c>
      <c r="F55" s="91">
        <f t="shared" ca="1" si="3"/>
        <v>43.874160480735242</v>
      </c>
      <c r="G55" s="92">
        <f t="shared" ca="1" si="4"/>
        <v>215.8608695652174</v>
      </c>
    </row>
    <row r="56" spans="1:7" ht="14.25" customHeight="1" x14ac:dyDescent="0.3">
      <c r="A56" s="90" t="s">
        <v>209</v>
      </c>
      <c r="B56" s="87" t="str">
        <f t="shared" ca="1" si="0"/>
        <v>233.00</v>
      </c>
      <c r="C56" s="89">
        <f t="shared" ca="1" si="1"/>
        <v>216.7913043478261</v>
      </c>
      <c r="D56" s="90"/>
      <c r="E56" s="91">
        <f t="shared" ca="1" si="2"/>
        <v>37.027960707082414</v>
      </c>
      <c r="F56" s="91">
        <f t="shared" ca="1" si="3"/>
        <v>44.063273241428071</v>
      </c>
      <c r="G56" s="92">
        <f t="shared" ca="1" si="4"/>
        <v>216.7913043478261</v>
      </c>
    </row>
    <row r="57" spans="1:7" ht="14.25" customHeight="1" x14ac:dyDescent="0.3">
      <c r="A57" s="90" t="s">
        <v>210</v>
      </c>
      <c r="B57" s="87" t="str">
        <f t="shared" ca="1" si="0"/>
        <v>257.00</v>
      </c>
      <c r="C57" s="89">
        <f t="shared" ca="1" si="1"/>
        <v>239.12173913043478</v>
      </c>
      <c r="D57" s="90"/>
      <c r="E57" s="91">
        <f t="shared" ca="1" si="2"/>
        <v>40.841999578198191</v>
      </c>
      <c r="F57" s="91">
        <f t="shared" ca="1" si="3"/>
        <v>48.601979498055847</v>
      </c>
      <c r="G57" s="92">
        <f t="shared" ca="1" si="4"/>
        <v>239.12173913043478</v>
      </c>
    </row>
    <row r="58" spans="1:7" ht="14.25" customHeight="1" x14ac:dyDescent="0.3">
      <c r="A58" s="90" t="s">
        <v>211</v>
      </c>
      <c r="B58" s="87" t="str">
        <f t="shared" ca="1" si="0"/>
        <v>276.00</v>
      </c>
      <c r="C58" s="89">
        <f t="shared" ca="1" si="1"/>
        <v>256.8</v>
      </c>
      <c r="D58" s="90"/>
      <c r="E58" s="91">
        <f t="shared" ca="1" si="2"/>
        <v>43.861447017831523</v>
      </c>
      <c r="F58" s="91">
        <f t="shared" ca="1" si="3"/>
        <v>52.195121951219512</v>
      </c>
      <c r="G58" s="92">
        <f t="shared" ca="1" si="4"/>
        <v>256.8</v>
      </c>
    </row>
    <row r="59" spans="1:7" ht="14.25" customHeight="1" x14ac:dyDescent="0.3">
      <c r="A59" s="90" t="s">
        <v>212</v>
      </c>
      <c r="B59" s="87" t="str">
        <f t="shared" ca="1" si="0"/>
        <v>394.00</v>
      </c>
      <c r="C59" s="89">
        <f t="shared" ca="1" si="1"/>
        <v>366.59130434782611</v>
      </c>
      <c r="D59" s="90"/>
      <c r="E59" s="91">
        <f t="shared" ca="1" si="2"/>
        <v>62.613804800817469</v>
      </c>
      <c r="F59" s="91">
        <f t="shared" ca="1" si="3"/>
        <v>74.510427712972785</v>
      </c>
      <c r="G59" s="92">
        <f t="shared" ca="1" si="4"/>
        <v>366.59130434782611</v>
      </c>
    </row>
    <row r="60" spans="1:7" ht="14.25" customHeight="1" x14ac:dyDescent="0.3">
      <c r="A60" s="90" t="s">
        <v>213</v>
      </c>
      <c r="B60" s="87" t="str">
        <f t="shared" ca="1" si="0"/>
        <v>343.00</v>
      </c>
      <c r="C60" s="89">
        <f t="shared" ca="1" si="1"/>
        <v>319.1391304347826</v>
      </c>
      <c r="D60" s="90"/>
      <c r="E60" s="91">
        <f t="shared" ca="1" si="2"/>
        <v>54.508972199696416</v>
      </c>
      <c r="F60" s="91">
        <f t="shared" ca="1" si="3"/>
        <v>64.865676917638737</v>
      </c>
      <c r="G60" s="92">
        <f t="shared" ca="1" si="4"/>
        <v>319.1391304347826</v>
      </c>
    </row>
    <row r="61" spans="1:7" ht="14.25" customHeight="1" x14ac:dyDescent="0.3">
      <c r="A61" s="90" t="s">
        <v>214</v>
      </c>
      <c r="B61" s="87" t="str">
        <f t="shared" ca="1" si="0"/>
        <v>278.00</v>
      </c>
      <c r="C61" s="89">
        <f t="shared" ca="1" si="1"/>
        <v>258.66086956521741</v>
      </c>
      <c r="D61" s="90"/>
      <c r="E61" s="91">
        <f t="shared" ca="1" si="2"/>
        <v>44.179283590424504</v>
      </c>
      <c r="F61" s="91">
        <f t="shared" ca="1" si="3"/>
        <v>52.573347472605164</v>
      </c>
      <c r="G61" s="92">
        <f t="shared" ca="1" si="4"/>
        <v>258.66086956521741</v>
      </c>
    </row>
    <row r="62" spans="1:7" ht="14.25" customHeight="1" x14ac:dyDescent="0.3">
      <c r="A62" s="90" t="s">
        <v>215</v>
      </c>
      <c r="B62" s="87" t="str">
        <f t="shared" ca="1" si="0"/>
        <v>376.00</v>
      </c>
      <c r="C62" s="89">
        <f t="shared" ca="1" si="1"/>
        <v>349.84347826086957</v>
      </c>
      <c r="D62" s="90"/>
      <c r="E62" s="91">
        <f t="shared" ca="1" si="2"/>
        <v>59.753275647480621</v>
      </c>
      <c r="F62" s="91">
        <f t="shared" ca="1" si="3"/>
        <v>71.106398020501942</v>
      </c>
      <c r="G62" s="92">
        <f t="shared" ca="1" si="4"/>
        <v>349.84347826086957</v>
      </c>
    </row>
    <row r="63" spans="1:7" ht="14.25" customHeight="1" x14ac:dyDescent="0.3">
      <c r="A63" s="90" t="s">
        <v>216</v>
      </c>
      <c r="B63" s="87" t="str">
        <f t="shared" ca="1" si="0"/>
        <v>295.00</v>
      </c>
      <c r="C63" s="89">
        <f t="shared" ca="1" si="1"/>
        <v>274.47826086956525</v>
      </c>
      <c r="D63" s="90"/>
      <c r="E63" s="91">
        <f t="shared" ca="1" si="2"/>
        <v>46.880894457464862</v>
      </c>
      <c r="F63" s="91">
        <f t="shared" ca="1" si="3"/>
        <v>55.788264404383185</v>
      </c>
      <c r="G63" s="92">
        <f t="shared" ca="1" si="4"/>
        <v>274.47826086956525</v>
      </c>
    </row>
    <row r="64" spans="1:7" ht="14.25" customHeight="1" x14ac:dyDescent="0.3">
      <c r="A64" s="90" t="s">
        <v>217</v>
      </c>
      <c r="B64" s="87" t="str">
        <f t="shared" ca="1" si="0"/>
        <v>243.00</v>
      </c>
      <c r="C64" s="89">
        <f t="shared" ca="1" si="1"/>
        <v>226.09565217391304</v>
      </c>
      <c r="D64" s="90"/>
      <c r="E64" s="91">
        <f t="shared" ca="1" si="2"/>
        <v>38.617143570047318</v>
      </c>
      <c r="F64" s="91">
        <f t="shared" ca="1" si="3"/>
        <v>45.954400848356308</v>
      </c>
      <c r="G64" s="92">
        <f t="shared" ca="1" si="4"/>
        <v>226.09565217391304</v>
      </c>
    </row>
    <row r="65" spans="1:7" ht="14.25" customHeight="1" x14ac:dyDescent="0.3">
      <c r="A65" s="90" t="s">
        <v>218</v>
      </c>
      <c r="B65" s="87" t="str">
        <f t="shared" ca="1" si="0"/>
        <v>376.00</v>
      </c>
      <c r="C65" s="89">
        <f t="shared" ca="1" si="1"/>
        <v>349.84347826086957</v>
      </c>
      <c r="D65" s="90"/>
      <c r="E65" s="91">
        <f t="shared" ca="1" si="2"/>
        <v>59.753275647480621</v>
      </c>
      <c r="F65" s="91">
        <f t="shared" ca="1" si="3"/>
        <v>71.106398020501942</v>
      </c>
      <c r="G65" s="92">
        <f t="shared" ca="1" si="4"/>
        <v>349.84347826086957</v>
      </c>
    </row>
    <row r="66" spans="1:7" ht="14.25" customHeight="1" x14ac:dyDescent="0.3">
      <c r="A66" s="90" t="s">
        <v>219</v>
      </c>
      <c r="B66" s="87" t="str">
        <f t="shared" ca="1" si="0"/>
        <v>362.00</v>
      </c>
      <c r="C66" s="89">
        <f t="shared" ca="1" si="1"/>
        <v>336.81739130434784</v>
      </c>
      <c r="D66" s="90"/>
      <c r="E66" s="91">
        <f t="shared" ca="1" si="2"/>
        <v>57.528419639329748</v>
      </c>
      <c r="F66" s="91">
        <f t="shared" ca="1" si="3"/>
        <v>68.458819370802402</v>
      </c>
      <c r="G66" s="92">
        <f t="shared" ca="1" si="4"/>
        <v>336.81739130434784</v>
      </c>
    </row>
    <row r="67" spans="1:7" ht="14.25" customHeight="1" x14ac:dyDescent="0.3">
      <c r="A67" s="90" t="s">
        <v>220</v>
      </c>
      <c r="B67" s="87" t="str">
        <f t="shared" ca="1" si="0"/>
        <v>313.00</v>
      </c>
      <c r="C67" s="89">
        <f t="shared" ca="1" si="1"/>
        <v>291.22608695652173</v>
      </c>
      <c r="D67" s="90"/>
      <c r="E67" s="91">
        <f t="shared" ca="1" si="2"/>
        <v>49.741423610801689</v>
      </c>
      <c r="F67" s="91">
        <f t="shared" ca="1" si="3"/>
        <v>59.192294096854013</v>
      </c>
      <c r="G67" s="92">
        <f t="shared" ca="1" si="4"/>
        <v>291.22608695652173</v>
      </c>
    </row>
    <row r="68" spans="1:7" ht="14.25" customHeight="1" x14ac:dyDescent="0.3">
      <c r="A68" s="90" t="s">
        <v>221</v>
      </c>
      <c r="B68" s="87" t="str">
        <f t="shared" ca="1" si="0"/>
        <v>369.00</v>
      </c>
      <c r="C68" s="89">
        <f t="shared" ca="1" si="1"/>
        <v>343.33043478260868</v>
      </c>
      <c r="D68" s="90"/>
      <c r="E68" s="91">
        <f t="shared" ca="1" si="2"/>
        <v>58.640847643405188</v>
      </c>
      <c r="F68" s="91">
        <f t="shared" ca="1" si="3"/>
        <v>69.782608695652172</v>
      </c>
      <c r="G68" s="92">
        <f t="shared" ca="1" si="4"/>
        <v>343.33043478260868</v>
      </c>
    </row>
    <row r="69" spans="1:7" ht="14.25" customHeight="1" x14ac:dyDescent="0.3">
      <c r="A69" s="90" t="s">
        <v>222</v>
      </c>
      <c r="B69" s="87" t="str">
        <f t="shared" ca="1" si="0"/>
        <v>363.00</v>
      </c>
      <c r="C69" s="89">
        <f t="shared" ca="1" si="1"/>
        <v>337.74782608695654</v>
      </c>
      <c r="D69" s="90"/>
      <c r="E69" s="91">
        <f t="shared" ca="1" si="2"/>
        <v>57.687337925626252</v>
      </c>
      <c r="F69" s="91">
        <f t="shared" ca="1" si="3"/>
        <v>68.647932131495239</v>
      </c>
      <c r="G69" s="92">
        <f t="shared" ca="1" si="4"/>
        <v>337.74782608695654</v>
      </c>
    </row>
    <row r="70" spans="1:7" ht="14.25" customHeight="1" x14ac:dyDescent="0.3">
      <c r="A70" s="90" t="s">
        <v>223</v>
      </c>
      <c r="B70" s="87" t="str">
        <f t="shared" ca="1" si="0"/>
        <v>304.00</v>
      </c>
      <c r="C70" s="89">
        <f t="shared" ca="1" si="1"/>
        <v>282.85217391304349</v>
      </c>
      <c r="D70" s="90"/>
      <c r="E70" s="91">
        <f t="shared" ca="1" si="2"/>
        <v>48.311159034133276</v>
      </c>
      <c r="F70" s="91">
        <f t="shared" ca="1" si="3"/>
        <v>57.490279250618599</v>
      </c>
      <c r="G70" s="92">
        <f t="shared" ca="1" si="4"/>
        <v>282.85217391304349</v>
      </c>
    </row>
    <row r="71" spans="1:7" ht="14.25" customHeight="1" x14ac:dyDescent="0.3">
      <c r="A71" s="90" t="s">
        <v>224</v>
      </c>
      <c r="B71" s="87" t="str">
        <f t="shared" ca="1" si="0"/>
        <v>243.00</v>
      </c>
      <c r="C71" s="89">
        <f t="shared" ca="1" si="1"/>
        <v>226.09565217391304</v>
      </c>
      <c r="D71" s="90"/>
      <c r="E71" s="91">
        <f t="shared" ca="1" si="2"/>
        <v>38.617143570047318</v>
      </c>
      <c r="F71" s="91">
        <f t="shared" ca="1" si="3"/>
        <v>45.954400848356308</v>
      </c>
      <c r="G71" s="92">
        <f t="shared" ca="1" si="4"/>
        <v>226.09565217391304</v>
      </c>
    </row>
    <row r="72" spans="1:7" ht="14.25" customHeight="1" x14ac:dyDescent="0.3">
      <c r="A72" s="90" t="s">
        <v>225</v>
      </c>
      <c r="B72" s="87" t="str">
        <f t="shared" ca="1" si="0"/>
        <v>381.00</v>
      </c>
      <c r="C72" s="89">
        <f t="shared" ca="1" si="1"/>
        <v>354.49565217391307</v>
      </c>
      <c r="D72" s="90"/>
      <c r="E72" s="91">
        <f t="shared" ca="1" si="2"/>
        <v>60.54786707896308</v>
      </c>
      <c r="F72" s="91">
        <f t="shared" ca="1" si="3"/>
        <v>72.051961823966067</v>
      </c>
      <c r="G72" s="92">
        <f t="shared" ca="1" si="4"/>
        <v>354.49565217391307</v>
      </c>
    </row>
    <row r="73" spans="1:7" ht="14.25" customHeight="1" x14ac:dyDescent="0.3">
      <c r="A73" s="90" t="s">
        <v>226</v>
      </c>
      <c r="B73" s="87" t="str">
        <f t="shared" ca="1" si="0"/>
        <v>350.00</v>
      </c>
      <c r="C73" s="89">
        <f t="shared" ca="1" si="1"/>
        <v>325.6521739130435</v>
      </c>
      <c r="D73" s="90"/>
      <c r="E73" s="91">
        <f t="shared" ca="1" si="2"/>
        <v>55.62140020377187</v>
      </c>
      <c r="F73" s="91">
        <f t="shared" ca="1" si="3"/>
        <v>66.189466242488521</v>
      </c>
      <c r="G73" s="92">
        <f t="shared" ca="1" si="4"/>
        <v>325.6521739130435</v>
      </c>
    </row>
    <row r="74" spans="1:7" ht="14.25" customHeight="1" x14ac:dyDescent="0.3">
      <c r="A74" s="90" t="s">
        <v>227</v>
      </c>
      <c r="B74" s="87" t="str">
        <f t="shared" ca="1" si="0"/>
        <v>233.00</v>
      </c>
      <c r="C74" s="89">
        <f t="shared" ca="1" si="1"/>
        <v>216.7913043478261</v>
      </c>
      <c r="D74" s="90"/>
      <c r="E74" s="91">
        <f t="shared" ca="1" si="2"/>
        <v>37.027960707082414</v>
      </c>
      <c r="F74" s="91">
        <f t="shared" ca="1" si="3"/>
        <v>44.063273241428071</v>
      </c>
      <c r="G74" s="92">
        <f t="shared" ca="1" si="4"/>
        <v>216.7913043478261</v>
      </c>
    </row>
    <row r="75" spans="1:7" ht="14.25" customHeight="1" x14ac:dyDescent="0.3">
      <c r="A75" s="90" t="s">
        <v>228</v>
      </c>
      <c r="B75" s="87" t="str">
        <f t="shared" ca="1" si="0"/>
        <v>405.00</v>
      </c>
      <c r="C75" s="89">
        <f t="shared" ca="1" si="1"/>
        <v>376.82608695652175</v>
      </c>
      <c r="D75" s="90"/>
      <c r="E75" s="91">
        <f t="shared" ca="1" si="2"/>
        <v>64.361905950078878</v>
      </c>
      <c r="F75" s="91">
        <f t="shared" ca="1" si="3"/>
        <v>76.590668080593858</v>
      </c>
      <c r="G75" s="92">
        <f t="shared" ca="1" si="4"/>
        <v>376.82608695652175</v>
      </c>
    </row>
    <row r="76" spans="1:7" ht="14.25" customHeight="1" x14ac:dyDescent="0.3">
      <c r="A76" s="90" t="s">
        <v>229</v>
      </c>
      <c r="B76" s="87" t="str">
        <f t="shared" ca="1" si="0"/>
        <v>362.00</v>
      </c>
      <c r="C76" s="89">
        <f t="shared" ca="1" si="1"/>
        <v>336.81739130434784</v>
      </c>
      <c r="D76" s="90"/>
      <c r="E76" s="91">
        <f t="shared" ca="1" si="2"/>
        <v>57.528419639329748</v>
      </c>
      <c r="F76" s="91">
        <f t="shared" ca="1" si="3"/>
        <v>68.458819370802402</v>
      </c>
      <c r="G76" s="92">
        <f t="shared" ca="1" si="4"/>
        <v>336.81739130434784</v>
      </c>
    </row>
    <row r="77" spans="1:7" ht="14.25" customHeight="1" x14ac:dyDescent="0.3">
      <c r="A77" s="90" t="s">
        <v>230</v>
      </c>
      <c r="B77" s="87" t="str">
        <f t="shared" ca="1" si="0"/>
        <v>381.00</v>
      </c>
      <c r="C77" s="89">
        <f t="shared" ca="1" si="1"/>
        <v>354.49565217391307</v>
      </c>
      <c r="D77" s="90"/>
      <c r="E77" s="91">
        <f t="shared" ca="1" si="2"/>
        <v>60.54786707896308</v>
      </c>
      <c r="F77" s="91">
        <f t="shared" ca="1" si="3"/>
        <v>72.051961823966067</v>
      </c>
      <c r="G77" s="92">
        <f t="shared" ca="1" si="4"/>
        <v>354.49565217391307</v>
      </c>
    </row>
    <row r="78" spans="1:7" ht="14.25" customHeight="1" x14ac:dyDescent="0.3">
      <c r="A78" s="90" t="s">
        <v>231</v>
      </c>
      <c r="B78" s="87" t="str">
        <f t="shared" ca="1" si="0"/>
        <v>362.00</v>
      </c>
      <c r="C78" s="89">
        <f t="shared" ca="1" si="1"/>
        <v>336.81739130434784</v>
      </c>
      <c r="D78" s="90"/>
      <c r="E78" s="91">
        <f t="shared" ca="1" si="2"/>
        <v>57.528419639329748</v>
      </c>
      <c r="F78" s="91">
        <f t="shared" ca="1" si="3"/>
        <v>68.458819370802402</v>
      </c>
      <c r="G78" s="92">
        <f t="shared" ca="1" si="4"/>
        <v>336.81739130434784</v>
      </c>
    </row>
    <row r="79" spans="1:7" ht="14.25" customHeight="1" x14ac:dyDescent="0.3">
      <c r="A79" s="90" t="s">
        <v>232</v>
      </c>
      <c r="B79" s="87" t="str">
        <f t="shared" ca="1" si="0"/>
        <v>373.00</v>
      </c>
      <c r="C79" s="89">
        <f t="shared" ca="1" si="1"/>
        <v>347.05217391304348</v>
      </c>
      <c r="D79" s="90"/>
      <c r="E79" s="91">
        <f t="shared" ca="1" si="2"/>
        <v>59.276520788591156</v>
      </c>
      <c r="F79" s="91">
        <f t="shared" ca="1" si="3"/>
        <v>70.539059738423475</v>
      </c>
      <c r="G79" s="92">
        <f t="shared" ca="1" si="4"/>
        <v>347.05217391304348</v>
      </c>
    </row>
    <row r="80" spans="1:7" ht="14.25" customHeight="1" x14ac:dyDescent="0.3">
      <c r="A80" s="90" t="s">
        <v>233</v>
      </c>
      <c r="B80" s="87" t="str">
        <f t="shared" ca="1" si="0"/>
        <v>362.00</v>
      </c>
      <c r="C80" s="89">
        <f t="shared" ca="1" si="1"/>
        <v>336.81739130434784</v>
      </c>
      <c r="D80" s="90"/>
      <c r="E80" s="91">
        <f t="shared" ca="1" si="2"/>
        <v>57.528419639329748</v>
      </c>
      <c r="F80" s="91">
        <f t="shared" ca="1" si="3"/>
        <v>68.458819370802402</v>
      </c>
      <c r="G80" s="92">
        <f t="shared" ca="1" si="4"/>
        <v>336.81739130434784</v>
      </c>
    </row>
    <row r="81" spans="1:7" ht="14.25" customHeight="1" x14ac:dyDescent="0.3">
      <c r="A81" s="90" t="s">
        <v>234</v>
      </c>
      <c r="B81" s="87" t="str">
        <f t="shared" ca="1" si="0"/>
        <v>268.00</v>
      </c>
      <c r="C81" s="89">
        <f t="shared" ca="1" si="1"/>
        <v>249.35652173913044</v>
      </c>
      <c r="D81" s="90"/>
      <c r="E81" s="91">
        <f t="shared" ca="1" si="2"/>
        <v>42.5901007274596</v>
      </c>
      <c r="F81" s="91">
        <f t="shared" ca="1" si="3"/>
        <v>50.68221986567692</v>
      </c>
      <c r="G81" s="92">
        <f t="shared" ca="1" si="4"/>
        <v>249.35652173913044</v>
      </c>
    </row>
    <row r="82" spans="1:7" ht="14.25" customHeight="1" x14ac:dyDescent="0.3">
      <c r="A82" s="90" t="s">
        <v>235</v>
      </c>
      <c r="B82" s="87" t="str">
        <f t="shared" ca="1" si="0"/>
        <v>264.00</v>
      </c>
      <c r="C82" s="89">
        <f t="shared" ca="1" si="1"/>
        <v>245.63478260869564</v>
      </c>
      <c r="D82" s="90"/>
      <c r="E82" s="91">
        <f t="shared" ca="1" si="2"/>
        <v>41.954427582273631</v>
      </c>
      <c r="F82" s="91">
        <f t="shared" ca="1" si="3"/>
        <v>49.925768822905617</v>
      </c>
      <c r="G82" s="92">
        <f t="shared" ca="1" si="4"/>
        <v>245.63478260869564</v>
      </c>
    </row>
    <row r="83" spans="1:7" ht="14.25" customHeight="1" x14ac:dyDescent="0.3">
      <c r="A83" s="90" t="s">
        <v>236</v>
      </c>
      <c r="B83" s="87" t="str">
        <f t="shared" ca="1" si="0"/>
        <v>294.00</v>
      </c>
      <c r="C83" s="89">
        <f t="shared" ca="1" si="1"/>
        <v>273.54782608695655</v>
      </c>
      <c r="D83" s="90"/>
      <c r="E83" s="91">
        <f t="shared" ca="1" si="2"/>
        <v>46.721976171168365</v>
      </c>
      <c r="F83" s="91">
        <f t="shared" ca="1" si="3"/>
        <v>55.599151643690355</v>
      </c>
      <c r="G83" s="92">
        <f t="shared" ca="1" si="4"/>
        <v>273.54782608695655</v>
      </c>
    </row>
    <row r="84" spans="1:7" ht="14.25" customHeight="1" x14ac:dyDescent="0.3">
      <c r="A84" s="90" t="s">
        <v>237</v>
      </c>
      <c r="B84" s="87" t="str">
        <f t="shared" ca="1" si="0"/>
        <v>279.00</v>
      </c>
      <c r="C84" s="89">
        <f t="shared" ca="1" si="1"/>
        <v>259.59130434782611</v>
      </c>
      <c r="D84" s="90"/>
      <c r="E84" s="91">
        <f t="shared" ca="1" si="2"/>
        <v>44.338201876721001</v>
      </c>
      <c r="F84" s="91">
        <f t="shared" ca="1" si="3"/>
        <v>52.762460233297993</v>
      </c>
      <c r="G84" s="92">
        <f t="shared" ca="1" si="4"/>
        <v>259.59130434782611</v>
      </c>
    </row>
    <row r="85" spans="1:7" ht="14.25" customHeight="1" x14ac:dyDescent="0.3">
      <c r="A85" s="90" t="s">
        <v>238</v>
      </c>
      <c r="B85" s="87" t="str">
        <f t="shared" ca="1" si="0"/>
        <v>218.00</v>
      </c>
      <c r="C85" s="89">
        <f t="shared" ca="1" si="1"/>
        <v>202.83478260869566</v>
      </c>
      <c r="D85" s="90"/>
      <c r="E85" s="91">
        <f t="shared" ca="1" si="2"/>
        <v>34.644186412635044</v>
      </c>
      <c r="F85" s="91">
        <f t="shared" ca="1" si="3"/>
        <v>41.226581831035702</v>
      </c>
      <c r="G85" s="92">
        <f t="shared" ca="1" si="4"/>
        <v>202.83478260869566</v>
      </c>
    </row>
    <row r="86" spans="1:7" ht="14.25" customHeight="1" x14ac:dyDescent="0.3">
      <c r="A86" s="90" t="s">
        <v>239</v>
      </c>
      <c r="B86" s="87" t="str">
        <f t="shared" ca="1" si="0"/>
        <v>405.00</v>
      </c>
      <c r="C86" s="89">
        <f t="shared" ca="1" si="1"/>
        <v>376.82608695652175</v>
      </c>
      <c r="D86" s="90"/>
      <c r="E86" s="91">
        <f t="shared" ca="1" si="2"/>
        <v>64.361905950078878</v>
      </c>
      <c r="F86" s="91">
        <f t="shared" ca="1" si="3"/>
        <v>76.590668080593858</v>
      </c>
      <c r="G86" s="92">
        <f t="shared" ca="1" si="4"/>
        <v>376.82608695652175</v>
      </c>
    </row>
    <row r="87" spans="1:7" ht="14.25" customHeight="1" x14ac:dyDescent="0.3">
      <c r="A87" s="90" t="s">
        <v>240</v>
      </c>
      <c r="B87" s="87" t="str">
        <f t="shared" ca="1" si="0"/>
        <v>296.00</v>
      </c>
      <c r="C87" s="89">
        <f t="shared" ca="1" si="1"/>
        <v>275.40869565217389</v>
      </c>
      <c r="D87" s="90"/>
      <c r="E87" s="91">
        <f t="shared" ca="1" si="2"/>
        <v>47.039812743761338</v>
      </c>
      <c r="F87" s="91">
        <f t="shared" ca="1" si="3"/>
        <v>55.977377165075993</v>
      </c>
      <c r="G87" s="92">
        <f t="shared" ca="1" si="4"/>
        <v>275.40869565217389</v>
      </c>
    </row>
    <row r="88" spans="1:7" ht="14.25" customHeight="1" x14ac:dyDescent="0.3">
      <c r="A88" s="90" t="s">
        <v>241</v>
      </c>
      <c r="B88" s="87" t="str">
        <f t="shared" ca="1" si="0"/>
        <v>256.00</v>
      </c>
      <c r="C88" s="89">
        <f t="shared" ca="1" si="1"/>
        <v>238.19130434782608</v>
      </c>
      <c r="D88" s="90"/>
      <c r="E88" s="91">
        <f t="shared" ca="1" si="2"/>
        <v>40.683081291901701</v>
      </c>
      <c r="F88" s="91">
        <f t="shared" ca="1" si="3"/>
        <v>48.412866737363025</v>
      </c>
      <c r="G88" s="92">
        <f t="shared" ca="1" si="4"/>
        <v>238.19130434782608</v>
      </c>
    </row>
    <row r="89" spans="1:7" ht="14.25" customHeight="1" x14ac:dyDescent="0.3">
      <c r="A89" s="90" t="s">
        <v>242</v>
      </c>
      <c r="B89" s="87" t="str">
        <f t="shared" ca="1" si="0"/>
        <v>294.00</v>
      </c>
      <c r="C89" s="89">
        <f t="shared" ca="1" si="1"/>
        <v>273.54782608695655</v>
      </c>
      <c r="D89" s="90"/>
      <c r="E89" s="91">
        <f t="shared" ca="1" si="2"/>
        <v>46.721976171168365</v>
      </c>
      <c r="F89" s="91">
        <f t="shared" ca="1" si="3"/>
        <v>55.599151643690355</v>
      </c>
      <c r="G89" s="92">
        <f t="shared" ca="1" si="4"/>
        <v>273.54782608695655</v>
      </c>
    </row>
    <row r="90" spans="1:7" ht="14.25" customHeight="1" x14ac:dyDescent="0.3">
      <c r="A90" s="90" t="s">
        <v>243</v>
      </c>
      <c r="B90" s="87" t="str">
        <f t="shared" ca="1" si="0"/>
        <v>382.00</v>
      </c>
      <c r="C90" s="89">
        <f t="shared" ca="1" si="1"/>
        <v>355.42608695652171</v>
      </c>
      <c r="D90" s="90"/>
      <c r="E90" s="91">
        <f t="shared" ca="1" si="2"/>
        <v>60.70678536525957</v>
      </c>
      <c r="F90" s="91">
        <f t="shared" ca="1" si="3"/>
        <v>72.24107458465889</v>
      </c>
      <c r="G90" s="92">
        <f t="shared" ca="1" si="4"/>
        <v>355.42608695652171</v>
      </c>
    </row>
    <row r="91" spans="1:7" ht="14.25" customHeight="1" x14ac:dyDescent="0.3">
      <c r="A91" s="90" t="s">
        <v>244</v>
      </c>
      <c r="B91" s="87" t="str">
        <f t="shared" ca="1" si="0"/>
        <v>390.00</v>
      </c>
      <c r="C91" s="89">
        <f t="shared" ca="1" si="1"/>
        <v>362.86956521739131</v>
      </c>
      <c r="D91" s="90"/>
      <c r="E91" s="91">
        <f t="shared" ca="1" si="2"/>
        <v>61.978131655631501</v>
      </c>
      <c r="F91" s="91">
        <f t="shared" ca="1" si="3"/>
        <v>73.753976670201482</v>
      </c>
      <c r="G91" s="92">
        <f t="shared" ca="1" si="4"/>
        <v>362.86956521739131</v>
      </c>
    </row>
    <row r="92" spans="1:7" ht="14.25" customHeight="1" x14ac:dyDescent="0.3">
      <c r="A92" s="90" t="s">
        <v>245</v>
      </c>
      <c r="B92" s="87" t="str">
        <f t="shared" ca="1" si="0"/>
        <v>357.00</v>
      </c>
      <c r="C92" s="89">
        <f t="shared" ca="1" si="1"/>
        <v>332.16521739130434</v>
      </c>
      <c r="D92" s="90"/>
      <c r="E92" s="91">
        <f t="shared" ca="1" si="2"/>
        <v>56.733828207847296</v>
      </c>
      <c r="F92" s="91">
        <f t="shared" ca="1" si="3"/>
        <v>67.513255567338277</v>
      </c>
      <c r="G92" s="92">
        <f t="shared" ca="1" si="4"/>
        <v>332.16521739130434</v>
      </c>
    </row>
    <row r="93" spans="1:7" ht="14.25" customHeight="1" x14ac:dyDescent="0.3">
      <c r="A93" s="90" t="s">
        <v>246</v>
      </c>
      <c r="B93" s="87" t="str">
        <f t="shared" ca="1" si="0"/>
        <v>276.00</v>
      </c>
      <c r="C93" s="89">
        <f t="shared" ca="1" si="1"/>
        <v>256.8</v>
      </c>
      <c r="D93" s="90"/>
      <c r="E93" s="91">
        <f t="shared" ca="1" si="2"/>
        <v>43.861447017831523</v>
      </c>
      <c r="F93" s="91">
        <f t="shared" ca="1" si="3"/>
        <v>52.195121951219512</v>
      </c>
      <c r="G93" s="92">
        <f t="shared" ca="1" si="4"/>
        <v>256.8</v>
      </c>
    </row>
    <row r="94" spans="1:7" ht="14.25" customHeight="1" x14ac:dyDescent="0.3">
      <c r="A94" s="90" t="s">
        <v>247</v>
      </c>
      <c r="B94" s="87" t="str">
        <f t="shared" ca="1" si="0"/>
        <v>381.00</v>
      </c>
      <c r="C94" s="89">
        <f t="shared" ca="1" si="1"/>
        <v>354.49565217391307</v>
      </c>
      <c r="D94" s="90"/>
      <c r="E94" s="91">
        <f t="shared" ca="1" si="2"/>
        <v>60.54786707896308</v>
      </c>
      <c r="F94" s="91">
        <f t="shared" ca="1" si="3"/>
        <v>72.051961823966067</v>
      </c>
      <c r="G94" s="92">
        <f t="shared" ca="1" si="4"/>
        <v>354.49565217391307</v>
      </c>
    </row>
    <row r="95" spans="1:7" ht="14.25" customHeight="1" x14ac:dyDescent="0.3">
      <c r="A95" s="90" t="s">
        <v>248</v>
      </c>
      <c r="B95" s="87" t="str">
        <f t="shared" ca="1" si="0"/>
        <v>391.00</v>
      </c>
      <c r="C95" s="89">
        <f t="shared" ca="1" si="1"/>
        <v>363.8</v>
      </c>
      <c r="D95" s="90"/>
      <c r="E95" s="91">
        <f t="shared" ca="1" si="2"/>
        <v>62.137049941927998</v>
      </c>
      <c r="F95" s="91">
        <f t="shared" ca="1" si="3"/>
        <v>73.943089430894318</v>
      </c>
      <c r="G95" s="92">
        <f t="shared" ca="1" si="4"/>
        <v>363.8</v>
      </c>
    </row>
    <row r="96" spans="1:7" ht="14.25" customHeight="1" x14ac:dyDescent="0.3">
      <c r="A96" s="90" t="s">
        <v>249</v>
      </c>
      <c r="B96" s="87" t="str">
        <f t="shared" ca="1" si="0"/>
        <v>357.00</v>
      </c>
      <c r="C96" s="89">
        <f t="shared" ca="1" si="1"/>
        <v>332.16521739130434</v>
      </c>
      <c r="D96" s="90"/>
      <c r="E96" s="91">
        <f t="shared" ca="1" si="2"/>
        <v>56.733828207847296</v>
      </c>
      <c r="F96" s="91">
        <f t="shared" ca="1" si="3"/>
        <v>67.513255567338277</v>
      </c>
      <c r="G96" s="92">
        <f t="shared" ca="1" si="4"/>
        <v>332.16521739130434</v>
      </c>
    </row>
    <row r="97" spans="1:7" ht="14.25" customHeight="1" x14ac:dyDescent="0.3">
      <c r="A97" s="90" t="s">
        <v>250</v>
      </c>
      <c r="B97" s="87" t="str">
        <f t="shared" ca="1" si="0"/>
        <v>238.00</v>
      </c>
      <c r="C97" s="89">
        <f t="shared" ca="1" si="1"/>
        <v>221.44347826086957</v>
      </c>
      <c r="D97" s="90"/>
      <c r="E97" s="91">
        <f t="shared" ca="1" si="2"/>
        <v>37.822552138564866</v>
      </c>
      <c r="F97" s="91">
        <f t="shared" ca="1" si="3"/>
        <v>45.008837044892189</v>
      </c>
      <c r="G97" s="92">
        <f t="shared" ca="1" si="4"/>
        <v>221.44347826086957</v>
      </c>
    </row>
    <row r="98" spans="1:7" ht="14.25" customHeight="1" x14ac:dyDescent="0.3">
      <c r="A98" s="90" t="s">
        <v>251</v>
      </c>
      <c r="B98" s="87" t="str">
        <f t="shared" ca="1" si="0"/>
        <v>230.00</v>
      </c>
      <c r="C98" s="89">
        <f t="shared" ca="1" si="1"/>
        <v>214</v>
      </c>
      <c r="D98" s="90"/>
      <c r="E98" s="91">
        <f t="shared" ca="1" si="2"/>
        <v>36.551205848192936</v>
      </c>
      <c r="F98" s="91">
        <f t="shared" ca="1" si="3"/>
        <v>43.495934959349597</v>
      </c>
      <c r="G98" s="92">
        <f t="shared" ca="1" si="4"/>
        <v>214</v>
      </c>
    </row>
    <row r="99" spans="1:7" ht="14.25" customHeight="1" x14ac:dyDescent="0.3">
      <c r="A99" s="90" t="s">
        <v>252</v>
      </c>
      <c r="B99" s="87" t="str">
        <f t="shared" ca="1" si="0"/>
        <v>271.00</v>
      </c>
      <c r="C99" s="89">
        <f t="shared" ca="1" si="1"/>
        <v>252.14782608695651</v>
      </c>
      <c r="D99" s="90"/>
      <c r="E99" s="91">
        <f t="shared" ca="1" si="2"/>
        <v>43.066855586349064</v>
      </c>
      <c r="F99" s="91">
        <f t="shared" ca="1" si="3"/>
        <v>51.249558147755387</v>
      </c>
      <c r="G99" s="92">
        <f t="shared" ca="1" si="4"/>
        <v>252.14782608695651</v>
      </c>
    </row>
    <row r="100" spans="1:7" ht="14.25" customHeight="1" x14ac:dyDescent="0.3">
      <c r="A100" s="90" t="s">
        <v>253</v>
      </c>
      <c r="B100" s="87" t="str">
        <f t="shared" ca="1" si="0"/>
        <v>287.00</v>
      </c>
      <c r="C100" s="89">
        <f t="shared" ca="1" si="1"/>
        <v>267.03478260869565</v>
      </c>
      <c r="D100" s="90"/>
      <c r="E100" s="91">
        <f t="shared" ca="1" si="2"/>
        <v>45.609548167092925</v>
      </c>
      <c r="F100" s="91">
        <f t="shared" ca="1" si="3"/>
        <v>54.275362318840578</v>
      </c>
      <c r="G100" s="92">
        <f t="shared" ca="1" si="4"/>
        <v>267.03478260869565</v>
      </c>
    </row>
    <row r="101" spans="1:7" ht="14.25" customHeight="1" x14ac:dyDescent="0.3">
      <c r="A101" s="90" t="s">
        <v>254</v>
      </c>
      <c r="B101" s="87" t="str">
        <f t="shared" ca="1" si="0"/>
        <v>362.00</v>
      </c>
      <c r="C101" s="89">
        <f t="shared" ca="1" si="1"/>
        <v>336.81739130434784</v>
      </c>
      <c r="D101" s="90"/>
      <c r="E101" s="91">
        <f t="shared" ca="1" si="2"/>
        <v>57.528419639329748</v>
      </c>
      <c r="F101" s="91">
        <f t="shared" ca="1" si="3"/>
        <v>68.458819370802402</v>
      </c>
      <c r="G101" s="92">
        <f t="shared" ca="1" si="4"/>
        <v>336.81739130434784</v>
      </c>
    </row>
    <row r="102" spans="1:7" ht="14.25" customHeight="1" x14ac:dyDescent="0.3">
      <c r="A102" s="90" t="s">
        <v>255</v>
      </c>
      <c r="B102" s="87" t="str">
        <f t="shared" ca="1" si="0"/>
        <v>251.00</v>
      </c>
      <c r="C102" s="89">
        <f t="shared" ca="1" si="1"/>
        <v>233.53913043478261</v>
      </c>
      <c r="D102" s="90"/>
      <c r="E102" s="91">
        <f t="shared" ca="1" si="2"/>
        <v>39.888489860419249</v>
      </c>
      <c r="F102" s="91">
        <f t="shared" ca="1" si="3"/>
        <v>47.467302933898907</v>
      </c>
      <c r="G102" s="92">
        <f t="shared" ca="1" si="4"/>
        <v>233.53913043478261</v>
      </c>
    </row>
    <row r="103" spans="1:7" ht="14.25" customHeight="1" x14ac:dyDescent="0.3">
      <c r="A103" s="90" t="s">
        <v>256</v>
      </c>
      <c r="B103" s="87" t="str">
        <f t="shared" ca="1" si="0"/>
        <v>188.00</v>
      </c>
      <c r="C103" s="89">
        <f t="shared" ca="1" si="1"/>
        <v>174.92173913043479</v>
      </c>
      <c r="D103" s="90"/>
      <c r="E103" s="91">
        <f t="shared" ca="1" si="2"/>
        <v>29.87663782374031</v>
      </c>
      <c r="F103" s="91">
        <f t="shared" ca="1" si="3"/>
        <v>35.553199010250971</v>
      </c>
      <c r="G103" s="92">
        <f t="shared" ca="1" si="4"/>
        <v>174.92173913043479</v>
      </c>
    </row>
    <row r="104" spans="1:7" ht="14.25" customHeight="1" x14ac:dyDescent="0.3">
      <c r="A104" s="90" t="s">
        <v>257</v>
      </c>
      <c r="B104" s="87" t="str">
        <f t="shared" ca="1" si="0"/>
        <v>373.00</v>
      </c>
      <c r="C104" s="89">
        <f t="shared" ca="1" si="1"/>
        <v>347.05217391304348</v>
      </c>
      <c r="D104" s="90"/>
      <c r="E104" s="91">
        <f t="shared" ca="1" si="2"/>
        <v>59.276520788591156</v>
      </c>
      <c r="F104" s="91">
        <f t="shared" ca="1" si="3"/>
        <v>70.539059738423475</v>
      </c>
      <c r="G104" s="92">
        <f t="shared" ca="1" si="4"/>
        <v>347.05217391304348</v>
      </c>
    </row>
    <row r="105" spans="1:7" ht="14.25" customHeight="1" x14ac:dyDescent="0.3">
      <c r="A105" s="90" t="s">
        <v>258</v>
      </c>
      <c r="B105" s="87" t="str">
        <f t="shared" ca="1" si="0"/>
        <v>194.00</v>
      </c>
      <c r="C105" s="89">
        <f t="shared" ca="1" si="1"/>
        <v>180.50434782608696</v>
      </c>
      <c r="D105" s="90"/>
      <c r="E105" s="91">
        <f t="shared" ca="1" si="2"/>
        <v>30.83014754151926</v>
      </c>
      <c r="F105" s="91">
        <f t="shared" ca="1" si="3"/>
        <v>36.687875574407919</v>
      </c>
      <c r="G105" s="92">
        <f t="shared" ca="1" si="4"/>
        <v>180.50434782608696</v>
      </c>
    </row>
    <row r="106" spans="1:7" ht="14.25" customHeight="1" x14ac:dyDescent="0.3">
      <c r="A106" s="90" t="s">
        <v>259</v>
      </c>
      <c r="B106" s="87" t="str">
        <f t="shared" ca="1" si="0"/>
        <v>286.00</v>
      </c>
      <c r="C106" s="89">
        <f t="shared" ca="1" si="1"/>
        <v>266.10434782608695</v>
      </c>
      <c r="D106" s="90"/>
      <c r="E106" s="91">
        <f t="shared" ca="1" si="2"/>
        <v>45.450629880796434</v>
      </c>
      <c r="F106" s="91">
        <f t="shared" ca="1" si="3"/>
        <v>54.086249558147756</v>
      </c>
      <c r="G106" s="92">
        <f t="shared" ca="1" si="4"/>
        <v>266.10434782608695</v>
      </c>
    </row>
    <row r="107" spans="1:7" ht="14.25" customHeight="1" x14ac:dyDescent="0.3">
      <c r="A107" s="90" t="s">
        <v>260</v>
      </c>
      <c r="B107" s="87" t="str">
        <f t="shared" ca="1" si="0"/>
        <v>373.00</v>
      </c>
      <c r="C107" s="89">
        <f t="shared" ca="1" si="1"/>
        <v>347.05217391304348</v>
      </c>
      <c r="D107" s="90"/>
      <c r="E107" s="91">
        <f t="shared" ca="1" si="2"/>
        <v>59.276520788591156</v>
      </c>
      <c r="F107" s="91">
        <f t="shared" ca="1" si="3"/>
        <v>70.539059738423475</v>
      </c>
      <c r="G107" s="92">
        <f t="shared" ca="1" si="4"/>
        <v>347.05217391304348</v>
      </c>
    </row>
    <row r="108" spans="1:7" ht="14.25" customHeight="1" x14ac:dyDescent="0.3">
      <c r="A108" s="90" t="s">
        <v>261</v>
      </c>
      <c r="B108" s="87" t="str">
        <f t="shared" ca="1" si="0"/>
        <v>148.00</v>
      </c>
      <c r="C108" s="89">
        <f t="shared" ca="1" si="1"/>
        <v>137.70434782608694</v>
      </c>
      <c r="D108" s="90"/>
      <c r="E108" s="91">
        <f t="shared" ca="1" si="2"/>
        <v>23.519906371880669</v>
      </c>
      <c r="F108" s="91">
        <f t="shared" ca="1" si="3"/>
        <v>27.988688582537996</v>
      </c>
      <c r="G108" s="92">
        <f t="shared" ca="1" si="4"/>
        <v>137.70434782608694</v>
      </c>
    </row>
    <row r="109" spans="1:7" ht="14.25" customHeight="1" x14ac:dyDescent="0.3">
      <c r="A109" s="90" t="s">
        <v>262</v>
      </c>
      <c r="B109" s="87" t="str">
        <f t="shared" ca="1" si="0"/>
        <v>422.00</v>
      </c>
      <c r="C109" s="89">
        <f t="shared" ca="1" si="1"/>
        <v>392.64347826086959</v>
      </c>
      <c r="D109" s="90"/>
      <c r="E109" s="91">
        <f t="shared" ca="1" si="2"/>
        <v>67.063516817119222</v>
      </c>
      <c r="F109" s="91">
        <f t="shared" ca="1" si="3"/>
        <v>79.805585012371864</v>
      </c>
      <c r="G109" s="92">
        <f t="shared" ca="1" si="4"/>
        <v>392.64347826086959</v>
      </c>
    </row>
    <row r="110" spans="1:7" ht="14.25" customHeight="1" x14ac:dyDescent="0.3">
      <c r="A110" s="90" t="s">
        <v>263</v>
      </c>
      <c r="B110" s="87" t="str">
        <f t="shared" ca="1" si="0"/>
        <v>335.00</v>
      </c>
      <c r="C110" s="89">
        <f t="shared" ca="1" si="1"/>
        <v>311.69565217391306</v>
      </c>
      <c r="D110" s="90"/>
      <c r="E110" s="91">
        <f t="shared" ca="1" si="2"/>
        <v>53.2376259093245</v>
      </c>
      <c r="F110" s="91">
        <f t="shared" ca="1" si="3"/>
        <v>63.352774832096152</v>
      </c>
      <c r="G110" s="92">
        <f t="shared" ca="1" si="4"/>
        <v>311.69565217391306</v>
      </c>
    </row>
    <row r="111" spans="1:7" ht="14.25" customHeight="1" x14ac:dyDescent="0.3">
      <c r="A111" s="90" t="s">
        <v>264</v>
      </c>
      <c r="B111" s="87" t="str">
        <f t="shared" ca="1" si="0"/>
        <v>401.00</v>
      </c>
      <c r="C111" s="89">
        <f t="shared" ca="1" si="1"/>
        <v>373.10434782608695</v>
      </c>
      <c r="D111" s="90"/>
      <c r="E111" s="91">
        <f t="shared" ca="1" si="2"/>
        <v>63.726232804892902</v>
      </c>
      <c r="F111" s="91">
        <f t="shared" ca="1" si="3"/>
        <v>75.834217037822555</v>
      </c>
      <c r="G111" s="92">
        <f t="shared" ca="1" si="4"/>
        <v>373.10434782608695</v>
      </c>
    </row>
    <row r="112" spans="1:7" ht="14.25" customHeight="1" x14ac:dyDescent="0.3">
      <c r="A112" s="90" t="s">
        <v>265</v>
      </c>
      <c r="B112" s="87" t="str">
        <f t="shared" ca="1" si="0"/>
        <v>354.00</v>
      </c>
      <c r="C112" s="89">
        <f t="shared" ca="1" si="1"/>
        <v>329.37391304347824</v>
      </c>
      <c r="D112" s="90"/>
      <c r="E112" s="91">
        <f t="shared" ca="1" si="2"/>
        <v>56.257073348957825</v>
      </c>
      <c r="F112" s="91">
        <f t="shared" ca="1" si="3"/>
        <v>66.94591728525981</v>
      </c>
      <c r="G112" s="92">
        <f t="shared" ca="1" si="4"/>
        <v>329.37391304347824</v>
      </c>
    </row>
    <row r="113" spans="1:7" ht="14.25" customHeight="1" x14ac:dyDescent="0.3">
      <c r="A113" s="90" t="s">
        <v>266</v>
      </c>
      <c r="B113" s="87" t="str">
        <f t="shared" ca="1" si="0"/>
        <v>356.00</v>
      </c>
      <c r="C113" s="89">
        <f t="shared" ca="1" si="1"/>
        <v>331.23478260869564</v>
      </c>
      <c r="D113" s="90"/>
      <c r="E113" s="91">
        <f t="shared" ca="1" si="2"/>
        <v>56.574909921550798</v>
      </c>
      <c r="F113" s="91">
        <f t="shared" ca="1" si="3"/>
        <v>67.324142806645455</v>
      </c>
      <c r="G113" s="92">
        <f t="shared" ca="1" si="4"/>
        <v>331.23478260869564</v>
      </c>
    </row>
    <row r="114" spans="1:7" ht="14.25" customHeight="1" x14ac:dyDescent="0.3">
      <c r="A114" s="90" t="s">
        <v>267</v>
      </c>
      <c r="B114" s="87" t="str">
        <f t="shared" ca="1" si="0"/>
        <v>278.00</v>
      </c>
      <c r="C114" s="89">
        <f t="shared" ca="1" si="1"/>
        <v>258.66086956521741</v>
      </c>
      <c r="D114" s="90"/>
      <c r="E114" s="91">
        <f t="shared" ca="1" si="2"/>
        <v>44.179283590424504</v>
      </c>
      <c r="F114" s="91">
        <f t="shared" ca="1" si="3"/>
        <v>52.573347472605164</v>
      </c>
      <c r="G114" s="92">
        <f t="shared" ca="1" si="4"/>
        <v>258.66086956521741</v>
      </c>
    </row>
    <row r="115" spans="1:7" ht="14.25" customHeight="1" x14ac:dyDescent="0.3">
      <c r="A115" s="90" t="s">
        <v>268</v>
      </c>
      <c r="B115" s="87" t="str">
        <f t="shared" ca="1" si="0"/>
        <v>323.00</v>
      </c>
      <c r="C115" s="89">
        <f t="shared" ca="1" si="1"/>
        <v>300.53043478260872</v>
      </c>
      <c r="D115" s="90"/>
      <c r="E115" s="91">
        <f t="shared" ca="1" si="2"/>
        <v>51.330606473766608</v>
      </c>
      <c r="F115" s="91">
        <f t="shared" ca="1" si="3"/>
        <v>61.083421703782264</v>
      </c>
      <c r="G115" s="92">
        <f t="shared" ca="1" si="4"/>
        <v>300.53043478260872</v>
      </c>
    </row>
    <row r="116" spans="1:7" ht="14.25" customHeight="1" x14ac:dyDescent="0.3">
      <c r="A116" s="90" t="s">
        <v>269</v>
      </c>
      <c r="B116" s="87" t="str">
        <f t="shared" ca="1" si="0"/>
        <v>343.00</v>
      </c>
      <c r="C116" s="89">
        <f t="shared" ca="1" si="1"/>
        <v>319.1391304347826</v>
      </c>
      <c r="D116" s="90"/>
      <c r="E116" s="91">
        <f t="shared" ca="1" si="2"/>
        <v>54.508972199696416</v>
      </c>
      <c r="F116" s="91">
        <f t="shared" ca="1" si="3"/>
        <v>64.865676917638737</v>
      </c>
      <c r="G116" s="92">
        <f t="shared" ca="1" si="4"/>
        <v>319.1391304347826</v>
      </c>
    </row>
    <row r="117" spans="1:7" ht="14.25" customHeight="1" x14ac:dyDescent="0.3">
      <c r="A117" s="90" t="s">
        <v>271</v>
      </c>
      <c r="B117" s="90">
        <v>255</v>
      </c>
      <c r="C117" s="89">
        <f t="shared" si="1"/>
        <v>237.26086956521738</v>
      </c>
      <c r="D117" s="90"/>
      <c r="E117" s="91">
        <f t="shared" si="2"/>
        <v>40.524163005605203</v>
      </c>
      <c r="F117" s="91">
        <f t="shared" si="3"/>
        <v>48.223753976670196</v>
      </c>
      <c r="G117" s="92">
        <f t="shared" si="4"/>
        <v>237.26086956521738</v>
      </c>
    </row>
    <row r="118" spans="1:7" ht="14.25" customHeight="1" x14ac:dyDescent="0.3">
      <c r="A118" s="90" t="s">
        <v>272</v>
      </c>
      <c r="B118" s="90">
        <v>346</v>
      </c>
      <c r="C118" s="89">
        <f t="shared" si="1"/>
        <v>321.9304347826087</v>
      </c>
      <c r="D118" s="90"/>
      <c r="E118" s="91">
        <f t="shared" si="2"/>
        <v>54.985727058585894</v>
      </c>
      <c r="F118" s="91">
        <f t="shared" si="3"/>
        <v>65.433015199717218</v>
      </c>
      <c r="G118" s="92">
        <f t="shared" si="4"/>
        <v>321.9304347826087</v>
      </c>
    </row>
    <row r="119" spans="1:7" ht="14.25" customHeight="1" x14ac:dyDescent="0.3">
      <c r="A119" s="90" t="s">
        <v>274</v>
      </c>
      <c r="B119" s="90">
        <v>417</v>
      </c>
      <c r="C119" s="89">
        <f t="shared" si="1"/>
        <v>387.99130434782609</v>
      </c>
      <c r="D119" s="90"/>
      <c r="E119" s="91">
        <f t="shared" si="2"/>
        <v>66.268925385636749</v>
      </c>
      <c r="F119" s="91">
        <f t="shared" si="3"/>
        <v>78.860021208907739</v>
      </c>
      <c r="G119" s="92">
        <f t="shared" si="4"/>
        <v>387.99130434782609</v>
      </c>
    </row>
    <row r="120" spans="1:7" ht="14.25" customHeight="1" x14ac:dyDescent="0.3">
      <c r="A120" s="90" t="s">
        <v>276</v>
      </c>
      <c r="B120" s="90">
        <v>238</v>
      </c>
      <c r="C120" s="89">
        <f t="shared" si="1"/>
        <v>221.44347826086957</v>
      </c>
      <c r="D120" s="90"/>
      <c r="E120" s="91">
        <f t="shared" si="2"/>
        <v>37.822552138564866</v>
      </c>
      <c r="F120" s="91">
        <f t="shared" si="3"/>
        <v>45.008837044892189</v>
      </c>
      <c r="G120" s="92">
        <f t="shared" si="4"/>
        <v>221.44347826086957</v>
      </c>
    </row>
    <row r="121" spans="1:7" ht="14.25" customHeight="1" x14ac:dyDescent="0.3">
      <c r="A121" s="90" t="s">
        <v>277</v>
      </c>
      <c r="B121" s="90">
        <v>378</v>
      </c>
      <c r="C121" s="89">
        <f t="shared" si="1"/>
        <v>351.70434782608697</v>
      </c>
      <c r="D121" s="90"/>
      <c r="E121" s="91">
        <f t="shared" si="2"/>
        <v>60.071112220073616</v>
      </c>
      <c r="F121" s="91">
        <f t="shared" si="3"/>
        <v>71.484623541887601</v>
      </c>
      <c r="G121" s="92">
        <f t="shared" si="4"/>
        <v>351.70434782608697</v>
      </c>
    </row>
    <row r="122" spans="1:7" ht="14.25" customHeight="1" x14ac:dyDescent="0.3">
      <c r="A122" s="90" t="s">
        <v>279</v>
      </c>
      <c r="B122" s="90">
        <v>463</v>
      </c>
      <c r="C122" s="89">
        <f t="shared" si="1"/>
        <v>430.7913043478261</v>
      </c>
      <c r="D122" s="90"/>
      <c r="E122" s="91">
        <f t="shared" si="2"/>
        <v>73.57916655527535</v>
      </c>
      <c r="F122" s="91">
        <f t="shared" si="3"/>
        <v>87.559208200777661</v>
      </c>
      <c r="G122" s="92">
        <f t="shared" si="4"/>
        <v>430.7913043478261</v>
      </c>
    </row>
    <row r="123" spans="1:7" ht="14.25" customHeight="1" x14ac:dyDescent="0.3">
      <c r="A123" s="90" t="s">
        <v>281</v>
      </c>
      <c r="B123" s="90">
        <v>314</v>
      </c>
      <c r="C123" s="89">
        <f t="shared" si="1"/>
        <v>292.15652173913043</v>
      </c>
      <c r="D123" s="90"/>
      <c r="E123" s="91">
        <f t="shared" si="2"/>
        <v>49.90034189709818</v>
      </c>
      <c r="F123" s="91">
        <f t="shared" si="3"/>
        <v>59.381406857546835</v>
      </c>
      <c r="G123" s="92">
        <f t="shared" si="4"/>
        <v>292.15652173913043</v>
      </c>
    </row>
    <row r="124" spans="1:7" ht="14.25" customHeight="1" x14ac:dyDescent="0.3">
      <c r="A124" s="105" t="str">
        <f t="shared" ref="A124:A125" si="5">D124&amp;"-"&amp;E124&amp;IF(F124="","","-"&amp;F124)</f>
        <v>-61.9781316556315-73.7539766702015</v>
      </c>
      <c r="B124" s="90">
        <v>390</v>
      </c>
      <c r="C124" s="89">
        <f t="shared" si="1"/>
        <v>362.86956521739131</v>
      </c>
      <c r="D124" s="90"/>
      <c r="E124" s="91">
        <f t="shared" si="2"/>
        <v>61.978131655631501</v>
      </c>
      <c r="F124" s="91">
        <f t="shared" si="3"/>
        <v>73.753976670201482</v>
      </c>
      <c r="G124" s="92">
        <f t="shared" si="4"/>
        <v>362.86956521739131</v>
      </c>
    </row>
    <row r="125" spans="1:7" ht="14.25" customHeight="1" x14ac:dyDescent="0.3">
      <c r="A125" s="105" t="str">
        <f t="shared" si="5"/>
        <v>-38.4582252837508-45.7652880876635</v>
      </c>
      <c r="B125" s="90">
        <v>242</v>
      </c>
      <c r="C125" s="89">
        <f t="shared" si="1"/>
        <v>225.16521739130434</v>
      </c>
      <c r="D125" s="90"/>
      <c r="E125" s="91">
        <f t="shared" si="2"/>
        <v>38.458225283750828</v>
      </c>
      <c r="F125" s="91">
        <f t="shared" si="3"/>
        <v>45.765288087663485</v>
      </c>
      <c r="G125" s="92">
        <f t="shared" si="4"/>
        <v>225.16521739130434</v>
      </c>
    </row>
    <row r="126" spans="1:7" ht="14.25" customHeight="1" x14ac:dyDescent="0.3">
      <c r="A126" s="90"/>
      <c r="B126" s="90"/>
      <c r="C126" s="89">
        <f t="shared" si="1"/>
        <v>0</v>
      </c>
      <c r="D126" s="90"/>
      <c r="E126" s="91">
        <f t="shared" si="2"/>
        <v>0</v>
      </c>
      <c r="F126" s="91">
        <f t="shared" si="3"/>
        <v>0</v>
      </c>
      <c r="G126" s="92">
        <f t="shared" si="4"/>
        <v>0</v>
      </c>
    </row>
    <row r="127" spans="1:7" ht="14.25" customHeight="1" x14ac:dyDescent="0.3"/>
    <row r="128" spans="1:7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23 A126" xr:uid="{00000000-0002-0000-09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unka7"/>
  <dimension ref="A1:G1000"/>
  <sheetViews>
    <sheetView workbookViewId="0"/>
  </sheetViews>
  <sheetFormatPr defaultColWidth="14.44140625" defaultRowHeight="15" customHeight="1" x14ac:dyDescent="0.3"/>
  <cols>
    <col min="1" max="1" width="36.6640625" customWidth="1"/>
    <col min="2" max="3" width="9.109375" customWidth="1"/>
    <col min="4" max="5" width="8.6640625" customWidth="1"/>
    <col min="6" max="6" width="8.6640625" hidden="1" customWidth="1"/>
    <col min="7" max="7" width="23.44140625" hidden="1" customWidth="1"/>
    <col min="8" max="26" width="8.6640625" customWidth="1"/>
  </cols>
  <sheetData>
    <row r="1" spans="1:7" ht="14.25" customHeight="1" x14ac:dyDescent="0.3">
      <c r="A1" s="5" t="s">
        <v>139</v>
      </c>
      <c r="B1" s="1" t="s">
        <v>91</v>
      </c>
      <c r="C1" s="5" t="s">
        <v>145</v>
      </c>
      <c r="D1" s="5" t="s">
        <v>79</v>
      </c>
    </row>
    <row r="2" spans="1:7" ht="14.25" customHeight="1" x14ac:dyDescent="0.35">
      <c r="A2" s="84" t="s">
        <v>151</v>
      </c>
      <c r="B2" s="90" t="e">
        <f t="shared" ref="B2:B7" ca="1" si="0">VLOOKUP($A2,TermekKod_data,9,0)</f>
        <v>#N/A</v>
      </c>
      <c r="C2" s="86" t="s">
        <v>150</v>
      </c>
      <c r="D2" s="1" t="e">
        <f t="shared" ref="D2:D143" ca="1" si="1">VLOOKUP(A2,TermekKod_data,3,FALSE)</f>
        <v>#N/A</v>
      </c>
    </row>
    <row r="3" spans="1:7" ht="14.25" customHeight="1" x14ac:dyDescent="0.3">
      <c r="A3" s="90" t="s">
        <v>154</v>
      </c>
      <c r="B3" s="90" t="e">
        <f t="shared" ca="1" si="0"/>
        <v>#N/A</v>
      </c>
      <c r="C3" s="90" t="s">
        <v>153</v>
      </c>
      <c r="D3" s="47" t="e">
        <f t="shared" ca="1" si="1"/>
        <v>#N/A</v>
      </c>
    </row>
    <row r="4" spans="1:7" ht="14.25" customHeight="1" x14ac:dyDescent="0.35">
      <c r="A4" s="84" t="s">
        <v>155</v>
      </c>
      <c r="B4" s="87" t="str">
        <f t="shared" ca="1" si="0"/>
        <v>202.00</v>
      </c>
      <c r="C4" s="86" t="s">
        <v>150</v>
      </c>
      <c r="D4" s="1" t="str">
        <f t="shared" ca="1" si="1"/>
        <v>Duplex</v>
      </c>
    </row>
    <row r="5" spans="1:7" ht="14.25" customHeight="1" x14ac:dyDescent="0.35">
      <c r="A5" s="84" t="s">
        <v>156</v>
      </c>
      <c r="B5" s="87" t="str">
        <f t="shared" ca="1" si="0"/>
        <v>250.00</v>
      </c>
      <c r="C5" s="86" t="s">
        <v>150</v>
      </c>
      <c r="D5" s="1" t="str">
        <f t="shared" ca="1" si="1"/>
        <v>Duplex</v>
      </c>
    </row>
    <row r="6" spans="1:7" ht="14.25" customHeight="1" x14ac:dyDescent="0.35">
      <c r="A6" s="84" t="s">
        <v>157</v>
      </c>
      <c r="B6" s="87" t="str">
        <f t="shared" ca="1" si="0"/>
        <v>244.00</v>
      </c>
      <c r="C6" s="86" t="s">
        <v>150</v>
      </c>
      <c r="D6" s="1" t="str">
        <f t="shared" ca="1" si="1"/>
        <v>Duplex</v>
      </c>
    </row>
    <row r="7" spans="1:7" ht="14.25" customHeight="1" x14ac:dyDescent="0.35">
      <c r="A7" s="84" t="s">
        <v>158</v>
      </c>
      <c r="B7" s="87" t="str">
        <f t="shared" ca="1" si="0"/>
        <v>289.00</v>
      </c>
      <c r="C7" s="86" t="s">
        <v>150</v>
      </c>
      <c r="D7" s="1" t="str">
        <f t="shared" ca="1" si="1"/>
        <v>Triplex</v>
      </c>
    </row>
    <row r="8" spans="1:7" ht="14.25" customHeight="1" x14ac:dyDescent="0.35">
      <c r="A8" s="84" t="s">
        <v>160</v>
      </c>
      <c r="B8" s="106" t="e">
        <f ca="1">F8-F8*5/100</f>
        <v>#N/A</v>
      </c>
      <c r="C8" s="86" t="s">
        <v>150</v>
      </c>
      <c r="D8" s="1" t="e">
        <f t="shared" ca="1" si="1"/>
        <v>#N/A</v>
      </c>
      <c r="F8" s="90" t="e">
        <f ca="1">VLOOKUP($A8,TermekKod_data,9,0)</f>
        <v>#N/A</v>
      </c>
      <c r="G8" s="1" t="s">
        <v>336</v>
      </c>
    </row>
    <row r="9" spans="1:7" ht="14.25" customHeight="1" x14ac:dyDescent="0.35">
      <c r="A9" s="84" t="s">
        <v>161</v>
      </c>
      <c r="B9" s="87" t="str">
        <f t="shared" ref="B9:B13" ca="1" si="2">VLOOKUP($A9,TermekKod_data,9,0)</f>
        <v>210.00</v>
      </c>
      <c r="C9" s="86" t="s">
        <v>150</v>
      </c>
      <c r="D9" s="1" t="str">
        <f t="shared" ca="1" si="1"/>
        <v>Duplex</v>
      </c>
    </row>
    <row r="10" spans="1:7" ht="14.25" customHeight="1" x14ac:dyDescent="0.3">
      <c r="A10" s="95" t="s">
        <v>162</v>
      </c>
      <c r="B10" s="87" t="str">
        <f t="shared" ca="1" si="2"/>
        <v>232.00</v>
      </c>
      <c r="C10" s="86" t="s">
        <v>150</v>
      </c>
      <c r="D10" s="1" t="str">
        <f t="shared" ca="1" si="1"/>
        <v>Duplex</v>
      </c>
    </row>
    <row r="11" spans="1:7" ht="14.25" customHeight="1" x14ac:dyDescent="0.3">
      <c r="A11" s="95" t="s">
        <v>163</v>
      </c>
      <c r="B11" s="87" t="str">
        <f t="shared" ca="1" si="2"/>
        <v>224.00</v>
      </c>
      <c r="C11" s="86" t="s">
        <v>150</v>
      </c>
      <c r="D11" s="1" t="str">
        <f t="shared" ca="1" si="1"/>
        <v>Duplex</v>
      </c>
    </row>
    <row r="12" spans="1:7" ht="14.25" customHeight="1" x14ac:dyDescent="0.3">
      <c r="A12" s="95" t="s">
        <v>164</v>
      </c>
      <c r="B12" s="87" t="str">
        <f t="shared" ca="1" si="2"/>
        <v>243.00</v>
      </c>
      <c r="C12" s="86" t="s">
        <v>150</v>
      </c>
      <c r="D12" s="1" t="str">
        <f t="shared" ca="1" si="1"/>
        <v>Duplex</v>
      </c>
    </row>
    <row r="13" spans="1:7" ht="14.25" customHeight="1" x14ac:dyDescent="0.35">
      <c r="A13" s="84" t="s">
        <v>165</v>
      </c>
      <c r="B13" s="87" t="str">
        <f t="shared" ca="1" si="2"/>
        <v>301.00</v>
      </c>
      <c r="C13" s="86" t="s">
        <v>150</v>
      </c>
      <c r="D13" s="1" t="str">
        <f t="shared" ca="1" si="1"/>
        <v>Duplex</v>
      </c>
    </row>
    <row r="14" spans="1:7" ht="14.25" customHeight="1" x14ac:dyDescent="0.35">
      <c r="A14" s="84" t="s">
        <v>166</v>
      </c>
      <c r="B14" s="106">
        <f ca="1">F14-F14*5/100-1</f>
        <v>237.45</v>
      </c>
      <c r="C14" s="86" t="s">
        <v>150</v>
      </c>
      <c r="D14" s="1" t="str">
        <f t="shared" ca="1" si="1"/>
        <v>Triplex</v>
      </c>
      <c r="F14" s="87" t="str">
        <f ca="1">VLOOKUP($A14,TermekKod_data,9,0)</f>
        <v>251.00</v>
      </c>
    </row>
    <row r="15" spans="1:7" ht="14.25" customHeight="1" x14ac:dyDescent="0.35">
      <c r="A15" s="84" t="s">
        <v>160</v>
      </c>
      <c r="B15" s="90" t="e">
        <f t="shared" ref="B15:B143" ca="1" si="3">VLOOKUP($A15,TermekKod_data,9,0)</f>
        <v>#N/A</v>
      </c>
      <c r="C15" s="86" t="s">
        <v>150</v>
      </c>
      <c r="D15" s="1" t="e">
        <f t="shared" ca="1" si="1"/>
        <v>#N/A</v>
      </c>
    </row>
    <row r="16" spans="1:7" ht="14.25" customHeight="1" x14ac:dyDescent="0.35">
      <c r="A16" s="84" t="s">
        <v>167</v>
      </c>
      <c r="B16" s="87" t="str">
        <f t="shared" ca="1" si="3"/>
        <v>374.00</v>
      </c>
      <c r="C16" s="86" t="s">
        <v>150</v>
      </c>
      <c r="D16" s="1" t="str">
        <f t="shared" ca="1" si="1"/>
        <v>Triplex</v>
      </c>
    </row>
    <row r="17" spans="1:4" ht="14.25" customHeight="1" x14ac:dyDescent="0.35">
      <c r="A17" s="84" t="s">
        <v>168</v>
      </c>
      <c r="B17" s="87" t="str">
        <f t="shared" ca="1" si="3"/>
        <v>369.00</v>
      </c>
      <c r="C17" s="86" t="s">
        <v>150</v>
      </c>
      <c r="D17" s="1" t="str">
        <f t="shared" ca="1" si="1"/>
        <v>Triplex</v>
      </c>
    </row>
    <row r="18" spans="1:4" ht="14.25" customHeight="1" x14ac:dyDescent="0.35">
      <c r="A18" s="84" t="s">
        <v>169</v>
      </c>
      <c r="B18" s="87" t="str">
        <f t="shared" ca="1" si="3"/>
        <v>175.00</v>
      </c>
      <c r="C18" s="86" t="s">
        <v>150</v>
      </c>
      <c r="D18" s="1" t="str">
        <f t="shared" ca="1" si="1"/>
        <v>Duplex</v>
      </c>
    </row>
    <row r="19" spans="1:4" ht="14.25" customHeight="1" x14ac:dyDescent="0.35">
      <c r="A19" s="84" t="s">
        <v>170</v>
      </c>
      <c r="B19" s="87" t="str">
        <f t="shared" ca="1" si="3"/>
        <v>255.00</v>
      </c>
      <c r="C19" s="86" t="s">
        <v>150</v>
      </c>
      <c r="D19" s="1" t="str">
        <f t="shared" ca="1" si="1"/>
        <v>Triplex</v>
      </c>
    </row>
    <row r="20" spans="1:4" ht="14.25" customHeight="1" x14ac:dyDescent="0.35">
      <c r="A20" s="84" t="s">
        <v>171</v>
      </c>
      <c r="B20" s="87" t="str">
        <f t="shared" ca="1" si="3"/>
        <v>166.00</v>
      </c>
      <c r="C20" s="86" t="s">
        <v>150</v>
      </c>
      <c r="D20" s="1" t="str">
        <f t="shared" ca="1" si="1"/>
        <v>Duplex</v>
      </c>
    </row>
    <row r="21" spans="1:4" ht="14.25" customHeight="1" x14ac:dyDescent="0.35">
      <c r="A21" s="84" t="s">
        <v>172</v>
      </c>
      <c r="B21" s="87" t="str">
        <f t="shared" ca="1" si="3"/>
        <v>237.00</v>
      </c>
      <c r="C21" s="86" t="s">
        <v>150</v>
      </c>
      <c r="D21" s="1" t="str">
        <f t="shared" ca="1" si="1"/>
        <v>Triplex</v>
      </c>
    </row>
    <row r="22" spans="1:4" ht="14.25" customHeight="1" x14ac:dyDescent="0.35">
      <c r="A22" s="88" t="s">
        <v>173</v>
      </c>
      <c r="B22" s="87" t="str">
        <f t="shared" ca="1" si="3"/>
        <v>323.00</v>
      </c>
      <c r="C22" s="90" t="s">
        <v>153</v>
      </c>
      <c r="D22" s="47" t="str">
        <f t="shared" ca="1" si="1"/>
        <v>Triplex</v>
      </c>
    </row>
    <row r="23" spans="1:4" ht="14.25" customHeight="1" x14ac:dyDescent="0.3">
      <c r="A23" s="90" t="s">
        <v>174</v>
      </c>
      <c r="B23" s="87" t="str">
        <f t="shared" ca="1" si="3"/>
        <v>213.00</v>
      </c>
      <c r="C23" s="90" t="s">
        <v>153</v>
      </c>
      <c r="D23" s="47" t="str">
        <f t="shared" ca="1" si="1"/>
        <v>Duplex</v>
      </c>
    </row>
    <row r="24" spans="1:4" ht="14.25" customHeight="1" x14ac:dyDescent="0.3">
      <c r="A24" s="90" t="s">
        <v>175</v>
      </c>
      <c r="B24" s="87" t="str">
        <f t="shared" ca="1" si="3"/>
        <v>336.00</v>
      </c>
      <c r="C24" s="90" t="s">
        <v>153</v>
      </c>
      <c r="D24" s="47" t="str">
        <f t="shared" ca="1" si="1"/>
        <v>Duplex</v>
      </c>
    </row>
    <row r="25" spans="1:4" ht="14.25" customHeight="1" x14ac:dyDescent="0.3">
      <c r="A25" s="90" t="s">
        <v>176</v>
      </c>
      <c r="B25" s="87" t="str">
        <f t="shared" ca="1" si="3"/>
        <v>388.00</v>
      </c>
      <c r="C25" s="90" t="s">
        <v>153</v>
      </c>
      <c r="D25" s="47" t="str">
        <f t="shared" ca="1" si="1"/>
        <v>Triplex</v>
      </c>
    </row>
    <row r="26" spans="1:4" ht="14.25" customHeight="1" x14ac:dyDescent="0.3">
      <c r="A26" s="90" t="s">
        <v>177</v>
      </c>
      <c r="B26" s="87" t="str">
        <f t="shared" ca="1" si="3"/>
        <v>355.00</v>
      </c>
      <c r="C26" s="90" t="s">
        <v>153</v>
      </c>
      <c r="D26" s="47" t="str">
        <f t="shared" ca="1" si="1"/>
        <v>Triplex</v>
      </c>
    </row>
    <row r="27" spans="1:4" ht="14.25" customHeight="1" x14ac:dyDescent="0.3">
      <c r="A27" s="90" t="s">
        <v>178</v>
      </c>
      <c r="B27" s="87" t="str">
        <f t="shared" ca="1" si="3"/>
        <v>232.00</v>
      </c>
      <c r="C27" s="90" t="s">
        <v>153</v>
      </c>
      <c r="D27" s="47" t="str">
        <f t="shared" ca="1" si="1"/>
        <v>Duplex</v>
      </c>
    </row>
    <row r="28" spans="1:4" ht="14.25" customHeight="1" x14ac:dyDescent="0.3">
      <c r="A28" s="90" t="s">
        <v>179</v>
      </c>
      <c r="B28" s="87" t="str">
        <f t="shared" ca="1" si="3"/>
        <v>391.00</v>
      </c>
      <c r="C28" s="90" t="s">
        <v>153</v>
      </c>
      <c r="D28" s="47" t="str">
        <f t="shared" ca="1" si="1"/>
        <v>Triplex</v>
      </c>
    </row>
    <row r="29" spans="1:4" ht="14.25" customHeight="1" x14ac:dyDescent="0.3">
      <c r="A29" s="90" t="s">
        <v>180</v>
      </c>
      <c r="B29" s="87" t="str">
        <f t="shared" ca="1" si="3"/>
        <v>261.00</v>
      </c>
      <c r="C29" s="90" t="s">
        <v>153</v>
      </c>
      <c r="D29" s="47" t="str">
        <f t="shared" ca="1" si="1"/>
        <v>Duplex</v>
      </c>
    </row>
    <row r="30" spans="1:4" ht="14.25" customHeight="1" x14ac:dyDescent="0.3">
      <c r="A30" s="90" t="s">
        <v>181</v>
      </c>
      <c r="B30" s="87" t="str">
        <f t="shared" ca="1" si="3"/>
        <v>261.00</v>
      </c>
      <c r="C30" s="90" t="s">
        <v>153</v>
      </c>
      <c r="D30" s="47" t="str">
        <f t="shared" ca="1" si="1"/>
        <v>Duplex</v>
      </c>
    </row>
    <row r="31" spans="1:4" ht="14.25" customHeight="1" x14ac:dyDescent="0.3">
      <c r="A31" s="90" t="s">
        <v>182</v>
      </c>
      <c r="B31" s="87" t="str">
        <f t="shared" ca="1" si="3"/>
        <v>251.00</v>
      </c>
      <c r="C31" s="90" t="s">
        <v>153</v>
      </c>
      <c r="D31" s="47" t="str">
        <f t="shared" ca="1" si="1"/>
        <v>Duplex</v>
      </c>
    </row>
    <row r="32" spans="1:4" ht="14.25" customHeight="1" x14ac:dyDescent="0.3">
      <c r="A32" s="90" t="s">
        <v>183</v>
      </c>
      <c r="B32" s="87" t="str">
        <f t="shared" ca="1" si="3"/>
        <v>304.00</v>
      </c>
      <c r="C32" s="90" t="s">
        <v>153</v>
      </c>
      <c r="D32" s="47" t="str">
        <f t="shared" ca="1" si="1"/>
        <v>Duplex</v>
      </c>
    </row>
    <row r="33" spans="1:4" ht="14.25" customHeight="1" x14ac:dyDescent="0.3">
      <c r="A33" s="90" t="s">
        <v>184</v>
      </c>
      <c r="B33" s="87" t="str">
        <f t="shared" ca="1" si="3"/>
        <v>276.00</v>
      </c>
      <c r="C33" s="90" t="s">
        <v>153</v>
      </c>
      <c r="D33" s="47" t="str">
        <f t="shared" ca="1" si="1"/>
        <v>Duplex</v>
      </c>
    </row>
    <row r="34" spans="1:4" ht="14.25" customHeight="1" x14ac:dyDescent="0.3">
      <c r="A34" s="90" t="s">
        <v>185</v>
      </c>
      <c r="B34" s="87" t="str">
        <f t="shared" ca="1" si="3"/>
        <v>234.00</v>
      </c>
      <c r="C34" s="90" t="s">
        <v>153</v>
      </c>
      <c r="D34" s="47" t="str">
        <f t="shared" ca="1" si="1"/>
        <v>Duplex</v>
      </c>
    </row>
    <row r="35" spans="1:4" ht="14.25" customHeight="1" x14ac:dyDescent="0.3">
      <c r="A35" s="90" t="s">
        <v>186</v>
      </c>
      <c r="B35" s="87" t="str">
        <f t="shared" ca="1" si="3"/>
        <v>213.00</v>
      </c>
      <c r="C35" s="90" t="s">
        <v>153</v>
      </c>
      <c r="D35" s="47" t="str">
        <f t="shared" ca="1" si="1"/>
        <v>Duplex</v>
      </c>
    </row>
    <row r="36" spans="1:4" ht="14.25" customHeight="1" x14ac:dyDescent="0.3">
      <c r="A36" s="90" t="s">
        <v>187</v>
      </c>
      <c r="B36" s="87" t="str">
        <f t="shared" ca="1" si="3"/>
        <v>213.00</v>
      </c>
      <c r="C36" s="90" t="s">
        <v>153</v>
      </c>
      <c r="D36" s="47" t="str">
        <f t="shared" ca="1" si="1"/>
        <v>Duplex</v>
      </c>
    </row>
    <row r="37" spans="1:4" ht="14.25" customHeight="1" x14ac:dyDescent="0.3">
      <c r="A37" s="90" t="s">
        <v>188</v>
      </c>
      <c r="B37" s="87" t="str">
        <f t="shared" ca="1" si="3"/>
        <v>332.00</v>
      </c>
      <c r="C37" s="90" t="s">
        <v>153</v>
      </c>
      <c r="D37" s="47" t="str">
        <f t="shared" ca="1" si="1"/>
        <v>Triplex</v>
      </c>
    </row>
    <row r="38" spans="1:4" ht="14.25" customHeight="1" x14ac:dyDescent="0.3">
      <c r="A38" s="90" t="s">
        <v>189</v>
      </c>
      <c r="B38" s="87" t="str">
        <f t="shared" ca="1" si="3"/>
        <v>337.00</v>
      </c>
      <c r="C38" s="90" t="s">
        <v>153</v>
      </c>
      <c r="D38" s="47" t="str">
        <f t="shared" ca="1" si="1"/>
        <v>Triplex</v>
      </c>
    </row>
    <row r="39" spans="1:4" ht="14.25" customHeight="1" x14ac:dyDescent="0.3">
      <c r="A39" s="90" t="s">
        <v>190</v>
      </c>
      <c r="B39" s="87" t="str">
        <f t="shared" ca="1" si="3"/>
        <v>233.00</v>
      </c>
      <c r="C39" s="90" t="s">
        <v>153</v>
      </c>
      <c r="D39" s="47" t="str">
        <f t="shared" ca="1" si="1"/>
        <v>Duplex</v>
      </c>
    </row>
    <row r="40" spans="1:4" ht="14.25" customHeight="1" x14ac:dyDescent="0.3">
      <c r="A40" s="90" t="s">
        <v>191</v>
      </c>
      <c r="B40" s="87" t="str">
        <f t="shared" ca="1" si="3"/>
        <v>192.00</v>
      </c>
      <c r="C40" s="90" t="s">
        <v>153</v>
      </c>
      <c r="D40" s="47" t="str">
        <f t="shared" ca="1" si="1"/>
        <v>Duplex</v>
      </c>
    </row>
    <row r="41" spans="1:4" ht="14.25" customHeight="1" x14ac:dyDescent="0.3">
      <c r="A41" s="90" t="s">
        <v>192</v>
      </c>
      <c r="B41" s="87" t="str">
        <f t="shared" ca="1" si="3"/>
        <v>232.00</v>
      </c>
      <c r="C41" s="90" t="s">
        <v>153</v>
      </c>
      <c r="D41" s="47" t="str">
        <f t="shared" ca="1" si="1"/>
        <v>Duplex</v>
      </c>
    </row>
    <row r="42" spans="1:4" ht="14.25" customHeight="1" x14ac:dyDescent="0.3">
      <c r="A42" s="90" t="s">
        <v>193</v>
      </c>
      <c r="B42" s="87" t="str">
        <f t="shared" ca="1" si="3"/>
        <v>380.00</v>
      </c>
      <c r="C42" s="90" t="s">
        <v>153</v>
      </c>
      <c r="D42" s="47" t="str">
        <f t="shared" ca="1" si="1"/>
        <v>Triplex</v>
      </c>
    </row>
    <row r="43" spans="1:4" ht="14.25" customHeight="1" x14ac:dyDescent="0.3">
      <c r="A43" s="90" t="s">
        <v>194</v>
      </c>
      <c r="B43" s="87" t="str">
        <f t="shared" ca="1" si="3"/>
        <v>251.00</v>
      </c>
      <c r="C43" s="90" t="s">
        <v>153</v>
      </c>
      <c r="D43" s="47" t="str">
        <f t="shared" ca="1" si="1"/>
        <v>Duplex</v>
      </c>
    </row>
    <row r="44" spans="1:4" ht="14.25" customHeight="1" x14ac:dyDescent="0.3">
      <c r="A44" s="90" t="s">
        <v>195</v>
      </c>
      <c r="B44" s="87" t="str">
        <f t="shared" ca="1" si="3"/>
        <v>261.00</v>
      </c>
      <c r="C44" s="90" t="s">
        <v>153</v>
      </c>
      <c r="D44" s="47" t="str">
        <f t="shared" ca="1" si="1"/>
        <v>Duplex</v>
      </c>
    </row>
    <row r="45" spans="1:4" ht="14.25" customHeight="1" x14ac:dyDescent="0.3">
      <c r="A45" s="90" t="s">
        <v>196</v>
      </c>
      <c r="B45" s="87" t="str">
        <f t="shared" ca="1" si="3"/>
        <v>343.00</v>
      </c>
      <c r="C45" s="90" t="s">
        <v>153</v>
      </c>
      <c r="D45" s="47" t="str">
        <f t="shared" ca="1" si="1"/>
        <v>Triplex</v>
      </c>
    </row>
    <row r="46" spans="1:4" ht="14.25" customHeight="1" x14ac:dyDescent="0.3">
      <c r="A46" s="90" t="s">
        <v>197</v>
      </c>
      <c r="B46" s="87" t="str">
        <f t="shared" ca="1" si="3"/>
        <v>305.00</v>
      </c>
      <c r="C46" s="90" t="s">
        <v>153</v>
      </c>
      <c r="D46" s="47" t="str">
        <f t="shared" ca="1" si="1"/>
        <v>Triplex</v>
      </c>
    </row>
    <row r="47" spans="1:4" ht="14.25" customHeight="1" x14ac:dyDescent="0.3">
      <c r="A47" s="90" t="s">
        <v>198</v>
      </c>
      <c r="B47" s="87" t="str">
        <f t="shared" ca="1" si="3"/>
        <v>276.00</v>
      </c>
      <c r="C47" s="90" t="s">
        <v>153</v>
      </c>
      <c r="D47" s="47" t="str">
        <f t="shared" ca="1" si="1"/>
        <v>Duplex</v>
      </c>
    </row>
    <row r="48" spans="1:4" ht="14.25" customHeight="1" x14ac:dyDescent="0.3">
      <c r="A48" s="90" t="s">
        <v>199</v>
      </c>
      <c r="B48" s="87" t="str">
        <f t="shared" ca="1" si="3"/>
        <v>251.00</v>
      </c>
      <c r="C48" s="90" t="s">
        <v>153</v>
      </c>
      <c r="D48" s="47" t="str">
        <f t="shared" ca="1" si="1"/>
        <v>Duplex</v>
      </c>
    </row>
    <row r="49" spans="1:4" ht="14.25" customHeight="1" x14ac:dyDescent="0.3">
      <c r="A49" s="90" t="s">
        <v>200</v>
      </c>
      <c r="B49" s="87" t="str">
        <f t="shared" ca="1" si="3"/>
        <v>272.00</v>
      </c>
      <c r="C49" s="90" t="s">
        <v>153</v>
      </c>
      <c r="D49" s="47" t="str">
        <f t="shared" ca="1" si="1"/>
        <v>Duplex</v>
      </c>
    </row>
    <row r="50" spans="1:4" ht="14.25" customHeight="1" x14ac:dyDescent="0.3">
      <c r="A50" s="90" t="s">
        <v>202</v>
      </c>
      <c r="B50" s="87" t="str">
        <f t="shared" ca="1" si="3"/>
        <v>304.00</v>
      </c>
      <c r="C50" s="90" t="s">
        <v>153</v>
      </c>
      <c r="D50" s="47" t="str">
        <f t="shared" ca="1" si="1"/>
        <v>Duplex</v>
      </c>
    </row>
    <row r="51" spans="1:4" ht="14.25" customHeight="1" x14ac:dyDescent="0.3">
      <c r="A51" s="90" t="s">
        <v>203</v>
      </c>
      <c r="B51" s="87" t="str">
        <f t="shared" ca="1" si="3"/>
        <v>329.00</v>
      </c>
      <c r="C51" s="90" t="s">
        <v>153</v>
      </c>
      <c r="D51" s="47" t="str">
        <f t="shared" ca="1" si="1"/>
        <v>Duplex</v>
      </c>
    </row>
    <row r="52" spans="1:4" ht="14.25" customHeight="1" x14ac:dyDescent="0.3">
      <c r="A52" s="90" t="s">
        <v>204</v>
      </c>
      <c r="B52" s="87" t="str">
        <f t="shared" ca="1" si="3"/>
        <v>258.00</v>
      </c>
      <c r="C52" s="90" t="s">
        <v>153</v>
      </c>
      <c r="D52" s="47" t="str">
        <f t="shared" ca="1" si="1"/>
        <v>Duplex</v>
      </c>
    </row>
    <row r="53" spans="1:4" ht="14.25" customHeight="1" x14ac:dyDescent="0.3">
      <c r="A53" s="90" t="s">
        <v>205</v>
      </c>
      <c r="B53" s="87" t="str">
        <f t="shared" ca="1" si="3"/>
        <v>361.00</v>
      </c>
      <c r="C53" s="90" t="s">
        <v>153</v>
      </c>
      <c r="D53" s="47" t="str">
        <f t="shared" ca="1" si="1"/>
        <v>Triplex</v>
      </c>
    </row>
    <row r="54" spans="1:4" ht="14.25" customHeight="1" x14ac:dyDescent="0.3">
      <c r="A54" s="90" t="s">
        <v>206</v>
      </c>
      <c r="B54" s="87" t="str">
        <f t="shared" ca="1" si="3"/>
        <v>183.00</v>
      </c>
      <c r="C54" s="90" t="s">
        <v>153</v>
      </c>
      <c r="D54" s="47" t="str">
        <f t="shared" ca="1" si="1"/>
        <v>Duplex</v>
      </c>
    </row>
    <row r="55" spans="1:4" ht="14.25" customHeight="1" x14ac:dyDescent="0.3">
      <c r="A55" s="90" t="s">
        <v>207</v>
      </c>
      <c r="B55" s="87" t="str">
        <f t="shared" ca="1" si="3"/>
        <v>232.00</v>
      </c>
      <c r="C55" s="90" t="s">
        <v>153</v>
      </c>
      <c r="D55" s="47" t="str">
        <f t="shared" ca="1" si="1"/>
        <v>Duplex</v>
      </c>
    </row>
    <row r="56" spans="1:4" ht="14.25" customHeight="1" x14ac:dyDescent="0.3">
      <c r="A56" s="90" t="s">
        <v>208</v>
      </c>
      <c r="B56" s="87" t="str">
        <f t="shared" ca="1" si="3"/>
        <v>232.00</v>
      </c>
      <c r="C56" s="90" t="s">
        <v>153</v>
      </c>
      <c r="D56" s="47" t="str">
        <f t="shared" ca="1" si="1"/>
        <v>Duplex</v>
      </c>
    </row>
    <row r="57" spans="1:4" ht="14.25" customHeight="1" x14ac:dyDescent="0.3">
      <c r="A57" s="90" t="s">
        <v>209</v>
      </c>
      <c r="B57" s="87" t="str">
        <f t="shared" ca="1" si="3"/>
        <v>233.00</v>
      </c>
      <c r="C57" s="90" t="s">
        <v>153</v>
      </c>
      <c r="D57" s="47" t="str">
        <f t="shared" ca="1" si="1"/>
        <v>Duplex</v>
      </c>
    </row>
    <row r="58" spans="1:4" ht="14.25" customHeight="1" x14ac:dyDescent="0.3">
      <c r="A58" s="90" t="s">
        <v>210</v>
      </c>
      <c r="B58" s="87" t="str">
        <f t="shared" ca="1" si="3"/>
        <v>257.00</v>
      </c>
      <c r="C58" s="90" t="s">
        <v>153</v>
      </c>
      <c r="D58" s="47" t="str">
        <f t="shared" ca="1" si="1"/>
        <v>Duplex</v>
      </c>
    </row>
    <row r="59" spans="1:4" ht="14.25" customHeight="1" x14ac:dyDescent="0.3">
      <c r="A59" s="90" t="s">
        <v>211</v>
      </c>
      <c r="B59" s="87" t="str">
        <f t="shared" ca="1" si="3"/>
        <v>276.00</v>
      </c>
      <c r="C59" s="90" t="s">
        <v>153</v>
      </c>
      <c r="D59" s="47" t="str">
        <f t="shared" ca="1" si="1"/>
        <v>Duplex</v>
      </c>
    </row>
    <row r="60" spans="1:4" ht="14.25" customHeight="1" x14ac:dyDescent="0.3">
      <c r="A60" s="90" t="s">
        <v>212</v>
      </c>
      <c r="B60" s="87" t="str">
        <f t="shared" ca="1" si="3"/>
        <v>394.00</v>
      </c>
      <c r="C60" s="90" t="s">
        <v>153</v>
      </c>
      <c r="D60" s="47" t="str">
        <f t="shared" ca="1" si="1"/>
        <v>Triplex</v>
      </c>
    </row>
    <row r="61" spans="1:4" ht="14.25" customHeight="1" x14ac:dyDescent="0.3">
      <c r="A61" s="90" t="s">
        <v>213</v>
      </c>
      <c r="B61" s="87" t="str">
        <f t="shared" ca="1" si="3"/>
        <v>343.00</v>
      </c>
      <c r="C61" s="90" t="s">
        <v>153</v>
      </c>
      <c r="D61" s="47" t="str">
        <f t="shared" ca="1" si="1"/>
        <v>Triplex</v>
      </c>
    </row>
    <row r="62" spans="1:4" ht="14.25" customHeight="1" x14ac:dyDescent="0.3">
      <c r="A62" s="90" t="s">
        <v>214</v>
      </c>
      <c r="B62" s="87" t="str">
        <f t="shared" ca="1" si="3"/>
        <v>278.00</v>
      </c>
      <c r="C62" s="90" t="s">
        <v>153</v>
      </c>
      <c r="D62" s="47" t="str">
        <f t="shared" ca="1" si="1"/>
        <v>Duplex</v>
      </c>
    </row>
    <row r="63" spans="1:4" ht="14.25" customHeight="1" x14ac:dyDescent="0.3">
      <c r="A63" s="90" t="s">
        <v>215</v>
      </c>
      <c r="B63" s="87" t="str">
        <f t="shared" ca="1" si="3"/>
        <v>376.00</v>
      </c>
      <c r="C63" s="90" t="s">
        <v>153</v>
      </c>
      <c r="D63" s="47" t="str">
        <f t="shared" ca="1" si="1"/>
        <v>Triplex</v>
      </c>
    </row>
    <row r="64" spans="1:4" ht="14.25" customHeight="1" x14ac:dyDescent="0.3">
      <c r="A64" s="90" t="s">
        <v>216</v>
      </c>
      <c r="B64" s="87" t="str">
        <f t="shared" ca="1" si="3"/>
        <v>295.00</v>
      </c>
      <c r="C64" s="90" t="s">
        <v>153</v>
      </c>
      <c r="D64" s="47" t="str">
        <f t="shared" ca="1" si="1"/>
        <v>Triplex</v>
      </c>
    </row>
    <row r="65" spans="1:4" ht="14.25" customHeight="1" x14ac:dyDescent="0.3">
      <c r="A65" s="90" t="s">
        <v>217</v>
      </c>
      <c r="B65" s="87" t="str">
        <f t="shared" ca="1" si="3"/>
        <v>243.00</v>
      </c>
      <c r="C65" s="90" t="s">
        <v>153</v>
      </c>
      <c r="D65" s="47" t="str">
        <f t="shared" ca="1" si="1"/>
        <v>Duplex</v>
      </c>
    </row>
    <row r="66" spans="1:4" ht="14.25" customHeight="1" x14ac:dyDescent="0.3">
      <c r="A66" s="90" t="s">
        <v>218</v>
      </c>
      <c r="B66" s="87" t="str">
        <f t="shared" ca="1" si="3"/>
        <v>376.00</v>
      </c>
      <c r="C66" s="90" t="s">
        <v>153</v>
      </c>
      <c r="D66" s="47" t="str">
        <f t="shared" ca="1" si="1"/>
        <v>Triplex</v>
      </c>
    </row>
    <row r="67" spans="1:4" ht="14.25" customHeight="1" x14ac:dyDescent="0.3">
      <c r="A67" s="90" t="s">
        <v>219</v>
      </c>
      <c r="B67" s="87" t="str">
        <f t="shared" ca="1" si="3"/>
        <v>362.00</v>
      </c>
      <c r="C67" s="90" t="s">
        <v>153</v>
      </c>
      <c r="D67" s="47" t="str">
        <f t="shared" ca="1" si="1"/>
        <v>Triplex</v>
      </c>
    </row>
    <row r="68" spans="1:4" ht="14.25" customHeight="1" x14ac:dyDescent="0.3">
      <c r="A68" s="90" t="s">
        <v>220</v>
      </c>
      <c r="B68" s="87" t="str">
        <f t="shared" ca="1" si="3"/>
        <v>313.00</v>
      </c>
      <c r="C68" s="90" t="s">
        <v>153</v>
      </c>
      <c r="D68" s="47" t="str">
        <f t="shared" ca="1" si="1"/>
        <v>Triplex</v>
      </c>
    </row>
    <row r="69" spans="1:4" ht="14.25" customHeight="1" x14ac:dyDescent="0.3">
      <c r="A69" s="90" t="s">
        <v>221</v>
      </c>
      <c r="B69" s="87" t="str">
        <f t="shared" ca="1" si="3"/>
        <v>369.00</v>
      </c>
      <c r="C69" s="90" t="s">
        <v>153</v>
      </c>
      <c r="D69" s="47" t="str">
        <f t="shared" ca="1" si="1"/>
        <v>Triplex</v>
      </c>
    </row>
    <row r="70" spans="1:4" ht="14.25" customHeight="1" x14ac:dyDescent="0.3">
      <c r="A70" s="90" t="s">
        <v>222</v>
      </c>
      <c r="B70" s="87" t="str">
        <f t="shared" ca="1" si="3"/>
        <v>363.00</v>
      </c>
      <c r="C70" s="90" t="s">
        <v>153</v>
      </c>
      <c r="D70" s="47" t="str">
        <f t="shared" ca="1" si="1"/>
        <v>Triplex</v>
      </c>
    </row>
    <row r="71" spans="1:4" ht="14.25" customHeight="1" x14ac:dyDescent="0.3">
      <c r="A71" s="90" t="s">
        <v>223</v>
      </c>
      <c r="B71" s="87" t="str">
        <f t="shared" ca="1" si="3"/>
        <v>304.00</v>
      </c>
      <c r="C71" s="90" t="s">
        <v>153</v>
      </c>
      <c r="D71" s="47" t="str">
        <f t="shared" ca="1" si="1"/>
        <v>Duplex</v>
      </c>
    </row>
    <row r="72" spans="1:4" ht="14.25" customHeight="1" x14ac:dyDescent="0.3">
      <c r="A72" s="90" t="s">
        <v>224</v>
      </c>
      <c r="B72" s="87" t="str">
        <f t="shared" ca="1" si="3"/>
        <v>243.00</v>
      </c>
      <c r="C72" s="90" t="s">
        <v>153</v>
      </c>
      <c r="D72" s="47" t="str">
        <f t="shared" ca="1" si="1"/>
        <v>Duplex</v>
      </c>
    </row>
    <row r="73" spans="1:4" ht="14.25" customHeight="1" x14ac:dyDescent="0.3">
      <c r="A73" s="90" t="s">
        <v>225</v>
      </c>
      <c r="B73" s="87" t="str">
        <f t="shared" ca="1" si="3"/>
        <v>381.00</v>
      </c>
      <c r="C73" s="90" t="s">
        <v>153</v>
      </c>
      <c r="D73" s="47" t="str">
        <f t="shared" ca="1" si="1"/>
        <v>Triplex</v>
      </c>
    </row>
    <row r="74" spans="1:4" ht="14.25" customHeight="1" x14ac:dyDescent="0.3">
      <c r="A74" s="90" t="s">
        <v>226</v>
      </c>
      <c r="B74" s="87" t="str">
        <f t="shared" ca="1" si="3"/>
        <v>350.00</v>
      </c>
      <c r="C74" s="90" t="s">
        <v>153</v>
      </c>
      <c r="D74" s="47" t="str">
        <f t="shared" ca="1" si="1"/>
        <v>Triplex</v>
      </c>
    </row>
    <row r="75" spans="1:4" ht="14.25" customHeight="1" x14ac:dyDescent="0.3">
      <c r="A75" s="90" t="s">
        <v>227</v>
      </c>
      <c r="B75" s="87" t="str">
        <f t="shared" ca="1" si="3"/>
        <v>233.00</v>
      </c>
      <c r="C75" s="90" t="s">
        <v>153</v>
      </c>
      <c r="D75" s="47" t="str">
        <f t="shared" ca="1" si="1"/>
        <v>Duplex</v>
      </c>
    </row>
    <row r="76" spans="1:4" ht="14.25" customHeight="1" x14ac:dyDescent="0.3">
      <c r="A76" s="90" t="s">
        <v>228</v>
      </c>
      <c r="B76" s="87" t="str">
        <f t="shared" ca="1" si="3"/>
        <v>405.00</v>
      </c>
      <c r="C76" s="90" t="s">
        <v>153</v>
      </c>
      <c r="D76" s="47" t="str">
        <f t="shared" ca="1" si="1"/>
        <v>Triplex</v>
      </c>
    </row>
    <row r="77" spans="1:4" ht="14.25" customHeight="1" x14ac:dyDescent="0.3">
      <c r="A77" s="90" t="s">
        <v>229</v>
      </c>
      <c r="B77" s="87" t="str">
        <f t="shared" ca="1" si="3"/>
        <v>362.00</v>
      </c>
      <c r="C77" s="90" t="s">
        <v>153</v>
      </c>
      <c r="D77" s="47" t="str">
        <f t="shared" ca="1" si="1"/>
        <v>Triplex</v>
      </c>
    </row>
    <row r="78" spans="1:4" ht="14.25" customHeight="1" x14ac:dyDescent="0.3">
      <c r="A78" s="90" t="s">
        <v>230</v>
      </c>
      <c r="B78" s="87" t="str">
        <f t="shared" ca="1" si="3"/>
        <v>381.00</v>
      </c>
      <c r="C78" s="90" t="s">
        <v>153</v>
      </c>
      <c r="D78" s="47" t="str">
        <f t="shared" ca="1" si="1"/>
        <v>Triplex</v>
      </c>
    </row>
    <row r="79" spans="1:4" ht="14.25" customHeight="1" x14ac:dyDescent="0.3">
      <c r="A79" s="90" t="s">
        <v>231</v>
      </c>
      <c r="B79" s="87" t="str">
        <f t="shared" ca="1" si="3"/>
        <v>362.00</v>
      </c>
      <c r="C79" s="90" t="s">
        <v>153</v>
      </c>
      <c r="D79" s="47" t="str">
        <f t="shared" ca="1" si="1"/>
        <v>Triplex</v>
      </c>
    </row>
    <row r="80" spans="1:4" ht="14.25" customHeight="1" x14ac:dyDescent="0.3">
      <c r="A80" s="90" t="s">
        <v>232</v>
      </c>
      <c r="B80" s="87" t="str">
        <f t="shared" ca="1" si="3"/>
        <v>373.00</v>
      </c>
      <c r="C80" s="90" t="s">
        <v>153</v>
      </c>
      <c r="D80" s="47" t="str">
        <f t="shared" ca="1" si="1"/>
        <v>Triplex</v>
      </c>
    </row>
    <row r="81" spans="1:4" ht="14.25" customHeight="1" x14ac:dyDescent="0.3">
      <c r="A81" s="90" t="s">
        <v>233</v>
      </c>
      <c r="B81" s="87" t="str">
        <f t="shared" ca="1" si="3"/>
        <v>362.00</v>
      </c>
      <c r="C81" s="90" t="s">
        <v>153</v>
      </c>
      <c r="D81" s="47" t="str">
        <f t="shared" ca="1" si="1"/>
        <v>Triplex</v>
      </c>
    </row>
    <row r="82" spans="1:4" ht="14.25" customHeight="1" x14ac:dyDescent="0.3">
      <c r="A82" s="90" t="s">
        <v>234</v>
      </c>
      <c r="B82" s="87" t="str">
        <f t="shared" ca="1" si="3"/>
        <v>268.00</v>
      </c>
      <c r="C82" s="90" t="s">
        <v>153</v>
      </c>
      <c r="D82" s="47" t="str">
        <f t="shared" ca="1" si="1"/>
        <v>Duplex</v>
      </c>
    </row>
    <row r="83" spans="1:4" ht="14.25" customHeight="1" x14ac:dyDescent="0.3">
      <c r="A83" s="90" t="s">
        <v>235</v>
      </c>
      <c r="B83" s="87" t="str">
        <f t="shared" ca="1" si="3"/>
        <v>264.00</v>
      </c>
      <c r="C83" s="90" t="s">
        <v>153</v>
      </c>
      <c r="D83" s="47" t="str">
        <f t="shared" ca="1" si="1"/>
        <v>Duplex</v>
      </c>
    </row>
    <row r="84" spans="1:4" ht="14.25" customHeight="1" x14ac:dyDescent="0.3">
      <c r="A84" s="90" t="s">
        <v>236</v>
      </c>
      <c r="B84" s="87" t="str">
        <f t="shared" ca="1" si="3"/>
        <v>294.00</v>
      </c>
      <c r="C84" s="90" t="s">
        <v>153</v>
      </c>
      <c r="D84" s="47" t="str">
        <f t="shared" ca="1" si="1"/>
        <v>Duplex</v>
      </c>
    </row>
    <row r="85" spans="1:4" ht="14.25" customHeight="1" x14ac:dyDescent="0.3">
      <c r="A85" s="90" t="s">
        <v>237</v>
      </c>
      <c r="B85" s="87" t="str">
        <f t="shared" ca="1" si="3"/>
        <v>279.00</v>
      </c>
      <c r="C85" s="90" t="s">
        <v>153</v>
      </c>
      <c r="D85" s="47" t="str">
        <f t="shared" ca="1" si="1"/>
        <v>Duplex</v>
      </c>
    </row>
    <row r="86" spans="1:4" ht="14.25" customHeight="1" x14ac:dyDescent="0.3">
      <c r="A86" s="90" t="s">
        <v>238</v>
      </c>
      <c r="B86" s="87" t="str">
        <f t="shared" ca="1" si="3"/>
        <v>218.00</v>
      </c>
      <c r="C86" s="90" t="s">
        <v>153</v>
      </c>
      <c r="D86" s="47" t="str">
        <f t="shared" ca="1" si="1"/>
        <v>Duplex</v>
      </c>
    </row>
    <row r="87" spans="1:4" ht="14.25" customHeight="1" x14ac:dyDescent="0.3">
      <c r="A87" s="90" t="s">
        <v>239</v>
      </c>
      <c r="B87" s="87" t="str">
        <f t="shared" ca="1" si="3"/>
        <v>405.00</v>
      </c>
      <c r="C87" s="90" t="s">
        <v>153</v>
      </c>
      <c r="D87" s="47" t="str">
        <f t="shared" ca="1" si="1"/>
        <v>Triplex</v>
      </c>
    </row>
    <row r="88" spans="1:4" ht="14.25" customHeight="1" x14ac:dyDescent="0.3">
      <c r="A88" s="90" t="s">
        <v>240</v>
      </c>
      <c r="B88" s="87" t="str">
        <f t="shared" ca="1" si="3"/>
        <v>296.00</v>
      </c>
      <c r="C88" s="90" t="s">
        <v>153</v>
      </c>
      <c r="D88" s="47" t="str">
        <f t="shared" ca="1" si="1"/>
        <v>Duplex</v>
      </c>
    </row>
    <row r="89" spans="1:4" ht="14.25" customHeight="1" x14ac:dyDescent="0.3">
      <c r="A89" s="90" t="s">
        <v>241</v>
      </c>
      <c r="B89" s="87" t="str">
        <f t="shared" ca="1" si="3"/>
        <v>256.00</v>
      </c>
      <c r="C89" s="90" t="s">
        <v>153</v>
      </c>
      <c r="D89" s="47" t="str">
        <f t="shared" ca="1" si="1"/>
        <v>Duplex</v>
      </c>
    </row>
    <row r="90" spans="1:4" ht="14.25" customHeight="1" x14ac:dyDescent="0.3">
      <c r="A90" s="90" t="s">
        <v>242</v>
      </c>
      <c r="B90" s="87" t="str">
        <f t="shared" ca="1" si="3"/>
        <v>294.00</v>
      </c>
      <c r="C90" s="90" t="s">
        <v>153</v>
      </c>
      <c r="D90" s="47" t="str">
        <f t="shared" ca="1" si="1"/>
        <v>Duplex</v>
      </c>
    </row>
    <row r="91" spans="1:4" ht="14.25" customHeight="1" x14ac:dyDescent="0.3">
      <c r="A91" s="90" t="s">
        <v>243</v>
      </c>
      <c r="B91" s="87" t="str">
        <f t="shared" ca="1" si="3"/>
        <v>382.00</v>
      </c>
      <c r="C91" s="90" t="s">
        <v>153</v>
      </c>
      <c r="D91" s="47" t="str">
        <f t="shared" ca="1" si="1"/>
        <v>Triplex</v>
      </c>
    </row>
    <row r="92" spans="1:4" ht="14.25" customHeight="1" x14ac:dyDescent="0.3">
      <c r="A92" s="90" t="s">
        <v>244</v>
      </c>
      <c r="B92" s="87" t="str">
        <f t="shared" ca="1" si="3"/>
        <v>390.00</v>
      </c>
      <c r="C92" s="90" t="s">
        <v>153</v>
      </c>
      <c r="D92" s="47" t="str">
        <f t="shared" ca="1" si="1"/>
        <v>Triplex</v>
      </c>
    </row>
    <row r="93" spans="1:4" ht="14.25" customHeight="1" x14ac:dyDescent="0.3">
      <c r="A93" s="90" t="s">
        <v>245</v>
      </c>
      <c r="B93" s="87" t="str">
        <f t="shared" ca="1" si="3"/>
        <v>357.00</v>
      </c>
      <c r="C93" s="90" t="s">
        <v>153</v>
      </c>
      <c r="D93" s="47" t="str">
        <f t="shared" ca="1" si="1"/>
        <v>Triplex</v>
      </c>
    </row>
    <row r="94" spans="1:4" ht="14.25" customHeight="1" x14ac:dyDescent="0.3">
      <c r="A94" s="90" t="s">
        <v>246</v>
      </c>
      <c r="B94" s="87" t="str">
        <f t="shared" ca="1" si="3"/>
        <v>276.00</v>
      </c>
      <c r="C94" s="90" t="s">
        <v>153</v>
      </c>
      <c r="D94" s="47" t="str">
        <f t="shared" ca="1" si="1"/>
        <v>Duplex</v>
      </c>
    </row>
    <row r="95" spans="1:4" ht="14.25" customHeight="1" x14ac:dyDescent="0.3">
      <c r="A95" s="90" t="s">
        <v>247</v>
      </c>
      <c r="B95" s="87" t="str">
        <f t="shared" ca="1" si="3"/>
        <v>381.00</v>
      </c>
      <c r="C95" s="90" t="s">
        <v>153</v>
      </c>
      <c r="D95" s="47" t="str">
        <f t="shared" ca="1" si="1"/>
        <v>Triplex</v>
      </c>
    </row>
    <row r="96" spans="1:4" ht="14.25" customHeight="1" x14ac:dyDescent="0.3">
      <c r="A96" s="90" t="s">
        <v>248</v>
      </c>
      <c r="B96" s="87" t="str">
        <f t="shared" ca="1" si="3"/>
        <v>391.00</v>
      </c>
      <c r="C96" s="90" t="s">
        <v>153</v>
      </c>
      <c r="D96" s="47" t="str">
        <f t="shared" ca="1" si="1"/>
        <v>Triplex</v>
      </c>
    </row>
    <row r="97" spans="1:4" ht="14.25" customHeight="1" x14ac:dyDescent="0.3">
      <c r="A97" s="90" t="s">
        <v>249</v>
      </c>
      <c r="B97" s="87" t="str">
        <f t="shared" ca="1" si="3"/>
        <v>357.00</v>
      </c>
      <c r="C97" s="90" t="s">
        <v>153</v>
      </c>
      <c r="D97" s="47" t="str">
        <f t="shared" ca="1" si="1"/>
        <v>Triplex</v>
      </c>
    </row>
    <row r="98" spans="1:4" ht="14.25" customHeight="1" x14ac:dyDescent="0.3">
      <c r="A98" s="90" t="s">
        <v>250</v>
      </c>
      <c r="B98" s="87" t="str">
        <f t="shared" ca="1" si="3"/>
        <v>238.00</v>
      </c>
      <c r="C98" s="90" t="s">
        <v>153</v>
      </c>
      <c r="D98" s="47" t="str">
        <f t="shared" ca="1" si="1"/>
        <v>Duplex</v>
      </c>
    </row>
    <row r="99" spans="1:4" ht="14.25" customHeight="1" x14ac:dyDescent="0.3">
      <c r="A99" s="90" t="s">
        <v>251</v>
      </c>
      <c r="B99" s="87" t="str">
        <f t="shared" ca="1" si="3"/>
        <v>230.00</v>
      </c>
      <c r="C99" s="90" t="s">
        <v>153</v>
      </c>
      <c r="D99" s="47" t="str">
        <f t="shared" ca="1" si="1"/>
        <v>Duplex</v>
      </c>
    </row>
    <row r="100" spans="1:4" ht="14.25" customHeight="1" x14ac:dyDescent="0.3">
      <c r="A100" s="90" t="s">
        <v>252</v>
      </c>
      <c r="B100" s="87" t="str">
        <f t="shared" ca="1" si="3"/>
        <v>271.00</v>
      </c>
      <c r="C100" s="90" t="s">
        <v>153</v>
      </c>
      <c r="D100" s="47" t="str">
        <f t="shared" ca="1" si="1"/>
        <v>Duplex</v>
      </c>
    </row>
    <row r="101" spans="1:4" ht="14.25" customHeight="1" x14ac:dyDescent="0.3">
      <c r="A101" s="90" t="s">
        <v>253</v>
      </c>
      <c r="B101" s="87" t="str">
        <f t="shared" ca="1" si="3"/>
        <v>287.00</v>
      </c>
      <c r="C101" s="90" t="s">
        <v>153</v>
      </c>
      <c r="D101" s="47" t="str">
        <f t="shared" ca="1" si="1"/>
        <v>Triplex</v>
      </c>
    </row>
    <row r="102" spans="1:4" ht="14.25" customHeight="1" x14ac:dyDescent="0.3">
      <c r="A102" s="90" t="s">
        <v>254</v>
      </c>
      <c r="B102" s="87" t="str">
        <f t="shared" ca="1" si="3"/>
        <v>362.00</v>
      </c>
      <c r="C102" s="90" t="s">
        <v>153</v>
      </c>
      <c r="D102" s="47" t="str">
        <f t="shared" ca="1" si="1"/>
        <v>Triplex</v>
      </c>
    </row>
    <row r="103" spans="1:4" ht="14.25" customHeight="1" x14ac:dyDescent="0.3">
      <c r="A103" s="90" t="s">
        <v>255</v>
      </c>
      <c r="B103" s="87" t="str">
        <f t="shared" ca="1" si="3"/>
        <v>251.00</v>
      </c>
      <c r="C103" s="90" t="s">
        <v>153</v>
      </c>
      <c r="D103" s="47" t="str">
        <f t="shared" ca="1" si="1"/>
        <v>Duplex</v>
      </c>
    </row>
    <row r="104" spans="1:4" ht="14.25" customHeight="1" x14ac:dyDescent="0.3">
      <c r="A104" s="90" t="s">
        <v>256</v>
      </c>
      <c r="B104" s="87" t="str">
        <f t="shared" ca="1" si="3"/>
        <v>188.00</v>
      </c>
      <c r="C104" s="90" t="s">
        <v>153</v>
      </c>
      <c r="D104" s="47" t="str">
        <f t="shared" ca="1" si="1"/>
        <v>Duplex</v>
      </c>
    </row>
    <row r="105" spans="1:4" ht="14.25" customHeight="1" x14ac:dyDescent="0.3">
      <c r="A105" s="90" t="s">
        <v>257</v>
      </c>
      <c r="B105" s="87" t="str">
        <f t="shared" ca="1" si="3"/>
        <v>373.00</v>
      </c>
      <c r="C105" s="90" t="s">
        <v>153</v>
      </c>
      <c r="D105" s="47" t="str">
        <f t="shared" ca="1" si="1"/>
        <v>Triplex</v>
      </c>
    </row>
    <row r="106" spans="1:4" ht="14.25" customHeight="1" x14ac:dyDescent="0.3">
      <c r="A106" s="90" t="s">
        <v>258</v>
      </c>
      <c r="B106" s="87" t="str">
        <f t="shared" ca="1" si="3"/>
        <v>194.00</v>
      </c>
      <c r="C106" s="90" t="s">
        <v>153</v>
      </c>
      <c r="D106" s="47" t="str">
        <f t="shared" ca="1" si="1"/>
        <v>Duplex</v>
      </c>
    </row>
    <row r="107" spans="1:4" ht="14.25" customHeight="1" x14ac:dyDescent="0.3">
      <c r="A107" s="90" t="s">
        <v>259</v>
      </c>
      <c r="B107" s="87" t="str">
        <f t="shared" ca="1" si="3"/>
        <v>286.00</v>
      </c>
      <c r="C107" s="90" t="s">
        <v>153</v>
      </c>
      <c r="D107" s="47" t="str">
        <f t="shared" ca="1" si="1"/>
        <v>Duplex</v>
      </c>
    </row>
    <row r="108" spans="1:4" ht="14.25" customHeight="1" x14ac:dyDescent="0.3">
      <c r="A108" s="90" t="s">
        <v>260</v>
      </c>
      <c r="B108" s="87" t="str">
        <f t="shared" ca="1" si="3"/>
        <v>373.00</v>
      </c>
      <c r="C108" s="90" t="s">
        <v>153</v>
      </c>
      <c r="D108" s="47" t="str">
        <f t="shared" ca="1" si="1"/>
        <v>Triplex</v>
      </c>
    </row>
    <row r="109" spans="1:4" ht="14.25" customHeight="1" x14ac:dyDescent="0.3">
      <c r="A109" s="90" t="s">
        <v>261</v>
      </c>
      <c r="B109" s="87" t="str">
        <f t="shared" ca="1" si="3"/>
        <v>148.00</v>
      </c>
      <c r="C109" s="90" t="s">
        <v>153</v>
      </c>
      <c r="D109" s="47" t="str">
        <f t="shared" ca="1" si="1"/>
        <v>Duplex</v>
      </c>
    </row>
    <row r="110" spans="1:4" ht="14.25" customHeight="1" x14ac:dyDescent="0.3">
      <c r="A110" s="90" t="s">
        <v>262</v>
      </c>
      <c r="B110" s="87" t="str">
        <f t="shared" ca="1" si="3"/>
        <v>422.00</v>
      </c>
      <c r="C110" s="90" t="s">
        <v>153</v>
      </c>
      <c r="D110" s="47" t="str">
        <f t="shared" ca="1" si="1"/>
        <v>Triplex</v>
      </c>
    </row>
    <row r="111" spans="1:4" ht="14.25" customHeight="1" x14ac:dyDescent="0.3">
      <c r="A111" s="90" t="s">
        <v>263</v>
      </c>
      <c r="B111" s="87" t="str">
        <f t="shared" ca="1" si="3"/>
        <v>335.00</v>
      </c>
      <c r="C111" s="90" t="s">
        <v>153</v>
      </c>
      <c r="D111" s="47" t="str">
        <f t="shared" ca="1" si="1"/>
        <v>Duplex</v>
      </c>
    </row>
    <row r="112" spans="1:4" ht="14.25" customHeight="1" x14ac:dyDescent="0.3">
      <c r="A112" s="90" t="s">
        <v>264</v>
      </c>
      <c r="B112" s="87" t="str">
        <f t="shared" ca="1" si="3"/>
        <v>401.00</v>
      </c>
      <c r="C112" s="90" t="s">
        <v>153</v>
      </c>
      <c r="D112" s="47" t="str">
        <f t="shared" ca="1" si="1"/>
        <v>Triplex</v>
      </c>
    </row>
    <row r="113" spans="1:4" ht="14.25" customHeight="1" x14ac:dyDescent="0.3">
      <c r="A113" s="90" t="s">
        <v>265</v>
      </c>
      <c r="B113" s="87" t="str">
        <f t="shared" ca="1" si="3"/>
        <v>354.00</v>
      </c>
      <c r="C113" s="90" t="s">
        <v>153</v>
      </c>
      <c r="D113" s="47" t="str">
        <f t="shared" ca="1" si="1"/>
        <v>Triplex</v>
      </c>
    </row>
    <row r="114" spans="1:4" ht="14.25" customHeight="1" x14ac:dyDescent="0.3">
      <c r="A114" s="90" t="s">
        <v>266</v>
      </c>
      <c r="B114" s="87" t="str">
        <f t="shared" ca="1" si="3"/>
        <v>356.00</v>
      </c>
      <c r="C114" s="90" t="s">
        <v>153</v>
      </c>
      <c r="D114" s="47" t="str">
        <f t="shared" ca="1" si="1"/>
        <v>Triplex</v>
      </c>
    </row>
    <row r="115" spans="1:4" ht="14.25" customHeight="1" x14ac:dyDescent="0.3">
      <c r="A115" s="90" t="s">
        <v>267</v>
      </c>
      <c r="B115" s="87" t="str">
        <f t="shared" ca="1" si="3"/>
        <v>278.00</v>
      </c>
      <c r="C115" s="90" t="s">
        <v>153</v>
      </c>
      <c r="D115" s="47" t="str">
        <f t="shared" ca="1" si="1"/>
        <v>Duplex</v>
      </c>
    </row>
    <row r="116" spans="1:4" ht="14.25" customHeight="1" x14ac:dyDescent="0.3">
      <c r="A116" s="90" t="s">
        <v>268</v>
      </c>
      <c r="B116" s="87" t="str">
        <f t="shared" ca="1" si="3"/>
        <v>323.00</v>
      </c>
      <c r="C116" s="90" t="s">
        <v>153</v>
      </c>
      <c r="D116" s="47" t="str">
        <f t="shared" ca="1" si="1"/>
        <v>Triplex</v>
      </c>
    </row>
    <row r="117" spans="1:4" ht="14.25" customHeight="1" x14ac:dyDescent="0.3">
      <c r="A117" s="90" t="s">
        <v>269</v>
      </c>
      <c r="B117" s="87" t="str">
        <f t="shared" ca="1" si="3"/>
        <v>343.00</v>
      </c>
      <c r="C117" s="90" t="s">
        <v>153</v>
      </c>
      <c r="D117" s="47" t="str">
        <f t="shared" ca="1" si="1"/>
        <v>Triplex</v>
      </c>
    </row>
    <row r="118" spans="1:4" ht="14.25" customHeight="1" x14ac:dyDescent="0.3">
      <c r="A118" s="86" t="s">
        <v>270</v>
      </c>
      <c r="B118" s="87" t="str">
        <f t="shared" ca="1" si="3"/>
        <v>327.00</v>
      </c>
      <c r="C118" s="90" t="s">
        <v>153</v>
      </c>
      <c r="D118" s="47" t="str">
        <f t="shared" ca="1" si="1"/>
        <v>Triplex</v>
      </c>
    </row>
    <row r="119" spans="1:4" ht="14.25" customHeight="1" x14ac:dyDescent="0.3">
      <c r="A119" s="86" t="s">
        <v>272</v>
      </c>
      <c r="B119" s="87" t="str">
        <f t="shared" ca="1" si="3"/>
        <v>384.00</v>
      </c>
      <c r="C119" s="90" t="s">
        <v>153</v>
      </c>
      <c r="D119" s="47" t="str">
        <f t="shared" ca="1" si="1"/>
        <v>Triplex</v>
      </c>
    </row>
    <row r="120" spans="1:4" ht="14.25" customHeight="1" x14ac:dyDescent="0.3">
      <c r="A120" s="86" t="s">
        <v>273</v>
      </c>
      <c r="B120" s="90" t="e">
        <f t="shared" ca="1" si="3"/>
        <v>#N/A</v>
      </c>
      <c r="C120" s="90" t="s">
        <v>153</v>
      </c>
      <c r="D120" s="47" t="e">
        <f t="shared" ca="1" si="1"/>
        <v>#N/A</v>
      </c>
    </row>
    <row r="121" spans="1:4" ht="14.25" customHeight="1" x14ac:dyDescent="0.3">
      <c r="A121" s="86" t="s">
        <v>275</v>
      </c>
      <c r="B121" s="87" t="str">
        <f t="shared" ca="1" si="3"/>
        <v>295.00</v>
      </c>
      <c r="C121" s="90" t="s">
        <v>153</v>
      </c>
      <c r="D121" s="47" t="str">
        <f t="shared" ca="1" si="1"/>
        <v>Duplex</v>
      </c>
    </row>
    <row r="122" spans="1:4" ht="14.25" customHeight="1" x14ac:dyDescent="0.3">
      <c r="A122" s="86" t="s">
        <v>259</v>
      </c>
      <c r="B122" s="87" t="str">
        <f t="shared" ca="1" si="3"/>
        <v>286.00</v>
      </c>
      <c r="C122" s="90" t="s">
        <v>153</v>
      </c>
      <c r="D122" s="47" t="str">
        <f t="shared" ca="1" si="1"/>
        <v>Duplex</v>
      </c>
    </row>
    <row r="123" spans="1:4" ht="14.25" customHeight="1" x14ac:dyDescent="0.3">
      <c r="A123" s="86" t="s">
        <v>278</v>
      </c>
      <c r="B123" s="90" t="e">
        <f t="shared" ca="1" si="3"/>
        <v>#N/A</v>
      </c>
      <c r="C123" s="90" t="s">
        <v>153</v>
      </c>
      <c r="D123" s="47" t="e">
        <f t="shared" ca="1" si="1"/>
        <v>#N/A</v>
      </c>
    </row>
    <row r="124" spans="1:4" ht="14.25" customHeight="1" x14ac:dyDescent="0.3">
      <c r="A124" s="86" t="s">
        <v>280</v>
      </c>
      <c r="B124" s="87" t="str">
        <f t="shared" ca="1" si="3"/>
        <v>2,765.00</v>
      </c>
      <c r="C124" s="90" t="s">
        <v>153</v>
      </c>
      <c r="D124" s="47" t="str">
        <f t="shared" ca="1" si="1"/>
        <v>Duplex</v>
      </c>
    </row>
    <row r="125" spans="1:4" ht="14.25" customHeight="1" x14ac:dyDescent="0.3">
      <c r="A125" s="86" t="s">
        <v>282</v>
      </c>
      <c r="B125" s="87" t="str">
        <f t="shared" ca="1" si="3"/>
        <v>328.00</v>
      </c>
      <c r="C125" s="90" t="s">
        <v>153</v>
      </c>
      <c r="D125" s="47" t="str">
        <f t="shared" ca="1" si="1"/>
        <v>Duplex</v>
      </c>
    </row>
    <row r="126" spans="1:4" ht="14.25" customHeight="1" x14ac:dyDescent="0.3">
      <c r="A126" s="86" t="s">
        <v>267</v>
      </c>
      <c r="B126" s="87" t="str">
        <f t="shared" ca="1" si="3"/>
        <v>278.00</v>
      </c>
      <c r="C126" s="90" t="s">
        <v>153</v>
      </c>
      <c r="D126" s="47" t="str">
        <f t="shared" ca="1" si="1"/>
        <v>Duplex</v>
      </c>
    </row>
    <row r="127" spans="1:4" ht="14.25" customHeight="1" x14ac:dyDescent="0.3">
      <c r="A127" s="86" t="s">
        <v>284</v>
      </c>
      <c r="B127" s="87" t="str">
        <f t="shared" ca="1" si="3"/>
        <v>351.00</v>
      </c>
      <c r="C127" s="90" t="s">
        <v>153</v>
      </c>
      <c r="D127" s="47" t="str">
        <f t="shared" ca="1" si="1"/>
        <v>Triplex</v>
      </c>
    </row>
    <row r="128" spans="1:4" ht="14.25" customHeight="1" x14ac:dyDescent="0.3">
      <c r="A128" s="86" t="s">
        <v>285</v>
      </c>
      <c r="B128" s="87" t="str">
        <f t="shared" ca="1" si="3"/>
        <v>390.00</v>
      </c>
      <c r="C128" s="90" t="s">
        <v>153</v>
      </c>
      <c r="D128" s="47" t="str">
        <f t="shared" ca="1" si="1"/>
        <v>Triplex</v>
      </c>
    </row>
    <row r="129" spans="1:4" ht="14.25" customHeight="1" x14ac:dyDescent="0.3">
      <c r="A129" s="86" t="s">
        <v>286</v>
      </c>
      <c r="B129" s="87" t="str">
        <f t="shared" ca="1" si="3"/>
        <v>284.00</v>
      </c>
      <c r="C129" s="90" t="s">
        <v>153</v>
      </c>
      <c r="D129" s="47" t="str">
        <f t="shared" ca="1" si="1"/>
        <v>Duplex</v>
      </c>
    </row>
    <row r="130" spans="1:4" ht="14.25" customHeight="1" x14ac:dyDescent="0.3">
      <c r="A130" s="86" t="s">
        <v>287</v>
      </c>
      <c r="B130" s="87" t="str">
        <f t="shared" ca="1" si="3"/>
        <v>513.00</v>
      </c>
      <c r="C130" s="90" t="s">
        <v>153</v>
      </c>
      <c r="D130" s="47" t="str">
        <f t="shared" ca="1" si="1"/>
        <v>Duplex</v>
      </c>
    </row>
    <row r="131" spans="1:4" ht="14.25" customHeight="1" x14ac:dyDescent="0.3">
      <c r="A131" s="86" t="s">
        <v>288</v>
      </c>
      <c r="B131" s="87" t="str">
        <f t="shared" ca="1" si="3"/>
        <v>532.00</v>
      </c>
      <c r="C131" s="90" t="s">
        <v>153</v>
      </c>
      <c r="D131" s="47" t="str">
        <f t="shared" ca="1" si="1"/>
        <v>Duplex</v>
      </c>
    </row>
    <row r="132" spans="1:4" ht="14.25" customHeight="1" x14ac:dyDescent="0.3">
      <c r="A132" s="86" t="s">
        <v>289</v>
      </c>
      <c r="B132" s="87" t="str">
        <f t="shared" ca="1" si="3"/>
        <v>341.00</v>
      </c>
      <c r="C132" s="90" t="s">
        <v>153</v>
      </c>
      <c r="D132" s="47" t="str">
        <f t="shared" ca="1" si="1"/>
        <v>Triplex</v>
      </c>
    </row>
    <row r="133" spans="1:4" ht="14.25" customHeight="1" x14ac:dyDescent="0.3">
      <c r="A133" s="86" t="s">
        <v>290</v>
      </c>
      <c r="B133" s="87" t="str">
        <f t="shared" ca="1" si="3"/>
        <v>213.00</v>
      </c>
      <c r="C133" s="90" t="s">
        <v>153</v>
      </c>
      <c r="D133" s="47" t="str">
        <f t="shared" ca="1" si="1"/>
        <v>Duplex</v>
      </c>
    </row>
    <row r="134" spans="1:4" ht="14.25" customHeight="1" x14ac:dyDescent="0.3">
      <c r="A134" s="86" t="s">
        <v>291</v>
      </c>
      <c r="B134" s="87" t="str">
        <f t="shared" ca="1" si="3"/>
        <v>416.00</v>
      </c>
      <c r="C134" s="90" t="s">
        <v>153</v>
      </c>
      <c r="D134" s="47" t="str">
        <f t="shared" ca="1" si="1"/>
        <v>Triplex</v>
      </c>
    </row>
    <row r="135" spans="1:4" ht="14.25" customHeight="1" x14ac:dyDescent="0.3">
      <c r="A135" s="86" t="s">
        <v>292</v>
      </c>
      <c r="B135" s="87" t="str">
        <f t="shared" ca="1" si="3"/>
        <v>274.00</v>
      </c>
      <c r="C135" s="90" t="s">
        <v>153</v>
      </c>
      <c r="D135" s="47" t="str">
        <f t="shared" ca="1" si="1"/>
        <v>Duplex</v>
      </c>
    </row>
    <row r="136" spans="1:4" ht="14.25" customHeight="1" x14ac:dyDescent="0.3">
      <c r="A136" s="86" t="s">
        <v>211</v>
      </c>
      <c r="B136" s="87" t="str">
        <f t="shared" ca="1" si="3"/>
        <v>276.00</v>
      </c>
      <c r="C136" s="90" t="s">
        <v>153</v>
      </c>
      <c r="D136" s="47" t="str">
        <f t="shared" ca="1" si="1"/>
        <v>Duplex</v>
      </c>
    </row>
    <row r="137" spans="1:4" ht="14.25" customHeight="1" x14ac:dyDescent="0.3">
      <c r="A137" s="86" t="s">
        <v>293</v>
      </c>
      <c r="B137" s="87" t="str">
        <f t="shared" ca="1" si="3"/>
        <v>465.00</v>
      </c>
      <c r="C137" s="90" t="s">
        <v>153</v>
      </c>
      <c r="D137" s="47" t="str">
        <f t="shared" ca="1" si="1"/>
        <v>Triplex</v>
      </c>
    </row>
    <row r="138" spans="1:4" ht="14.25" customHeight="1" x14ac:dyDescent="0.3">
      <c r="A138" s="86" t="s">
        <v>294</v>
      </c>
      <c r="B138" s="87" t="str">
        <f t="shared" ca="1" si="3"/>
        <v>363.00</v>
      </c>
      <c r="C138" s="90" t="s">
        <v>153</v>
      </c>
      <c r="D138" s="47" t="str">
        <f t="shared" ca="1" si="1"/>
        <v>Triplex</v>
      </c>
    </row>
    <row r="139" spans="1:4" ht="14.25" customHeight="1" x14ac:dyDescent="0.3">
      <c r="A139" s="86" t="s">
        <v>295</v>
      </c>
      <c r="B139" s="87" t="str">
        <f t="shared" ca="1" si="3"/>
        <v>767.00</v>
      </c>
      <c r="C139" s="90" t="s">
        <v>153</v>
      </c>
      <c r="D139" s="47" t="str">
        <f t="shared" ca="1" si="1"/>
        <v>Triplex</v>
      </c>
    </row>
    <row r="140" spans="1:4" ht="14.25" customHeight="1" x14ac:dyDescent="0.3">
      <c r="A140" s="86" t="s">
        <v>296</v>
      </c>
      <c r="B140" s="87" t="str">
        <f t="shared" ca="1" si="3"/>
        <v>425.00</v>
      </c>
      <c r="C140" s="90" t="s">
        <v>153</v>
      </c>
      <c r="D140" s="47" t="str">
        <f t="shared" ca="1" si="1"/>
        <v>Triplex</v>
      </c>
    </row>
    <row r="141" spans="1:4" ht="14.25" customHeight="1" x14ac:dyDescent="0.3">
      <c r="A141" s="86" t="s">
        <v>284</v>
      </c>
      <c r="B141" s="87" t="str">
        <f t="shared" ca="1" si="3"/>
        <v>351.00</v>
      </c>
      <c r="C141" s="90" t="s">
        <v>153</v>
      </c>
      <c r="D141" s="47" t="str">
        <f t="shared" ca="1" si="1"/>
        <v>Triplex</v>
      </c>
    </row>
    <row r="142" spans="1:4" ht="14.25" customHeight="1" x14ac:dyDescent="0.3">
      <c r="A142" s="86" t="s">
        <v>297</v>
      </c>
      <c r="B142" s="87" t="str">
        <f t="shared" ca="1" si="3"/>
        <v>624.00</v>
      </c>
      <c r="C142" s="90" t="s">
        <v>153</v>
      </c>
      <c r="D142" s="47" t="str">
        <f t="shared" ca="1" si="1"/>
        <v>Triplex</v>
      </c>
    </row>
    <row r="143" spans="1:4" ht="14.25" customHeight="1" x14ac:dyDescent="0.3">
      <c r="A143" s="86" t="s">
        <v>298</v>
      </c>
      <c r="B143" s="87" t="str">
        <f t="shared" ca="1" si="3"/>
        <v>281.00</v>
      </c>
      <c r="C143" s="90" t="s">
        <v>153</v>
      </c>
      <c r="D143" s="47" t="str">
        <f t="shared" ca="1" si="1"/>
        <v>Duplex</v>
      </c>
    </row>
    <row r="144" spans="1: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43" xr:uid="{00000000-0002-0000-0A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Z1000"/>
  <sheetViews>
    <sheetView tabSelected="1" workbookViewId="0">
      <selection activeCell="B23" sqref="B23"/>
    </sheetView>
  </sheetViews>
  <sheetFormatPr defaultColWidth="14.44140625" defaultRowHeight="15" customHeight="1" outlineLevelCol="1" x14ac:dyDescent="0.3"/>
  <cols>
    <col min="1" max="1" width="24.33203125" customWidth="1"/>
    <col min="2" max="2" width="41.44140625" customWidth="1" outlineLevel="1"/>
    <col min="3" max="3" width="10.5546875" customWidth="1" outlineLevel="1"/>
    <col min="4" max="6" width="10.88671875" customWidth="1"/>
    <col min="7" max="7" width="10" customWidth="1"/>
    <col min="8" max="8" width="10.109375" customWidth="1"/>
    <col min="9" max="9" width="11" customWidth="1"/>
    <col min="10" max="10" width="9.6640625" customWidth="1"/>
    <col min="11" max="11" width="9.5546875" customWidth="1"/>
    <col min="12" max="26" width="9.109375" customWidth="1"/>
  </cols>
  <sheetData>
    <row r="1" spans="1:26" ht="18" customHeight="1" x14ac:dyDescent="0.3">
      <c r="A1" s="107" t="s">
        <v>75</v>
      </c>
      <c r="B1" s="107" t="s">
        <v>77</v>
      </c>
      <c r="C1" s="108" t="s">
        <v>79</v>
      </c>
      <c r="D1" s="109" t="s">
        <v>81</v>
      </c>
      <c r="E1" s="109" t="s">
        <v>83</v>
      </c>
      <c r="F1" s="109" t="s">
        <v>85</v>
      </c>
      <c r="G1" s="108" t="s">
        <v>87</v>
      </c>
      <c r="H1" s="110" t="s">
        <v>89</v>
      </c>
      <c r="I1" s="110" t="s">
        <v>91</v>
      </c>
      <c r="J1" s="109" t="s">
        <v>93</v>
      </c>
      <c r="K1" s="108" t="s">
        <v>95</v>
      </c>
      <c r="L1" s="108" t="s">
        <v>97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6.5" customHeight="1" x14ac:dyDescent="0.3">
      <c r="A2" s="111" t="s">
        <v>152</v>
      </c>
      <c r="B2" s="111" t="s">
        <v>337</v>
      </c>
      <c r="C2" s="112" t="s">
        <v>338</v>
      </c>
      <c r="D2" s="113" t="s">
        <v>339</v>
      </c>
      <c r="E2" s="113" t="s">
        <v>339</v>
      </c>
      <c r="F2" s="113"/>
      <c r="G2" s="114">
        <v>53</v>
      </c>
      <c r="H2" s="115" t="s">
        <v>340</v>
      </c>
      <c r="I2" s="115" t="s">
        <v>341</v>
      </c>
      <c r="J2" s="116">
        <v>-43</v>
      </c>
      <c r="K2" s="117">
        <v>-37</v>
      </c>
      <c r="L2" s="118">
        <v>1</v>
      </c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</row>
    <row r="3" spans="1:26" ht="18" customHeight="1" x14ac:dyDescent="0.3">
      <c r="A3" s="111" t="s">
        <v>102</v>
      </c>
      <c r="B3" s="111" t="s">
        <v>342</v>
      </c>
      <c r="C3" s="112" t="s">
        <v>338</v>
      </c>
      <c r="D3" s="113" t="s">
        <v>339</v>
      </c>
      <c r="E3" s="113" t="s">
        <v>343</v>
      </c>
      <c r="F3" s="113"/>
      <c r="G3" s="114">
        <v>53</v>
      </c>
      <c r="H3" s="115" t="s">
        <v>344</v>
      </c>
      <c r="I3" s="115" t="s">
        <v>345</v>
      </c>
      <c r="J3" s="116">
        <v>-54</v>
      </c>
      <c r="K3" s="117">
        <v>-46</v>
      </c>
      <c r="L3" s="118">
        <v>2</v>
      </c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8" customHeight="1" x14ac:dyDescent="0.3">
      <c r="A4" s="111" t="s">
        <v>171</v>
      </c>
      <c r="B4" s="111" t="s">
        <v>346</v>
      </c>
      <c r="C4" s="112" t="s">
        <v>338</v>
      </c>
      <c r="D4" s="113" t="s">
        <v>347</v>
      </c>
      <c r="E4" s="113" t="s">
        <v>343</v>
      </c>
      <c r="F4" s="113"/>
      <c r="G4" s="114">
        <v>53</v>
      </c>
      <c r="H4" s="115" t="s">
        <v>348</v>
      </c>
      <c r="I4" s="115" t="s">
        <v>340</v>
      </c>
      <c r="J4" s="116">
        <v>-52</v>
      </c>
      <c r="K4" s="117">
        <v>-45</v>
      </c>
      <c r="L4" s="11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8" customHeight="1" x14ac:dyDescent="0.3">
      <c r="A5" s="111" t="s">
        <v>155</v>
      </c>
      <c r="B5" s="111" t="s">
        <v>349</v>
      </c>
      <c r="C5" s="112" t="s">
        <v>338</v>
      </c>
      <c r="D5" s="113" t="s">
        <v>350</v>
      </c>
      <c r="E5" s="113" t="s">
        <v>343</v>
      </c>
      <c r="F5" s="113"/>
      <c r="G5" s="114">
        <v>53</v>
      </c>
      <c r="H5" s="115" t="s">
        <v>351</v>
      </c>
      <c r="I5" s="115" t="s">
        <v>352</v>
      </c>
      <c r="J5" s="113"/>
      <c r="K5" s="117">
        <v>0</v>
      </c>
      <c r="L5" s="11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8" customHeight="1" x14ac:dyDescent="0.3">
      <c r="A6" s="111" t="s">
        <v>182</v>
      </c>
      <c r="B6" s="111" t="s">
        <v>353</v>
      </c>
      <c r="C6" s="112" t="s">
        <v>338</v>
      </c>
      <c r="D6" s="113" t="s">
        <v>354</v>
      </c>
      <c r="E6" s="113" t="s">
        <v>343</v>
      </c>
      <c r="F6" s="113"/>
      <c r="G6" s="114">
        <v>53</v>
      </c>
      <c r="H6" s="115" t="s">
        <v>355</v>
      </c>
      <c r="I6" s="115" t="s">
        <v>356</v>
      </c>
      <c r="J6" s="113"/>
      <c r="K6" s="117">
        <v>0</v>
      </c>
      <c r="L6" s="11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8" customHeight="1" x14ac:dyDescent="0.3">
      <c r="A7" s="111" t="s">
        <v>162</v>
      </c>
      <c r="B7" s="111" t="s">
        <v>357</v>
      </c>
      <c r="C7" s="112" t="s">
        <v>338</v>
      </c>
      <c r="D7" s="113" t="s">
        <v>358</v>
      </c>
      <c r="E7" s="113" t="s">
        <v>343</v>
      </c>
      <c r="F7" s="113"/>
      <c r="G7" s="114">
        <v>53</v>
      </c>
      <c r="H7" s="115" t="s">
        <v>359</v>
      </c>
      <c r="I7" s="115" t="s">
        <v>360</v>
      </c>
      <c r="J7" s="113"/>
      <c r="K7" s="117">
        <v>0</v>
      </c>
      <c r="L7" s="11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8" customHeight="1" x14ac:dyDescent="0.3">
      <c r="A8" s="111" t="s">
        <v>208</v>
      </c>
      <c r="B8" s="111" t="s">
        <v>361</v>
      </c>
      <c r="C8" s="112" t="s">
        <v>338</v>
      </c>
      <c r="D8" s="113" t="s">
        <v>362</v>
      </c>
      <c r="E8" s="113" t="s">
        <v>343</v>
      </c>
      <c r="F8" s="113"/>
      <c r="G8" s="114">
        <v>53</v>
      </c>
      <c r="H8" s="115" t="s">
        <v>359</v>
      </c>
      <c r="I8" s="115" t="s">
        <v>360</v>
      </c>
      <c r="J8" s="113"/>
      <c r="K8" s="117">
        <v>0</v>
      </c>
      <c r="L8" s="11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8" customHeight="1" x14ac:dyDescent="0.3">
      <c r="A9" s="111" t="s">
        <v>180</v>
      </c>
      <c r="B9" s="111" t="s">
        <v>363</v>
      </c>
      <c r="C9" s="112" t="s">
        <v>338</v>
      </c>
      <c r="D9" s="113" t="s">
        <v>364</v>
      </c>
      <c r="E9" s="113" t="s">
        <v>343</v>
      </c>
      <c r="F9" s="113"/>
      <c r="G9" s="114">
        <v>53</v>
      </c>
      <c r="H9" s="115" t="s">
        <v>365</v>
      </c>
      <c r="I9" s="115" t="s">
        <v>366</v>
      </c>
      <c r="J9" s="113"/>
      <c r="K9" s="117">
        <v>0</v>
      </c>
      <c r="L9" s="11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8" customHeight="1" x14ac:dyDescent="0.3">
      <c r="A10" s="111" t="s">
        <v>194</v>
      </c>
      <c r="B10" s="111" t="s">
        <v>367</v>
      </c>
      <c r="C10" s="112" t="s">
        <v>338</v>
      </c>
      <c r="D10" s="113" t="s">
        <v>368</v>
      </c>
      <c r="E10" s="113" t="s">
        <v>343</v>
      </c>
      <c r="F10" s="113"/>
      <c r="G10" s="114">
        <v>53</v>
      </c>
      <c r="H10" s="115" t="s">
        <v>355</v>
      </c>
      <c r="I10" s="115" t="s">
        <v>356</v>
      </c>
      <c r="J10" s="113"/>
      <c r="K10" s="117">
        <v>0</v>
      </c>
      <c r="L10" s="11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8" customHeight="1" x14ac:dyDescent="0.3">
      <c r="A11" s="111" t="s">
        <v>184</v>
      </c>
      <c r="B11" s="111" t="s">
        <v>369</v>
      </c>
      <c r="C11" s="112" t="s">
        <v>338</v>
      </c>
      <c r="D11" s="113" t="s">
        <v>370</v>
      </c>
      <c r="E11" s="113" t="s">
        <v>343</v>
      </c>
      <c r="F11" s="113"/>
      <c r="G11" s="114">
        <v>53</v>
      </c>
      <c r="H11" s="115" t="s">
        <v>371</v>
      </c>
      <c r="I11" s="115" t="s">
        <v>372</v>
      </c>
      <c r="J11" s="116">
        <v>-21</v>
      </c>
      <c r="K11" s="117">
        <v>-18</v>
      </c>
      <c r="L11" s="11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8" customHeight="1" x14ac:dyDescent="0.3">
      <c r="A12" s="111" t="s">
        <v>161</v>
      </c>
      <c r="B12" s="111" t="s">
        <v>373</v>
      </c>
      <c r="C12" s="112" t="s">
        <v>338</v>
      </c>
      <c r="D12" s="113" t="s">
        <v>374</v>
      </c>
      <c r="E12" s="113" t="s">
        <v>343</v>
      </c>
      <c r="F12" s="113"/>
      <c r="G12" s="114">
        <v>53</v>
      </c>
      <c r="H12" s="115" t="s">
        <v>375</v>
      </c>
      <c r="I12" s="115" t="s">
        <v>376</v>
      </c>
      <c r="J12" s="116">
        <v>-30</v>
      </c>
      <c r="K12" s="117">
        <v>-26</v>
      </c>
      <c r="L12" s="11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8" customHeight="1" x14ac:dyDescent="0.3">
      <c r="A13" s="111" t="s">
        <v>163</v>
      </c>
      <c r="B13" s="111" t="s">
        <v>377</v>
      </c>
      <c r="C13" s="112" t="s">
        <v>338</v>
      </c>
      <c r="D13" s="113" t="s">
        <v>378</v>
      </c>
      <c r="E13" s="113" t="s">
        <v>343</v>
      </c>
      <c r="F13" s="113"/>
      <c r="G13" s="114">
        <v>53</v>
      </c>
      <c r="H13" s="115" t="s">
        <v>379</v>
      </c>
      <c r="I13" s="115" t="s">
        <v>380</v>
      </c>
      <c r="J13" s="116">
        <v>-15</v>
      </c>
      <c r="K13" s="117">
        <v>-13</v>
      </c>
      <c r="L13" s="11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8" customHeight="1" x14ac:dyDescent="0.3">
      <c r="A14" s="111" t="s">
        <v>164</v>
      </c>
      <c r="B14" s="111" t="s">
        <v>381</v>
      </c>
      <c r="C14" s="112" t="s">
        <v>338</v>
      </c>
      <c r="D14" s="113" t="s">
        <v>382</v>
      </c>
      <c r="E14" s="113" t="s">
        <v>343</v>
      </c>
      <c r="F14" s="113"/>
      <c r="G14" s="114">
        <v>53</v>
      </c>
      <c r="H14" s="115" t="s">
        <v>383</v>
      </c>
      <c r="I14" s="115" t="s">
        <v>384</v>
      </c>
      <c r="J14" s="113"/>
      <c r="K14" s="117">
        <v>0</v>
      </c>
      <c r="L14" s="11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8" customHeight="1" x14ac:dyDescent="0.3">
      <c r="A15" s="111" t="s">
        <v>157</v>
      </c>
      <c r="B15" s="111" t="s">
        <v>385</v>
      </c>
      <c r="C15" s="112" t="s">
        <v>338</v>
      </c>
      <c r="D15" s="113" t="s">
        <v>386</v>
      </c>
      <c r="E15" s="113" t="s">
        <v>343</v>
      </c>
      <c r="F15" s="113"/>
      <c r="G15" s="114">
        <v>53</v>
      </c>
      <c r="H15" s="115" t="s">
        <v>387</v>
      </c>
      <c r="I15" s="115" t="s">
        <v>388</v>
      </c>
      <c r="J15" s="113"/>
      <c r="K15" s="117">
        <v>0</v>
      </c>
      <c r="L15" s="11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8" customHeight="1" x14ac:dyDescent="0.3">
      <c r="A16" s="111" t="s">
        <v>156</v>
      </c>
      <c r="B16" s="111" t="s">
        <v>389</v>
      </c>
      <c r="C16" s="112" t="s">
        <v>338</v>
      </c>
      <c r="D16" s="113" t="s">
        <v>390</v>
      </c>
      <c r="E16" s="113" t="s">
        <v>343</v>
      </c>
      <c r="F16" s="113"/>
      <c r="G16" s="114">
        <v>53</v>
      </c>
      <c r="H16" s="115" t="s">
        <v>391</v>
      </c>
      <c r="I16" s="115" t="s">
        <v>392</v>
      </c>
      <c r="J16" s="113"/>
      <c r="K16" s="117">
        <v>0</v>
      </c>
      <c r="L16" s="11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8" customHeight="1" x14ac:dyDescent="0.3">
      <c r="A17" s="111" t="s">
        <v>165</v>
      </c>
      <c r="B17" s="111" t="s">
        <v>393</v>
      </c>
      <c r="C17" s="112" t="s">
        <v>338</v>
      </c>
      <c r="D17" s="113" t="s">
        <v>394</v>
      </c>
      <c r="E17" s="113" t="s">
        <v>394</v>
      </c>
      <c r="F17" s="113"/>
      <c r="G17" s="114">
        <v>53</v>
      </c>
      <c r="H17" s="115" t="s">
        <v>395</v>
      </c>
      <c r="I17" s="115" t="s">
        <v>396</v>
      </c>
      <c r="J17" s="113"/>
      <c r="K17" s="117">
        <v>0</v>
      </c>
      <c r="L17" s="11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8" customHeight="1" x14ac:dyDescent="0.3">
      <c r="A18" s="111" t="s">
        <v>158</v>
      </c>
      <c r="B18" s="111" t="s">
        <v>397</v>
      </c>
      <c r="C18" s="112" t="s">
        <v>398</v>
      </c>
      <c r="D18" s="113" t="s">
        <v>339</v>
      </c>
      <c r="E18" s="113" t="s">
        <v>339</v>
      </c>
      <c r="F18" s="113" t="s">
        <v>339</v>
      </c>
      <c r="G18" s="114">
        <v>106</v>
      </c>
      <c r="H18" s="115" t="s">
        <v>399</v>
      </c>
      <c r="I18" s="115" t="s">
        <v>400</v>
      </c>
      <c r="J18" s="113"/>
      <c r="K18" s="117">
        <v>0</v>
      </c>
      <c r="L18" s="11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8" customHeight="1" x14ac:dyDescent="0.3">
      <c r="A19" s="111" t="s">
        <v>166</v>
      </c>
      <c r="B19" s="111" t="s">
        <v>401</v>
      </c>
      <c r="C19" s="112" t="s">
        <v>398</v>
      </c>
      <c r="D19" s="113" t="s">
        <v>339</v>
      </c>
      <c r="E19" s="113" t="s">
        <v>339</v>
      </c>
      <c r="F19" s="113" t="s">
        <v>343</v>
      </c>
      <c r="G19" s="114">
        <v>106</v>
      </c>
      <c r="H19" s="115" t="s">
        <v>355</v>
      </c>
      <c r="I19" s="115" t="s">
        <v>356</v>
      </c>
      <c r="J19" s="116">
        <v>-67</v>
      </c>
      <c r="K19" s="117">
        <v>-57</v>
      </c>
      <c r="L19" s="11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8" customHeight="1" x14ac:dyDescent="0.3">
      <c r="A20" s="111" t="s">
        <v>159</v>
      </c>
      <c r="B20" s="111" t="s">
        <v>402</v>
      </c>
      <c r="C20" s="112" t="s">
        <v>398</v>
      </c>
      <c r="D20" s="113" t="s">
        <v>343</v>
      </c>
      <c r="E20" s="113" t="s">
        <v>339</v>
      </c>
      <c r="F20" s="113" t="s">
        <v>343</v>
      </c>
      <c r="G20" s="114">
        <v>106</v>
      </c>
      <c r="H20" s="115" t="s">
        <v>355</v>
      </c>
      <c r="I20" s="115" t="s">
        <v>356</v>
      </c>
      <c r="J20" s="116">
        <v>-89</v>
      </c>
      <c r="K20" s="117">
        <v>-76</v>
      </c>
      <c r="L20" s="11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8" customHeight="1" x14ac:dyDescent="0.3">
      <c r="A21" s="111" t="s">
        <v>167</v>
      </c>
      <c r="B21" s="111" t="s">
        <v>403</v>
      </c>
      <c r="C21" s="112" t="s">
        <v>398</v>
      </c>
      <c r="D21" s="113" t="s">
        <v>386</v>
      </c>
      <c r="E21" s="113" t="s">
        <v>343</v>
      </c>
      <c r="F21" s="113" t="s">
        <v>343</v>
      </c>
      <c r="G21" s="114">
        <v>106</v>
      </c>
      <c r="H21" s="115" t="s">
        <v>404</v>
      </c>
      <c r="I21" s="115" t="s">
        <v>405</v>
      </c>
      <c r="J21" s="113"/>
      <c r="K21" s="117">
        <v>0</v>
      </c>
      <c r="L21" s="11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8" customHeight="1" x14ac:dyDescent="0.3">
      <c r="A22" s="111" t="s">
        <v>168</v>
      </c>
      <c r="B22" s="111" t="s">
        <v>406</v>
      </c>
      <c r="C22" s="112" t="s">
        <v>398</v>
      </c>
      <c r="D22" s="113" t="s">
        <v>386</v>
      </c>
      <c r="E22" s="113" t="s">
        <v>347</v>
      </c>
      <c r="F22" s="113" t="s">
        <v>343</v>
      </c>
      <c r="G22" s="114">
        <v>106</v>
      </c>
      <c r="H22" s="115" t="s">
        <v>407</v>
      </c>
      <c r="I22" s="115" t="s">
        <v>408</v>
      </c>
      <c r="J22" s="113"/>
      <c r="K22" s="117">
        <v>0</v>
      </c>
      <c r="L22" s="11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8" customHeight="1" x14ac:dyDescent="0.3">
      <c r="A23" s="111" t="s">
        <v>169</v>
      </c>
      <c r="B23" s="111" t="s">
        <v>409</v>
      </c>
      <c r="C23" s="112" t="s">
        <v>338</v>
      </c>
      <c r="D23" s="113" t="s">
        <v>715</v>
      </c>
      <c r="E23" s="113" t="s">
        <v>715</v>
      </c>
      <c r="F23" s="113"/>
      <c r="G23" s="114">
        <v>53</v>
      </c>
      <c r="H23" s="115" t="s">
        <v>410</v>
      </c>
      <c r="I23" s="115" t="s">
        <v>411</v>
      </c>
      <c r="J23" s="113"/>
      <c r="K23" s="117">
        <v>0</v>
      </c>
      <c r="L23" s="11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8" customHeight="1" x14ac:dyDescent="0.3">
      <c r="A24" s="111" t="s">
        <v>173</v>
      </c>
      <c r="B24" s="111" t="s">
        <v>412</v>
      </c>
      <c r="C24" s="112" t="s">
        <v>398</v>
      </c>
      <c r="D24" s="113" t="s">
        <v>374</v>
      </c>
      <c r="E24" s="113" t="s">
        <v>343</v>
      </c>
      <c r="F24" s="113" t="s">
        <v>343</v>
      </c>
      <c r="G24" s="114">
        <v>106</v>
      </c>
      <c r="H24" s="115" t="s">
        <v>413</v>
      </c>
      <c r="I24" s="115" t="s">
        <v>414</v>
      </c>
      <c r="J24" s="116">
        <v>-50</v>
      </c>
      <c r="K24" s="117">
        <v>-43</v>
      </c>
      <c r="L24" s="11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8" customHeight="1" x14ac:dyDescent="0.3">
      <c r="A25" s="111" t="s">
        <v>170</v>
      </c>
      <c r="B25" s="111" t="s">
        <v>415</v>
      </c>
      <c r="C25" s="112" t="s">
        <v>398</v>
      </c>
      <c r="D25" s="113" t="s">
        <v>347</v>
      </c>
      <c r="E25" s="113" t="s">
        <v>343</v>
      </c>
      <c r="F25" s="113" t="s">
        <v>343</v>
      </c>
      <c r="G25" s="114">
        <v>106</v>
      </c>
      <c r="H25" s="115" t="s">
        <v>416</v>
      </c>
      <c r="I25" s="115" t="s">
        <v>417</v>
      </c>
      <c r="J25" s="116">
        <v>-100</v>
      </c>
      <c r="K25" s="117">
        <v>-85</v>
      </c>
      <c r="L25" s="11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8" customHeight="1" x14ac:dyDescent="0.3">
      <c r="A26" s="111" t="s">
        <v>172</v>
      </c>
      <c r="B26" s="111" t="s">
        <v>418</v>
      </c>
      <c r="C26" s="112" t="s">
        <v>398</v>
      </c>
      <c r="D26" s="113" t="s">
        <v>347</v>
      </c>
      <c r="E26" s="113" t="s">
        <v>339</v>
      </c>
      <c r="F26" s="113" t="s">
        <v>343</v>
      </c>
      <c r="G26" s="114">
        <v>106</v>
      </c>
      <c r="H26" s="115" t="s">
        <v>419</v>
      </c>
      <c r="I26" s="115" t="s">
        <v>351</v>
      </c>
      <c r="J26" s="116">
        <v>-100</v>
      </c>
      <c r="K26" s="117">
        <v>-85</v>
      </c>
      <c r="L26" s="11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</row>
    <row r="27" spans="1:26" ht="18" customHeight="1" x14ac:dyDescent="0.3">
      <c r="A27" s="111" t="s">
        <v>174</v>
      </c>
      <c r="B27" s="111" t="s">
        <v>420</v>
      </c>
      <c r="C27" s="112" t="s">
        <v>338</v>
      </c>
      <c r="D27" s="113" t="s">
        <v>421</v>
      </c>
      <c r="E27" s="113" t="s">
        <v>339</v>
      </c>
      <c r="F27" s="113"/>
      <c r="G27" s="114">
        <v>53</v>
      </c>
      <c r="H27" s="115" t="s">
        <v>392</v>
      </c>
      <c r="I27" s="115" t="s">
        <v>422</v>
      </c>
      <c r="J27" s="113"/>
      <c r="K27" s="117">
        <v>0</v>
      </c>
      <c r="L27" s="11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</row>
    <row r="28" spans="1:26" ht="18" customHeight="1" x14ac:dyDescent="0.3">
      <c r="A28" s="111" t="s">
        <v>175</v>
      </c>
      <c r="B28" s="111" t="s">
        <v>423</v>
      </c>
      <c r="C28" s="112" t="s">
        <v>338</v>
      </c>
      <c r="D28" s="113" t="s">
        <v>394</v>
      </c>
      <c r="E28" s="113" t="s">
        <v>370</v>
      </c>
      <c r="F28" s="113"/>
      <c r="G28" s="114">
        <v>53</v>
      </c>
      <c r="H28" s="115" t="s">
        <v>424</v>
      </c>
      <c r="I28" s="115" t="s">
        <v>425</v>
      </c>
      <c r="J28" s="113"/>
      <c r="K28" s="117">
        <v>0</v>
      </c>
      <c r="L28" s="11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</row>
    <row r="29" spans="1:26" ht="18" customHeight="1" x14ac:dyDescent="0.3">
      <c r="A29" s="111" t="s">
        <v>176</v>
      </c>
      <c r="B29" s="111" t="s">
        <v>426</v>
      </c>
      <c r="C29" s="112" t="s">
        <v>398</v>
      </c>
      <c r="D29" s="113" t="s">
        <v>386</v>
      </c>
      <c r="E29" s="113" t="s">
        <v>386</v>
      </c>
      <c r="F29" s="113" t="s">
        <v>350</v>
      </c>
      <c r="G29" s="114">
        <v>106</v>
      </c>
      <c r="H29" s="115" t="s">
        <v>427</v>
      </c>
      <c r="I29" s="115" t="s">
        <v>428</v>
      </c>
      <c r="J29" s="113"/>
      <c r="K29" s="117">
        <v>0</v>
      </c>
      <c r="L29" s="11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</row>
    <row r="30" spans="1:26" ht="18" customHeight="1" x14ac:dyDescent="0.3">
      <c r="A30" s="111" t="s">
        <v>177</v>
      </c>
      <c r="B30" s="111" t="s">
        <v>429</v>
      </c>
      <c r="C30" s="112" t="s">
        <v>398</v>
      </c>
      <c r="D30" s="113" t="s">
        <v>386</v>
      </c>
      <c r="E30" s="113" t="s">
        <v>339</v>
      </c>
      <c r="F30" s="113" t="s">
        <v>343</v>
      </c>
      <c r="G30" s="114">
        <v>106</v>
      </c>
      <c r="H30" s="115" t="s">
        <v>430</v>
      </c>
      <c r="I30" s="115" t="s">
        <v>431</v>
      </c>
      <c r="J30" s="113"/>
      <c r="K30" s="117">
        <v>0</v>
      </c>
      <c r="L30" s="11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</row>
    <row r="31" spans="1:26" ht="18" customHeight="1" x14ac:dyDescent="0.3">
      <c r="A31" s="111" t="s">
        <v>178</v>
      </c>
      <c r="B31" s="111" t="s">
        <v>432</v>
      </c>
      <c r="C31" s="112" t="s">
        <v>338</v>
      </c>
      <c r="D31" s="113" t="s">
        <v>433</v>
      </c>
      <c r="E31" s="113" t="s">
        <v>343</v>
      </c>
      <c r="F31" s="113"/>
      <c r="G31" s="114">
        <v>53</v>
      </c>
      <c r="H31" s="115" t="s">
        <v>359</v>
      </c>
      <c r="I31" s="115" t="s">
        <v>360</v>
      </c>
      <c r="J31" s="113"/>
      <c r="K31" s="117">
        <v>0</v>
      </c>
      <c r="L31" s="11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</row>
    <row r="32" spans="1:26" ht="18" customHeight="1" x14ac:dyDescent="0.3">
      <c r="A32" s="111" t="s">
        <v>179</v>
      </c>
      <c r="B32" s="111" t="s">
        <v>434</v>
      </c>
      <c r="C32" s="112" t="s">
        <v>398</v>
      </c>
      <c r="D32" s="113" t="s">
        <v>435</v>
      </c>
      <c r="E32" s="113" t="s">
        <v>343</v>
      </c>
      <c r="F32" s="113" t="s">
        <v>343</v>
      </c>
      <c r="G32" s="114">
        <v>106</v>
      </c>
      <c r="H32" s="115" t="s">
        <v>436</v>
      </c>
      <c r="I32" s="115" t="s">
        <v>437</v>
      </c>
      <c r="J32" s="113"/>
      <c r="K32" s="117">
        <v>0</v>
      </c>
      <c r="L32" s="11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</row>
    <row r="33" spans="1:26" ht="18" customHeight="1" x14ac:dyDescent="0.3">
      <c r="A33" s="111" t="s">
        <v>181</v>
      </c>
      <c r="B33" s="111" t="s">
        <v>438</v>
      </c>
      <c r="C33" s="112" t="s">
        <v>338</v>
      </c>
      <c r="D33" s="113" t="s">
        <v>439</v>
      </c>
      <c r="E33" s="113" t="s">
        <v>343</v>
      </c>
      <c r="F33" s="113"/>
      <c r="G33" s="114">
        <v>53</v>
      </c>
      <c r="H33" s="115" t="s">
        <v>365</v>
      </c>
      <c r="I33" s="115" t="s">
        <v>366</v>
      </c>
      <c r="J33" s="113"/>
      <c r="K33" s="117">
        <v>0</v>
      </c>
      <c r="L33" s="11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</row>
    <row r="34" spans="1:26" ht="18" customHeight="1" x14ac:dyDescent="0.3">
      <c r="A34" s="111" t="s">
        <v>183</v>
      </c>
      <c r="B34" s="111" t="s">
        <v>440</v>
      </c>
      <c r="C34" s="112" t="s">
        <v>338</v>
      </c>
      <c r="D34" s="113" t="s">
        <v>394</v>
      </c>
      <c r="E34" s="113" t="s">
        <v>435</v>
      </c>
      <c r="F34" s="113"/>
      <c r="G34" s="114">
        <v>53</v>
      </c>
      <c r="H34" s="115" t="s">
        <v>441</v>
      </c>
      <c r="I34" s="115" t="s">
        <v>442</v>
      </c>
      <c r="J34" s="113"/>
      <c r="K34" s="117">
        <v>0</v>
      </c>
      <c r="L34" s="11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</row>
    <row r="35" spans="1:26" ht="18" customHeight="1" x14ac:dyDescent="0.3">
      <c r="A35" s="111" t="s">
        <v>185</v>
      </c>
      <c r="B35" s="111" t="s">
        <v>443</v>
      </c>
      <c r="C35" s="112" t="s">
        <v>338</v>
      </c>
      <c r="D35" s="113" t="s">
        <v>444</v>
      </c>
      <c r="E35" s="113" t="s">
        <v>343</v>
      </c>
      <c r="F35" s="113"/>
      <c r="G35" s="114">
        <v>53</v>
      </c>
      <c r="H35" s="115" t="s">
        <v>445</v>
      </c>
      <c r="I35" s="115" t="s">
        <v>446</v>
      </c>
      <c r="J35" s="113"/>
      <c r="K35" s="117">
        <v>0</v>
      </c>
      <c r="L35" s="11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</row>
    <row r="36" spans="1:26" ht="18" customHeight="1" x14ac:dyDescent="0.3">
      <c r="A36" s="111" t="s">
        <v>186</v>
      </c>
      <c r="B36" s="111" t="s">
        <v>447</v>
      </c>
      <c r="C36" s="112" t="s">
        <v>338</v>
      </c>
      <c r="D36" s="113" t="s">
        <v>448</v>
      </c>
      <c r="E36" s="113" t="s">
        <v>343</v>
      </c>
      <c r="F36" s="113"/>
      <c r="G36" s="114">
        <v>53</v>
      </c>
      <c r="H36" s="115" t="s">
        <v>392</v>
      </c>
      <c r="I36" s="115" t="s">
        <v>422</v>
      </c>
      <c r="J36" s="116">
        <v>-15</v>
      </c>
      <c r="K36" s="117">
        <v>-13</v>
      </c>
      <c r="L36" s="11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</row>
    <row r="37" spans="1:26" ht="18" customHeight="1" x14ac:dyDescent="0.3">
      <c r="A37" s="111" t="s">
        <v>187</v>
      </c>
      <c r="B37" s="111" t="s">
        <v>449</v>
      </c>
      <c r="C37" s="112" t="s">
        <v>338</v>
      </c>
      <c r="D37" s="113" t="s">
        <v>433</v>
      </c>
      <c r="E37" s="113" t="s">
        <v>339</v>
      </c>
      <c r="F37" s="113"/>
      <c r="G37" s="114">
        <v>53</v>
      </c>
      <c r="H37" s="115" t="s">
        <v>392</v>
      </c>
      <c r="I37" s="115" t="s">
        <v>422</v>
      </c>
      <c r="J37" s="113"/>
      <c r="K37" s="117">
        <v>0</v>
      </c>
      <c r="L37" s="11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</row>
    <row r="38" spans="1:26" ht="18" customHeight="1" x14ac:dyDescent="0.3">
      <c r="A38" s="111" t="s">
        <v>188</v>
      </c>
      <c r="B38" s="111" t="s">
        <v>450</v>
      </c>
      <c r="C38" s="112" t="s">
        <v>398</v>
      </c>
      <c r="D38" s="113" t="s">
        <v>350</v>
      </c>
      <c r="E38" s="113" t="s">
        <v>343</v>
      </c>
      <c r="F38" s="113" t="s">
        <v>343</v>
      </c>
      <c r="G38" s="114">
        <v>106</v>
      </c>
      <c r="H38" s="115" t="s">
        <v>451</v>
      </c>
      <c r="I38" s="115" t="s">
        <v>452</v>
      </c>
      <c r="J38" s="113"/>
      <c r="K38" s="117">
        <v>0</v>
      </c>
      <c r="L38" s="11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</row>
    <row r="39" spans="1:26" ht="18" customHeight="1" x14ac:dyDescent="0.3">
      <c r="A39" s="111" t="s">
        <v>189</v>
      </c>
      <c r="B39" s="111" t="s">
        <v>453</v>
      </c>
      <c r="C39" s="112" t="s">
        <v>398</v>
      </c>
      <c r="D39" s="113" t="s">
        <v>448</v>
      </c>
      <c r="E39" s="113" t="s">
        <v>339</v>
      </c>
      <c r="F39" s="113" t="s">
        <v>343</v>
      </c>
      <c r="G39" s="114">
        <v>106</v>
      </c>
      <c r="H39" s="115" t="s">
        <v>454</v>
      </c>
      <c r="I39" s="115" t="s">
        <v>455</v>
      </c>
      <c r="J39" s="113"/>
      <c r="K39" s="117">
        <v>0</v>
      </c>
      <c r="L39" s="11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</row>
    <row r="40" spans="1:26" ht="18" customHeight="1" x14ac:dyDescent="0.3">
      <c r="A40" s="111" t="s">
        <v>190</v>
      </c>
      <c r="B40" s="111" t="s">
        <v>456</v>
      </c>
      <c r="C40" s="112" t="s">
        <v>338</v>
      </c>
      <c r="D40" s="113" t="s">
        <v>354</v>
      </c>
      <c r="E40" s="113" t="s">
        <v>339</v>
      </c>
      <c r="F40" s="113"/>
      <c r="G40" s="114">
        <v>53</v>
      </c>
      <c r="H40" s="115" t="s">
        <v>457</v>
      </c>
      <c r="I40" s="115" t="s">
        <v>458</v>
      </c>
      <c r="J40" s="113"/>
      <c r="K40" s="117">
        <v>0</v>
      </c>
      <c r="L40" s="11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</row>
    <row r="41" spans="1:26" ht="18" customHeight="1" x14ac:dyDescent="0.3">
      <c r="A41" s="111" t="s">
        <v>191</v>
      </c>
      <c r="B41" s="111" t="s">
        <v>459</v>
      </c>
      <c r="C41" s="112" t="s">
        <v>338</v>
      </c>
      <c r="D41" s="113" t="s">
        <v>374</v>
      </c>
      <c r="E41" s="113" t="s">
        <v>339</v>
      </c>
      <c r="F41" s="113"/>
      <c r="G41" s="114">
        <v>53</v>
      </c>
      <c r="H41" s="115" t="s">
        <v>460</v>
      </c>
      <c r="I41" s="115" t="s">
        <v>461</v>
      </c>
      <c r="J41" s="116">
        <v>-30</v>
      </c>
      <c r="K41" s="117">
        <v>-26</v>
      </c>
      <c r="L41" s="11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</row>
    <row r="42" spans="1:26" ht="18" customHeight="1" x14ac:dyDescent="0.3">
      <c r="A42" s="111" t="s">
        <v>192</v>
      </c>
      <c r="B42" s="111" t="s">
        <v>462</v>
      </c>
      <c r="C42" s="112" t="s">
        <v>338</v>
      </c>
      <c r="D42" s="113" t="s">
        <v>421</v>
      </c>
      <c r="E42" s="113" t="s">
        <v>343</v>
      </c>
      <c r="F42" s="113"/>
      <c r="G42" s="114">
        <v>53</v>
      </c>
      <c r="H42" s="115" t="s">
        <v>359</v>
      </c>
      <c r="I42" s="115" t="s">
        <v>360</v>
      </c>
      <c r="J42" s="113"/>
      <c r="K42" s="117">
        <v>0</v>
      </c>
      <c r="L42" s="11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</row>
    <row r="43" spans="1:26" ht="18" customHeight="1" x14ac:dyDescent="0.3">
      <c r="A43" s="111" t="s">
        <v>193</v>
      </c>
      <c r="B43" s="111" t="s">
        <v>463</v>
      </c>
      <c r="C43" s="112" t="s">
        <v>398</v>
      </c>
      <c r="D43" s="113" t="s">
        <v>390</v>
      </c>
      <c r="E43" s="113" t="s">
        <v>343</v>
      </c>
      <c r="F43" s="113" t="s">
        <v>343</v>
      </c>
      <c r="G43" s="114">
        <v>106</v>
      </c>
      <c r="H43" s="115" t="s">
        <v>464</v>
      </c>
      <c r="I43" s="115" t="s">
        <v>413</v>
      </c>
      <c r="J43" s="113"/>
      <c r="K43" s="117">
        <v>0</v>
      </c>
      <c r="L43" s="11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</row>
    <row r="44" spans="1:26" ht="18" customHeight="1" x14ac:dyDescent="0.3">
      <c r="A44" s="111" t="s">
        <v>195</v>
      </c>
      <c r="B44" s="111" t="s">
        <v>465</v>
      </c>
      <c r="C44" s="112" t="s">
        <v>338</v>
      </c>
      <c r="D44" s="113" t="s">
        <v>435</v>
      </c>
      <c r="E44" s="113" t="s">
        <v>343</v>
      </c>
      <c r="F44" s="113"/>
      <c r="G44" s="114">
        <v>53</v>
      </c>
      <c r="H44" s="115" t="s">
        <v>365</v>
      </c>
      <c r="I44" s="115" t="s">
        <v>366</v>
      </c>
      <c r="J44" s="113"/>
      <c r="K44" s="117">
        <v>0</v>
      </c>
      <c r="L44" s="11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</row>
    <row r="45" spans="1:26" ht="18" customHeight="1" x14ac:dyDescent="0.3">
      <c r="A45" s="111" t="s">
        <v>196</v>
      </c>
      <c r="B45" s="111" t="s">
        <v>466</v>
      </c>
      <c r="C45" s="112" t="s">
        <v>398</v>
      </c>
      <c r="D45" s="113" t="s">
        <v>421</v>
      </c>
      <c r="E45" s="113" t="s">
        <v>339</v>
      </c>
      <c r="F45" s="113" t="s">
        <v>343</v>
      </c>
      <c r="G45" s="114">
        <v>106</v>
      </c>
      <c r="H45" s="115" t="s">
        <v>467</v>
      </c>
      <c r="I45" s="115" t="s">
        <v>468</v>
      </c>
      <c r="J45" s="113"/>
      <c r="K45" s="117">
        <v>0</v>
      </c>
      <c r="L45" s="11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</row>
    <row r="46" spans="1:26" ht="18" customHeight="1" x14ac:dyDescent="0.3">
      <c r="A46" s="111" t="s">
        <v>197</v>
      </c>
      <c r="B46" s="111" t="s">
        <v>469</v>
      </c>
      <c r="C46" s="112" t="s">
        <v>398</v>
      </c>
      <c r="D46" s="113" t="s">
        <v>374</v>
      </c>
      <c r="E46" s="113" t="s">
        <v>339</v>
      </c>
      <c r="F46" s="113" t="s">
        <v>343</v>
      </c>
      <c r="G46" s="114">
        <v>106</v>
      </c>
      <c r="H46" s="115" t="s">
        <v>470</v>
      </c>
      <c r="I46" s="115" t="s">
        <v>471</v>
      </c>
      <c r="J46" s="116">
        <v>-50</v>
      </c>
      <c r="K46" s="117">
        <v>-43</v>
      </c>
      <c r="L46" s="11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</row>
    <row r="47" spans="1:26" ht="18" customHeight="1" x14ac:dyDescent="0.3">
      <c r="A47" s="111" t="s">
        <v>198</v>
      </c>
      <c r="B47" s="111" t="s">
        <v>472</v>
      </c>
      <c r="C47" s="112" t="s">
        <v>338</v>
      </c>
      <c r="D47" s="113" t="s">
        <v>473</v>
      </c>
      <c r="E47" s="113" t="s">
        <v>343</v>
      </c>
      <c r="F47" s="113"/>
      <c r="G47" s="114">
        <v>53</v>
      </c>
      <c r="H47" s="115" t="s">
        <v>371</v>
      </c>
      <c r="I47" s="115" t="s">
        <v>372</v>
      </c>
      <c r="J47" s="116">
        <v>-21</v>
      </c>
      <c r="K47" s="117">
        <v>-18</v>
      </c>
      <c r="L47" s="11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</row>
    <row r="48" spans="1:26" ht="18" customHeight="1" x14ac:dyDescent="0.3">
      <c r="A48" s="111" t="s">
        <v>199</v>
      </c>
      <c r="B48" s="111" t="s">
        <v>474</v>
      </c>
      <c r="C48" s="112" t="s">
        <v>338</v>
      </c>
      <c r="D48" s="113" t="s">
        <v>475</v>
      </c>
      <c r="E48" s="113" t="s">
        <v>343</v>
      </c>
      <c r="F48" s="113"/>
      <c r="G48" s="114">
        <v>53</v>
      </c>
      <c r="H48" s="115" t="s">
        <v>355</v>
      </c>
      <c r="I48" s="115" t="s">
        <v>356</v>
      </c>
      <c r="J48" s="113"/>
      <c r="K48" s="117">
        <v>0</v>
      </c>
      <c r="L48" s="11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</row>
    <row r="49" spans="1:26" ht="18" customHeight="1" x14ac:dyDescent="0.3">
      <c r="A49" s="111" t="s">
        <v>200</v>
      </c>
      <c r="B49" s="111" t="s">
        <v>476</v>
      </c>
      <c r="C49" s="112" t="s">
        <v>338</v>
      </c>
      <c r="D49" s="113" t="s">
        <v>386</v>
      </c>
      <c r="E49" s="113" t="s">
        <v>386</v>
      </c>
      <c r="F49" s="113"/>
      <c r="G49" s="114">
        <v>53</v>
      </c>
      <c r="H49" s="115" t="s">
        <v>477</v>
      </c>
      <c r="I49" s="115" t="s">
        <v>359</v>
      </c>
      <c r="J49" s="113"/>
      <c r="K49" s="117">
        <v>0</v>
      </c>
      <c r="L49" s="11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</row>
    <row r="50" spans="1:26" ht="18.75" customHeight="1" x14ac:dyDescent="0.3">
      <c r="A50" s="111" t="s">
        <v>202</v>
      </c>
      <c r="B50" s="111" t="s">
        <v>478</v>
      </c>
      <c r="C50" s="112" t="s">
        <v>338</v>
      </c>
      <c r="D50" s="113" t="s">
        <v>364</v>
      </c>
      <c r="E50" s="113" t="s">
        <v>394</v>
      </c>
      <c r="F50" s="113"/>
      <c r="G50" s="114">
        <v>53</v>
      </c>
      <c r="H50" s="115" t="s">
        <v>441</v>
      </c>
      <c r="I50" s="115" t="s">
        <v>442</v>
      </c>
      <c r="J50" s="113"/>
      <c r="K50" s="117">
        <v>0</v>
      </c>
      <c r="L50" s="11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</row>
    <row r="51" spans="1:26" ht="18.75" customHeight="1" x14ac:dyDescent="0.3">
      <c r="A51" s="111" t="s">
        <v>203</v>
      </c>
      <c r="B51" s="111" t="s">
        <v>479</v>
      </c>
      <c r="C51" s="112" t="s">
        <v>338</v>
      </c>
      <c r="D51" s="113" t="s">
        <v>390</v>
      </c>
      <c r="E51" s="113" t="s">
        <v>370</v>
      </c>
      <c r="F51" s="113"/>
      <c r="G51" s="114">
        <v>53</v>
      </c>
      <c r="H51" s="115" t="s">
        <v>480</v>
      </c>
      <c r="I51" s="115" t="s">
        <v>481</v>
      </c>
      <c r="J51" s="113"/>
      <c r="K51" s="117">
        <v>0</v>
      </c>
      <c r="L51" s="11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</row>
    <row r="52" spans="1:26" ht="18.75" customHeight="1" x14ac:dyDescent="0.3">
      <c r="A52" s="111" t="s">
        <v>204</v>
      </c>
      <c r="B52" s="111" t="s">
        <v>482</v>
      </c>
      <c r="C52" s="112" t="s">
        <v>338</v>
      </c>
      <c r="D52" s="113" t="s">
        <v>378</v>
      </c>
      <c r="E52" s="113" t="s">
        <v>378</v>
      </c>
      <c r="F52" s="113"/>
      <c r="G52" s="114">
        <v>53</v>
      </c>
      <c r="H52" s="115" t="s">
        <v>483</v>
      </c>
      <c r="I52" s="115" t="s">
        <v>484</v>
      </c>
      <c r="J52" s="113"/>
      <c r="K52" s="117">
        <v>0</v>
      </c>
      <c r="L52" s="11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</row>
    <row r="53" spans="1:26" ht="18.75" customHeight="1" x14ac:dyDescent="0.3">
      <c r="A53" s="111" t="s">
        <v>205</v>
      </c>
      <c r="B53" s="111" t="s">
        <v>485</v>
      </c>
      <c r="C53" s="112" t="s">
        <v>398</v>
      </c>
      <c r="D53" s="113" t="s">
        <v>347</v>
      </c>
      <c r="E53" s="113" t="s">
        <v>374</v>
      </c>
      <c r="F53" s="113" t="s">
        <v>343</v>
      </c>
      <c r="G53" s="114">
        <v>106</v>
      </c>
      <c r="H53" s="115" t="s">
        <v>486</v>
      </c>
      <c r="I53" s="115" t="s">
        <v>487</v>
      </c>
      <c r="J53" s="113"/>
      <c r="K53" s="117">
        <v>0</v>
      </c>
      <c r="L53" s="120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</row>
    <row r="54" spans="1:26" ht="18.75" customHeight="1" x14ac:dyDescent="0.3">
      <c r="A54" s="111" t="s">
        <v>206</v>
      </c>
      <c r="B54" s="111" t="s">
        <v>488</v>
      </c>
      <c r="C54" s="112" t="s">
        <v>338</v>
      </c>
      <c r="D54" s="113" t="s">
        <v>350</v>
      </c>
      <c r="E54" s="113" t="s">
        <v>339</v>
      </c>
      <c r="F54" s="113"/>
      <c r="G54" s="114">
        <v>53</v>
      </c>
      <c r="H54" s="115" t="s">
        <v>489</v>
      </c>
      <c r="I54" s="115" t="s">
        <v>490</v>
      </c>
      <c r="J54" s="113"/>
      <c r="K54" s="117">
        <v>0</v>
      </c>
      <c r="L54" s="120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</row>
    <row r="55" spans="1:26" ht="18.75" customHeight="1" x14ac:dyDescent="0.3">
      <c r="A55" s="111" t="s">
        <v>207</v>
      </c>
      <c r="B55" s="111" t="s">
        <v>491</v>
      </c>
      <c r="C55" s="112" t="s">
        <v>338</v>
      </c>
      <c r="D55" s="113" t="s">
        <v>390</v>
      </c>
      <c r="E55" s="113" t="s">
        <v>339</v>
      </c>
      <c r="F55" s="113"/>
      <c r="G55" s="114">
        <v>53</v>
      </c>
      <c r="H55" s="115" t="s">
        <v>359</v>
      </c>
      <c r="I55" s="115" t="s">
        <v>360</v>
      </c>
      <c r="J55" s="113"/>
      <c r="K55" s="117">
        <v>0</v>
      </c>
      <c r="L55" s="120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</row>
    <row r="56" spans="1:26" ht="18" customHeight="1" x14ac:dyDescent="0.3">
      <c r="A56" s="111" t="s">
        <v>209</v>
      </c>
      <c r="B56" s="111" t="s">
        <v>492</v>
      </c>
      <c r="C56" s="112" t="s">
        <v>338</v>
      </c>
      <c r="D56" s="113" t="s">
        <v>368</v>
      </c>
      <c r="E56" s="113" t="s">
        <v>339</v>
      </c>
      <c r="F56" s="113"/>
      <c r="G56" s="114">
        <v>53</v>
      </c>
      <c r="H56" s="115" t="s">
        <v>457</v>
      </c>
      <c r="I56" s="115" t="s">
        <v>458</v>
      </c>
      <c r="J56" s="113"/>
      <c r="K56" s="117">
        <v>0</v>
      </c>
      <c r="L56" s="120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</row>
    <row r="57" spans="1:26" ht="18" customHeight="1" x14ac:dyDescent="0.3">
      <c r="A57" s="111" t="s">
        <v>210</v>
      </c>
      <c r="B57" s="111" t="s">
        <v>493</v>
      </c>
      <c r="C57" s="112" t="s">
        <v>338</v>
      </c>
      <c r="D57" s="113" t="s">
        <v>370</v>
      </c>
      <c r="E57" s="113" t="s">
        <v>339</v>
      </c>
      <c r="F57" s="113"/>
      <c r="G57" s="114">
        <v>53</v>
      </c>
      <c r="H57" s="115" t="s">
        <v>494</v>
      </c>
      <c r="I57" s="115" t="s">
        <v>495</v>
      </c>
      <c r="J57" s="116">
        <v>-21</v>
      </c>
      <c r="K57" s="117">
        <v>-18</v>
      </c>
      <c r="L57" s="120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</row>
    <row r="58" spans="1:26" ht="18" customHeight="1" x14ac:dyDescent="0.3">
      <c r="A58" s="111" t="s">
        <v>211</v>
      </c>
      <c r="B58" s="111" t="s">
        <v>496</v>
      </c>
      <c r="C58" s="112" t="s">
        <v>338</v>
      </c>
      <c r="D58" s="113" t="s">
        <v>497</v>
      </c>
      <c r="E58" s="113" t="s">
        <v>343</v>
      </c>
      <c r="F58" s="113"/>
      <c r="G58" s="114">
        <v>53</v>
      </c>
      <c r="H58" s="115" t="s">
        <v>371</v>
      </c>
      <c r="I58" s="115" t="s">
        <v>372</v>
      </c>
      <c r="J58" s="116">
        <v>-21</v>
      </c>
      <c r="K58" s="117">
        <v>-18</v>
      </c>
      <c r="L58" s="120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</row>
    <row r="59" spans="1:26" ht="18" customHeight="1" x14ac:dyDescent="0.3">
      <c r="A59" s="111" t="s">
        <v>212</v>
      </c>
      <c r="B59" s="111" t="s">
        <v>498</v>
      </c>
      <c r="C59" s="112" t="s">
        <v>398</v>
      </c>
      <c r="D59" s="113" t="s">
        <v>386</v>
      </c>
      <c r="E59" s="113" t="s">
        <v>374</v>
      </c>
      <c r="F59" s="113" t="s">
        <v>343</v>
      </c>
      <c r="G59" s="114">
        <v>106</v>
      </c>
      <c r="H59" s="115" t="s">
        <v>499</v>
      </c>
      <c r="I59" s="115" t="s">
        <v>500</v>
      </c>
      <c r="J59" s="113"/>
      <c r="K59" s="117">
        <v>0</v>
      </c>
      <c r="L59" s="120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</row>
    <row r="60" spans="1:26" ht="18" customHeight="1" x14ac:dyDescent="0.3">
      <c r="A60" s="111" t="s">
        <v>213</v>
      </c>
      <c r="B60" s="111" t="s">
        <v>501</v>
      </c>
      <c r="C60" s="112" t="s">
        <v>398</v>
      </c>
      <c r="D60" s="113" t="s">
        <v>358</v>
      </c>
      <c r="E60" s="113" t="s">
        <v>339</v>
      </c>
      <c r="F60" s="113" t="s">
        <v>343</v>
      </c>
      <c r="G60" s="114">
        <v>106</v>
      </c>
      <c r="H60" s="115" t="s">
        <v>467</v>
      </c>
      <c r="I60" s="115" t="s">
        <v>468</v>
      </c>
      <c r="J60" s="113"/>
      <c r="K60" s="117">
        <v>0</v>
      </c>
      <c r="L60" s="120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</row>
    <row r="61" spans="1:26" ht="18" customHeight="1" x14ac:dyDescent="0.3">
      <c r="A61" s="111" t="s">
        <v>214</v>
      </c>
      <c r="B61" s="111" t="s">
        <v>502</v>
      </c>
      <c r="C61" s="112" t="s">
        <v>338</v>
      </c>
      <c r="D61" s="113" t="s">
        <v>382</v>
      </c>
      <c r="E61" s="113" t="s">
        <v>354</v>
      </c>
      <c r="F61" s="113"/>
      <c r="G61" s="114">
        <v>53</v>
      </c>
      <c r="H61" s="115" t="s">
        <v>503</v>
      </c>
      <c r="I61" s="115" t="s">
        <v>419</v>
      </c>
      <c r="J61" s="113"/>
      <c r="K61" s="117">
        <v>0</v>
      </c>
      <c r="L61" s="120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</row>
    <row r="62" spans="1:26" ht="18" customHeight="1" x14ac:dyDescent="0.3">
      <c r="A62" s="111" t="s">
        <v>215</v>
      </c>
      <c r="B62" s="111" t="s">
        <v>504</v>
      </c>
      <c r="C62" s="112" t="s">
        <v>398</v>
      </c>
      <c r="D62" s="113" t="s">
        <v>347</v>
      </c>
      <c r="E62" s="113" t="s">
        <v>354</v>
      </c>
      <c r="F62" s="113" t="s">
        <v>343</v>
      </c>
      <c r="G62" s="114">
        <v>106</v>
      </c>
      <c r="H62" s="115" t="s">
        <v>505</v>
      </c>
      <c r="I62" s="115" t="s">
        <v>506</v>
      </c>
      <c r="J62" s="113"/>
      <c r="K62" s="117">
        <v>0</v>
      </c>
      <c r="L62" s="120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</row>
    <row r="63" spans="1:26" ht="18.75" customHeight="1" x14ac:dyDescent="0.3">
      <c r="A63" s="111" t="s">
        <v>216</v>
      </c>
      <c r="B63" s="111" t="s">
        <v>507</v>
      </c>
      <c r="C63" s="112" t="s">
        <v>398</v>
      </c>
      <c r="D63" s="122" t="s">
        <v>350</v>
      </c>
      <c r="E63" s="122" t="s">
        <v>339</v>
      </c>
      <c r="F63" s="122" t="s">
        <v>339</v>
      </c>
      <c r="G63" s="123">
        <v>106</v>
      </c>
      <c r="H63" s="115" t="s">
        <v>508</v>
      </c>
      <c r="I63" s="115" t="s">
        <v>355</v>
      </c>
      <c r="J63" s="113"/>
      <c r="K63" s="117">
        <v>0</v>
      </c>
      <c r="L63" s="120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</row>
    <row r="64" spans="1:26" ht="18.75" customHeight="1" x14ac:dyDescent="0.3">
      <c r="A64" s="111" t="s">
        <v>217</v>
      </c>
      <c r="B64" s="111" t="s">
        <v>509</v>
      </c>
      <c r="C64" s="112" t="s">
        <v>338</v>
      </c>
      <c r="D64" s="122" t="s">
        <v>439</v>
      </c>
      <c r="E64" s="122" t="s">
        <v>339</v>
      </c>
      <c r="F64" s="122"/>
      <c r="G64" s="123">
        <v>53</v>
      </c>
      <c r="H64" s="115" t="s">
        <v>383</v>
      </c>
      <c r="I64" s="115" t="s">
        <v>384</v>
      </c>
      <c r="J64" s="113"/>
      <c r="K64" s="117">
        <v>0</v>
      </c>
      <c r="L64" s="120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</row>
    <row r="65" spans="1:26" ht="30" customHeight="1" x14ac:dyDescent="0.3">
      <c r="A65" s="111" t="s">
        <v>218</v>
      </c>
      <c r="B65" s="111" t="s">
        <v>510</v>
      </c>
      <c r="C65" s="112" t="s">
        <v>398</v>
      </c>
      <c r="D65" s="122" t="s">
        <v>347</v>
      </c>
      <c r="E65" s="122" t="s">
        <v>475</v>
      </c>
      <c r="F65" s="122" t="s">
        <v>343</v>
      </c>
      <c r="G65" s="123">
        <v>106</v>
      </c>
      <c r="H65" s="115" t="s">
        <v>505</v>
      </c>
      <c r="I65" s="115" t="s">
        <v>506</v>
      </c>
      <c r="J65" s="113"/>
      <c r="K65" s="117">
        <v>0</v>
      </c>
      <c r="L65" s="120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</row>
    <row r="66" spans="1:26" ht="18.75" customHeight="1" x14ac:dyDescent="0.3">
      <c r="A66" s="111" t="s">
        <v>219</v>
      </c>
      <c r="B66" s="111" t="s">
        <v>511</v>
      </c>
      <c r="C66" s="112" t="s">
        <v>398</v>
      </c>
      <c r="D66" s="122" t="s">
        <v>390</v>
      </c>
      <c r="E66" s="122" t="s">
        <v>339</v>
      </c>
      <c r="F66" s="122" t="s">
        <v>343</v>
      </c>
      <c r="G66" s="123">
        <v>106</v>
      </c>
      <c r="H66" s="115" t="s">
        <v>512</v>
      </c>
      <c r="I66" s="115" t="s">
        <v>513</v>
      </c>
      <c r="J66" s="113"/>
      <c r="K66" s="117">
        <v>0</v>
      </c>
      <c r="L66" s="120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</row>
    <row r="67" spans="1:26" ht="18.75" customHeight="1" x14ac:dyDescent="0.3">
      <c r="A67" s="111" t="s">
        <v>220</v>
      </c>
      <c r="B67" s="111" t="s">
        <v>514</v>
      </c>
      <c r="C67" s="112" t="s">
        <v>398</v>
      </c>
      <c r="D67" s="122" t="s">
        <v>350</v>
      </c>
      <c r="E67" s="122" t="s">
        <v>339</v>
      </c>
      <c r="F67" s="122" t="s">
        <v>343</v>
      </c>
      <c r="G67" s="123">
        <v>106</v>
      </c>
      <c r="H67" s="115" t="s">
        <v>515</v>
      </c>
      <c r="I67" s="115" t="s">
        <v>516</v>
      </c>
      <c r="J67" s="113"/>
      <c r="K67" s="117">
        <v>0</v>
      </c>
      <c r="L67" s="120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</row>
    <row r="68" spans="1:26" ht="18.75" customHeight="1" x14ac:dyDescent="0.3">
      <c r="A68" s="111" t="s">
        <v>221</v>
      </c>
      <c r="B68" s="111" t="s">
        <v>517</v>
      </c>
      <c r="C68" s="112" t="s">
        <v>398</v>
      </c>
      <c r="D68" s="122" t="s">
        <v>347</v>
      </c>
      <c r="E68" s="122" t="s">
        <v>343</v>
      </c>
      <c r="F68" s="122" t="s">
        <v>386</v>
      </c>
      <c r="G68" s="123">
        <v>106</v>
      </c>
      <c r="H68" s="115" t="s">
        <v>407</v>
      </c>
      <c r="I68" s="115" t="s">
        <v>408</v>
      </c>
      <c r="J68" s="113"/>
      <c r="K68" s="117">
        <v>0</v>
      </c>
      <c r="L68" s="120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</row>
    <row r="69" spans="1:26" ht="18" customHeight="1" x14ac:dyDescent="0.3">
      <c r="A69" s="111" t="s">
        <v>222</v>
      </c>
      <c r="B69" s="111" t="s">
        <v>518</v>
      </c>
      <c r="C69" s="112" t="s">
        <v>398</v>
      </c>
      <c r="D69" s="122" t="s">
        <v>475</v>
      </c>
      <c r="E69" s="122" t="s">
        <v>339</v>
      </c>
      <c r="F69" s="122" t="s">
        <v>343</v>
      </c>
      <c r="G69" s="123">
        <v>106</v>
      </c>
      <c r="H69" s="115" t="s">
        <v>519</v>
      </c>
      <c r="I69" s="115" t="s">
        <v>520</v>
      </c>
      <c r="J69" s="113"/>
      <c r="K69" s="117">
        <v>0</v>
      </c>
      <c r="L69" s="120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</row>
    <row r="70" spans="1:26" ht="18" customHeight="1" x14ac:dyDescent="0.3">
      <c r="A70" s="111" t="s">
        <v>223</v>
      </c>
      <c r="B70" s="111" t="s">
        <v>521</v>
      </c>
      <c r="C70" s="112" t="s">
        <v>338</v>
      </c>
      <c r="D70" s="122" t="s">
        <v>394</v>
      </c>
      <c r="E70" s="122" t="s">
        <v>439</v>
      </c>
      <c r="F70" s="122"/>
      <c r="G70" s="123">
        <v>53</v>
      </c>
      <c r="H70" s="115" t="s">
        <v>441</v>
      </c>
      <c r="I70" s="115" t="s">
        <v>442</v>
      </c>
      <c r="J70" s="113"/>
      <c r="K70" s="117">
        <v>0</v>
      </c>
      <c r="L70" s="120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</row>
    <row r="71" spans="1:26" ht="18" customHeight="1" x14ac:dyDescent="0.3">
      <c r="A71" s="111" t="s">
        <v>522</v>
      </c>
      <c r="B71" s="111" t="s">
        <v>523</v>
      </c>
      <c r="C71" s="112" t="s">
        <v>338</v>
      </c>
      <c r="D71" s="122" t="s">
        <v>435</v>
      </c>
      <c r="E71" s="122" t="s">
        <v>339</v>
      </c>
      <c r="F71" s="122"/>
      <c r="G71" s="123">
        <v>53</v>
      </c>
      <c r="H71" s="115" t="s">
        <v>383</v>
      </c>
      <c r="I71" s="115" t="s">
        <v>384</v>
      </c>
      <c r="J71" s="113"/>
      <c r="K71" s="117">
        <v>0</v>
      </c>
      <c r="L71" s="120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</row>
    <row r="72" spans="1:26" ht="18" customHeight="1" x14ac:dyDescent="0.3">
      <c r="A72" s="111" t="s">
        <v>224</v>
      </c>
      <c r="B72" s="111" t="s">
        <v>524</v>
      </c>
      <c r="C72" s="112" t="s">
        <v>338</v>
      </c>
      <c r="D72" s="122" t="s">
        <v>364</v>
      </c>
      <c r="E72" s="122" t="s">
        <v>339</v>
      </c>
      <c r="F72" s="122"/>
      <c r="G72" s="123">
        <v>53</v>
      </c>
      <c r="H72" s="115" t="s">
        <v>383</v>
      </c>
      <c r="I72" s="115" t="s">
        <v>384</v>
      </c>
      <c r="J72" s="113"/>
      <c r="K72" s="117">
        <v>0</v>
      </c>
      <c r="L72" s="120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</row>
    <row r="73" spans="1:26" ht="18" customHeight="1" x14ac:dyDescent="0.3">
      <c r="A73" s="111" t="s">
        <v>225</v>
      </c>
      <c r="B73" s="111" t="s">
        <v>525</v>
      </c>
      <c r="C73" s="112" t="s">
        <v>398</v>
      </c>
      <c r="D73" s="122" t="s">
        <v>526</v>
      </c>
      <c r="E73" s="122" t="s">
        <v>343</v>
      </c>
      <c r="F73" s="122" t="s">
        <v>343</v>
      </c>
      <c r="G73" s="123">
        <v>106</v>
      </c>
      <c r="H73" s="115" t="s">
        <v>527</v>
      </c>
      <c r="I73" s="115" t="s">
        <v>528</v>
      </c>
      <c r="J73" s="113"/>
      <c r="K73" s="117">
        <v>0</v>
      </c>
      <c r="L73" s="120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</row>
    <row r="74" spans="1:26" ht="19.5" customHeight="1" x14ac:dyDescent="0.3">
      <c r="A74" s="111" t="s">
        <v>226</v>
      </c>
      <c r="B74" s="111" t="s">
        <v>529</v>
      </c>
      <c r="C74" s="112" t="s">
        <v>398</v>
      </c>
      <c r="D74" s="122" t="s">
        <v>347</v>
      </c>
      <c r="E74" s="122" t="s">
        <v>339</v>
      </c>
      <c r="F74" s="122" t="s">
        <v>386</v>
      </c>
      <c r="G74" s="123">
        <v>106</v>
      </c>
      <c r="H74" s="115" t="s">
        <v>530</v>
      </c>
      <c r="I74" s="115" t="s">
        <v>531</v>
      </c>
      <c r="J74" s="113"/>
      <c r="K74" s="117">
        <v>0</v>
      </c>
      <c r="L74" s="120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</row>
    <row r="75" spans="1:26" ht="19.5" customHeight="1" x14ac:dyDescent="0.3">
      <c r="A75" s="111" t="s">
        <v>227</v>
      </c>
      <c r="B75" s="111" t="s">
        <v>532</v>
      </c>
      <c r="C75" s="112" t="s">
        <v>338</v>
      </c>
      <c r="D75" s="122" t="s">
        <v>475</v>
      </c>
      <c r="E75" s="122" t="s">
        <v>339</v>
      </c>
      <c r="F75" s="122"/>
      <c r="G75" s="123">
        <v>53</v>
      </c>
      <c r="H75" s="115" t="s">
        <v>457</v>
      </c>
      <c r="I75" s="115" t="s">
        <v>458</v>
      </c>
      <c r="J75" s="113"/>
      <c r="K75" s="117">
        <v>0</v>
      </c>
      <c r="L75" s="120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</row>
    <row r="76" spans="1:26" ht="31.5" customHeight="1" x14ac:dyDescent="0.3">
      <c r="A76" s="111" t="s">
        <v>228</v>
      </c>
      <c r="B76" s="111" t="s">
        <v>533</v>
      </c>
      <c r="C76" s="112" t="s">
        <v>398</v>
      </c>
      <c r="D76" s="124" t="s">
        <v>497</v>
      </c>
      <c r="E76" s="124" t="s">
        <v>339</v>
      </c>
      <c r="F76" s="124" t="s">
        <v>343</v>
      </c>
      <c r="G76" s="123">
        <v>106</v>
      </c>
      <c r="H76" s="115" t="s">
        <v>534</v>
      </c>
      <c r="I76" s="115" t="s">
        <v>535</v>
      </c>
      <c r="J76" s="113"/>
      <c r="K76" s="117">
        <v>0</v>
      </c>
      <c r="L76" s="120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</row>
    <row r="77" spans="1:26" ht="31.5" customHeight="1" x14ac:dyDescent="0.3">
      <c r="A77" s="111" t="s">
        <v>229</v>
      </c>
      <c r="B77" s="111" t="s">
        <v>536</v>
      </c>
      <c r="C77" s="112" t="s">
        <v>398</v>
      </c>
      <c r="D77" s="124" t="s">
        <v>347</v>
      </c>
      <c r="E77" s="124" t="s">
        <v>378</v>
      </c>
      <c r="F77" s="124" t="s">
        <v>343</v>
      </c>
      <c r="G77" s="123">
        <v>106</v>
      </c>
      <c r="H77" s="115" t="s">
        <v>512</v>
      </c>
      <c r="I77" s="115" t="s">
        <v>513</v>
      </c>
      <c r="J77" s="113"/>
      <c r="K77" s="117">
        <v>0</v>
      </c>
      <c r="L77" s="120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</row>
    <row r="78" spans="1:26" ht="31.5" customHeight="1" x14ac:dyDescent="0.3">
      <c r="A78" s="111" t="s">
        <v>230</v>
      </c>
      <c r="B78" s="111" t="s">
        <v>537</v>
      </c>
      <c r="C78" s="112" t="s">
        <v>398</v>
      </c>
      <c r="D78" s="124" t="s">
        <v>368</v>
      </c>
      <c r="E78" s="124" t="s">
        <v>343</v>
      </c>
      <c r="F78" s="124" t="s">
        <v>343</v>
      </c>
      <c r="G78" s="123">
        <v>106</v>
      </c>
      <c r="H78" s="115" t="s">
        <v>527</v>
      </c>
      <c r="I78" s="115" t="s">
        <v>528</v>
      </c>
      <c r="J78" s="113"/>
      <c r="K78" s="117">
        <v>0</v>
      </c>
      <c r="L78" s="120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</row>
    <row r="79" spans="1:26" ht="31.5" customHeight="1" x14ac:dyDescent="0.3">
      <c r="A79" s="111" t="s">
        <v>231</v>
      </c>
      <c r="B79" s="111" t="s">
        <v>538</v>
      </c>
      <c r="C79" s="112" t="s">
        <v>398</v>
      </c>
      <c r="D79" s="124" t="s">
        <v>421</v>
      </c>
      <c r="E79" s="124" t="s">
        <v>343</v>
      </c>
      <c r="F79" s="124" t="s">
        <v>343</v>
      </c>
      <c r="G79" s="123">
        <v>106</v>
      </c>
      <c r="H79" s="115" t="s">
        <v>512</v>
      </c>
      <c r="I79" s="115" t="s">
        <v>513</v>
      </c>
      <c r="J79" s="113"/>
      <c r="K79" s="117">
        <v>0</v>
      </c>
      <c r="L79" s="120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</row>
    <row r="80" spans="1:26" ht="31.5" customHeight="1" x14ac:dyDescent="0.3">
      <c r="A80" s="111" t="s">
        <v>232</v>
      </c>
      <c r="B80" s="111" t="s">
        <v>539</v>
      </c>
      <c r="C80" s="112" t="s">
        <v>398</v>
      </c>
      <c r="D80" s="124" t="s">
        <v>439</v>
      </c>
      <c r="E80" s="124" t="s">
        <v>339</v>
      </c>
      <c r="F80" s="124" t="s">
        <v>343</v>
      </c>
      <c r="G80" s="123">
        <v>106</v>
      </c>
      <c r="H80" s="115" t="s">
        <v>540</v>
      </c>
      <c r="I80" s="115" t="s">
        <v>541</v>
      </c>
      <c r="J80" s="113"/>
      <c r="K80" s="117">
        <v>0</v>
      </c>
      <c r="L80" s="120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</row>
    <row r="81" spans="1:26" ht="31.5" customHeight="1" x14ac:dyDescent="0.3">
      <c r="A81" s="111" t="s">
        <v>233</v>
      </c>
      <c r="B81" s="111" t="s">
        <v>542</v>
      </c>
      <c r="C81" s="112" t="s">
        <v>398</v>
      </c>
      <c r="D81" s="124" t="s">
        <v>362</v>
      </c>
      <c r="E81" s="124" t="s">
        <v>343</v>
      </c>
      <c r="F81" s="124" t="s">
        <v>343</v>
      </c>
      <c r="G81" s="123">
        <v>106</v>
      </c>
      <c r="H81" s="115" t="s">
        <v>512</v>
      </c>
      <c r="I81" s="115" t="s">
        <v>513</v>
      </c>
      <c r="J81" s="113"/>
      <c r="K81" s="117">
        <v>0</v>
      </c>
      <c r="L81" s="120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</row>
    <row r="82" spans="1:26" ht="31.5" customHeight="1" x14ac:dyDescent="0.3">
      <c r="A82" s="111" t="s">
        <v>234</v>
      </c>
      <c r="B82" s="111" t="s">
        <v>543</v>
      </c>
      <c r="C82" s="112" t="s">
        <v>338</v>
      </c>
      <c r="D82" s="124" t="s">
        <v>448</v>
      </c>
      <c r="E82" s="124" t="s">
        <v>394</v>
      </c>
      <c r="F82" s="124"/>
      <c r="G82" s="123">
        <v>53</v>
      </c>
      <c r="H82" s="115" t="s">
        <v>544</v>
      </c>
      <c r="I82" s="115" t="s">
        <v>545</v>
      </c>
      <c r="J82" s="113"/>
      <c r="K82" s="117">
        <v>0</v>
      </c>
      <c r="L82" s="120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</row>
    <row r="83" spans="1:26" ht="31.5" customHeight="1" x14ac:dyDescent="0.3">
      <c r="A83" s="111" t="s">
        <v>235</v>
      </c>
      <c r="B83" s="111" t="s">
        <v>546</v>
      </c>
      <c r="C83" s="112" t="s">
        <v>338</v>
      </c>
      <c r="D83" s="124" t="s">
        <v>386</v>
      </c>
      <c r="E83" s="124" t="s">
        <v>374</v>
      </c>
      <c r="F83" s="124"/>
      <c r="G83" s="123">
        <v>53</v>
      </c>
      <c r="H83" s="115" t="s">
        <v>547</v>
      </c>
      <c r="I83" s="115" t="s">
        <v>548</v>
      </c>
      <c r="J83" s="113"/>
      <c r="K83" s="117">
        <v>0</v>
      </c>
      <c r="L83" s="120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</row>
    <row r="84" spans="1:26" ht="31.5" customHeight="1" x14ac:dyDescent="0.3">
      <c r="A84" s="111" t="s">
        <v>236</v>
      </c>
      <c r="B84" s="111" t="s">
        <v>549</v>
      </c>
      <c r="C84" s="112" t="s">
        <v>338</v>
      </c>
      <c r="D84" s="124" t="s">
        <v>394</v>
      </c>
      <c r="E84" s="124" t="s">
        <v>368</v>
      </c>
      <c r="F84" s="124"/>
      <c r="G84" s="123">
        <v>53</v>
      </c>
      <c r="H84" s="115" t="s">
        <v>550</v>
      </c>
      <c r="I84" s="115" t="s">
        <v>391</v>
      </c>
      <c r="J84" s="113"/>
      <c r="K84" s="117">
        <v>0</v>
      </c>
      <c r="L84" s="120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</row>
    <row r="85" spans="1:26" ht="31.5" customHeight="1" x14ac:dyDescent="0.3">
      <c r="A85" s="111" t="s">
        <v>237</v>
      </c>
      <c r="B85" s="111" t="s">
        <v>551</v>
      </c>
      <c r="C85" s="112" t="s">
        <v>338</v>
      </c>
      <c r="D85" s="124" t="s">
        <v>394</v>
      </c>
      <c r="E85" s="124" t="s">
        <v>378</v>
      </c>
      <c r="F85" s="124"/>
      <c r="G85" s="123">
        <v>53</v>
      </c>
      <c r="H85" s="115" t="s">
        <v>552</v>
      </c>
      <c r="I85" s="115" t="s">
        <v>553</v>
      </c>
      <c r="J85" s="113"/>
      <c r="K85" s="117">
        <v>0</v>
      </c>
      <c r="L85" s="120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</row>
    <row r="86" spans="1:26" ht="31.5" customHeight="1" x14ac:dyDescent="0.3">
      <c r="A86" s="111" t="s">
        <v>238</v>
      </c>
      <c r="B86" s="111" t="s">
        <v>554</v>
      </c>
      <c r="C86" s="112" t="s">
        <v>338</v>
      </c>
      <c r="D86" s="124" t="s">
        <v>339</v>
      </c>
      <c r="E86" s="124" t="s">
        <v>378</v>
      </c>
      <c r="F86" s="124"/>
      <c r="G86" s="123">
        <v>53</v>
      </c>
      <c r="H86" s="115" t="s">
        <v>555</v>
      </c>
      <c r="I86" s="115" t="s">
        <v>556</v>
      </c>
      <c r="J86" s="113"/>
      <c r="K86" s="117">
        <v>0</v>
      </c>
      <c r="L86" s="120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</row>
    <row r="87" spans="1:26" ht="31.5" customHeight="1" x14ac:dyDescent="0.3">
      <c r="A87" s="111" t="s">
        <v>239</v>
      </c>
      <c r="B87" s="111" t="s">
        <v>557</v>
      </c>
      <c r="C87" s="112" t="s">
        <v>398</v>
      </c>
      <c r="D87" s="124" t="s">
        <v>473</v>
      </c>
      <c r="E87" s="124" t="s">
        <v>339</v>
      </c>
      <c r="F87" s="124" t="s">
        <v>343</v>
      </c>
      <c r="G87" s="123">
        <v>106</v>
      </c>
      <c r="H87" s="115" t="s">
        <v>534</v>
      </c>
      <c r="I87" s="115" t="s">
        <v>535</v>
      </c>
      <c r="J87" s="113"/>
      <c r="K87" s="117">
        <v>0</v>
      </c>
      <c r="L87" s="120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</row>
    <row r="88" spans="1:26" ht="31.5" customHeight="1" x14ac:dyDescent="0.3">
      <c r="A88" s="111" t="s">
        <v>240</v>
      </c>
      <c r="B88" s="111" t="s">
        <v>558</v>
      </c>
      <c r="C88" s="112" t="s">
        <v>338</v>
      </c>
      <c r="D88" s="124" t="s">
        <v>390</v>
      </c>
      <c r="E88" s="124" t="s">
        <v>435</v>
      </c>
      <c r="F88" s="124"/>
      <c r="G88" s="123">
        <v>53</v>
      </c>
      <c r="H88" s="115" t="s">
        <v>559</v>
      </c>
      <c r="I88" s="115" t="s">
        <v>560</v>
      </c>
      <c r="J88" s="113"/>
      <c r="K88" s="117">
        <v>0</v>
      </c>
      <c r="L88" s="120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</row>
    <row r="89" spans="1:26" ht="31.5" customHeight="1" x14ac:dyDescent="0.3">
      <c r="A89" s="111" t="s">
        <v>241</v>
      </c>
      <c r="B89" s="111" t="s">
        <v>561</v>
      </c>
      <c r="C89" s="112" t="s">
        <v>338</v>
      </c>
      <c r="D89" s="124" t="s">
        <v>374</v>
      </c>
      <c r="E89" s="124" t="s">
        <v>374</v>
      </c>
      <c r="F89" s="124"/>
      <c r="G89" s="123">
        <v>53</v>
      </c>
      <c r="H89" s="115" t="s">
        <v>396</v>
      </c>
      <c r="I89" s="115" t="s">
        <v>555</v>
      </c>
      <c r="J89" s="113"/>
      <c r="K89" s="117">
        <v>0</v>
      </c>
      <c r="L89" s="120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</row>
    <row r="90" spans="1:26" ht="31.5" customHeight="1" x14ac:dyDescent="0.3">
      <c r="A90" s="111" t="s">
        <v>242</v>
      </c>
      <c r="B90" s="111" t="s">
        <v>562</v>
      </c>
      <c r="C90" s="112" t="s">
        <v>338</v>
      </c>
      <c r="D90" s="124" t="s">
        <v>394</v>
      </c>
      <c r="E90" s="124" t="s">
        <v>354</v>
      </c>
      <c r="F90" s="124"/>
      <c r="G90" s="123">
        <v>53</v>
      </c>
      <c r="H90" s="115" t="s">
        <v>550</v>
      </c>
      <c r="I90" s="115" t="s">
        <v>391</v>
      </c>
      <c r="J90" s="113"/>
      <c r="K90" s="117">
        <v>0</v>
      </c>
      <c r="L90" s="120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</row>
    <row r="91" spans="1:26" ht="31.5" customHeight="1" x14ac:dyDescent="0.3">
      <c r="A91" s="111" t="s">
        <v>243</v>
      </c>
      <c r="B91" s="111" t="s">
        <v>563</v>
      </c>
      <c r="C91" s="112" t="s">
        <v>398</v>
      </c>
      <c r="D91" s="124" t="s">
        <v>390</v>
      </c>
      <c r="E91" s="124" t="s">
        <v>339</v>
      </c>
      <c r="F91" s="124" t="s">
        <v>374</v>
      </c>
      <c r="G91" s="123">
        <v>106</v>
      </c>
      <c r="H91" s="115" t="s">
        <v>564</v>
      </c>
      <c r="I91" s="115" t="s">
        <v>565</v>
      </c>
      <c r="J91" s="113"/>
      <c r="K91" s="117">
        <v>0</v>
      </c>
      <c r="L91" s="120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</row>
    <row r="92" spans="1:26" ht="31.5" customHeight="1" x14ac:dyDescent="0.3">
      <c r="A92" s="111" t="s">
        <v>244</v>
      </c>
      <c r="B92" s="111" t="s">
        <v>566</v>
      </c>
      <c r="C92" s="112" t="s">
        <v>398</v>
      </c>
      <c r="D92" s="124" t="s">
        <v>370</v>
      </c>
      <c r="E92" s="124" t="s">
        <v>343</v>
      </c>
      <c r="F92" s="124" t="s">
        <v>343</v>
      </c>
      <c r="G92" s="123">
        <v>106</v>
      </c>
      <c r="H92" s="115" t="s">
        <v>567</v>
      </c>
      <c r="I92" s="115" t="s">
        <v>451</v>
      </c>
      <c r="J92" s="116">
        <v>-40</v>
      </c>
      <c r="K92" s="117">
        <v>-34</v>
      </c>
      <c r="L92" s="120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</row>
    <row r="93" spans="1:26" ht="30" customHeight="1" x14ac:dyDescent="0.3">
      <c r="A93" s="111" t="s">
        <v>245</v>
      </c>
      <c r="B93" s="111" t="s">
        <v>568</v>
      </c>
      <c r="C93" s="112" t="s">
        <v>398</v>
      </c>
      <c r="D93" s="124" t="s">
        <v>347</v>
      </c>
      <c r="E93" s="124" t="s">
        <v>421</v>
      </c>
      <c r="F93" s="124" t="s">
        <v>343</v>
      </c>
      <c r="G93" s="123">
        <v>106</v>
      </c>
      <c r="H93" s="115" t="s">
        <v>569</v>
      </c>
      <c r="I93" s="115" t="s">
        <v>441</v>
      </c>
      <c r="J93" s="113"/>
      <c r="K93" s="117">
        <v>0</v>
      </c>
      <c r="L93" s="120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</row>
    <row r="94" spans="1:26" ht="30" customHeight="1" x14ac:dyDescent="0.3">
      <c r="A94" s="111" t="s">
        <v>246</v>
      </c>
      <c r="B94" s="111" t="s">
        <v>570</v>
      </c>
      <c r="C94" s="112" t="s">
        <v>338</v>
      </c>
      <c r="D94" s="124" t="s">
        <v>571</v>
      </c>
      <c r="E94" s="124" t="s">
        <v>343</v>
      </c>
      <c r="F94" s="124"/>
      <c r="G94" s="123">
        <v>53</v>
      </c>
      <c r="H94" s="115" t="s">
        <v>371</v>
      </c>
      <c r="I94" s="115" t="s">
        <v>372</v>
      </c>
      <c r="J94" s="116">
        <v>-21</v>
      </c>
      <c r="K94" s="117">
        <v>-18</v>
      </c>
      <c r="L94" s="120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</row>
    <row r="95" spans="1:26" ht="30" customHeight="1" x14ac:dyDescent="0.3">
      <c r="A95" s="111" t="s">
        <v>247</v>
      </c>
      <c r="B95" s="111" t="s">
        <v>572</v>
      </c>
      <c r="C95" s="112" t="s">
        <v>398</v>
      </c>
      <c r="D95" s="124" t="s">
        <v>475</v>
      </c>
      <c r="E95" s="124" t="s">
        <v>343</v>
      </c>
      <c r="F95" s="124" t="s">
        <v>343</v>
      </c>
      <c r="G95" s="123">
        <v>106</v>
      </c>
      <c r="H95" s="115" t="s">
        <v>527</v>
      </c>
      <c r="I95" s="115" t="s">
        <v>528</v>
      </c>
      <c r="J95" s="113"/>
      <c r="K95" s="117">
        <v>0</v>
      </c>
      <c r="L95" s="120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</row>
    <row r="96" spans="1:26" ht="30" customHeight="1" x14ac:dyDescent="0.3">
      <c r="A96" s="111" t="s">
        <v>248</v>
      </c>
      <c r="B96" s="111" t="s">
        <v>573</v>
      </c>
      <c r="C96" s="112" t="s">
        <v>398</v>
      </c>
      <c r="D96" s="124" t="s">
        <v>439</v>
      </c>
      <c r="E96" s="124" t="s">
        <v>343</v>
      </c>
      <c r="F96" s="124" t="s">
        <v>343</v>
      </c>
      <c r="G96" s="123">
        <v>106</v>
      </c>
      <c r="H96" s="115" t="s">
        <v>436</v>
      </c>
      <c r="I96" s="115" t="s">
        <v>437</v>
      </c>
      <c r="J96" s="113"/>
      <c r="K96" s="117">
        <v>0</v>
      </c>
      <c r="L96" s="120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</row>
    <row r="97" spans="1:26" ht="30" customHeight="1" x14ac:dyDescent="0.3">
      <c r="A97" s="111" t="s">
        <v>249</v>
      </c>
      <c r="B97" s="111" t="s">
        <v>574</v>
      </c>
      <c r="C97" s="112" t="s">
        <v>398</v>
      </c>
      <c r="D97" s="124" t="s">
        <v>347</v>
      </c>
      <c r="E97" s="124" t="s">
        <v>362</v>
      </c>
      <c r="F97" s="124" t="s">
        <v>343</v>
      </c>
      <c r="G97" s="123">
        <v>106</v>
      </c>
      <c r="H97" s="115" t="s">
        <v>569</v>
      </c>
      <c r="I97" s="115" t="s">
        <v>441</v>
      </c>
      <c r="J97" s="113"/>
      <c r="K97" s="117">
        <v>0</v>
      </c>
      <c r="L97" s="120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</row>
    <row r="98" spans="1:26" ht="30" customHeight="1" x14ac:dyDescent="0.3">
      <c r="A98" s="111" t="s">
        <v>250</v>
      </c>
      <c r="B98" s="111" t="s">
        <v>575</v>
      </c>
      <c r="C98" s="112" t="s">
        <v>338</v>
      </c>
      <c r="D98" s="124" t="s">
        <v>347</v>
      </c>
      <c r="E98" s="124" t="s">
        <v>386</v>
      </c>
      <c r="F98" s="124"/>
      <c r="G98" s="123">
        <v>53</v>
      </c>
      <c r="H98" s="115" t="s">
        <v>576</v>
      </c>
      <c r="I98" s="115" t="s">
        <v>577</v>
      </c>
      <c r="J98" s="113"/>
      <c r="K98" s="117">
        <v>0</v>
      </c>
      <c r="L98" s="120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</row>
    <row r="99" spans="1:26" ht="30" customHeight="1" x14ac:dyDescent="0.3">
      <c r="A99" s="111" t="s">
        <v>251</v>
      </c>
      <c r="B99" s="111" t="s">
        <v>578</v>
      </c>
      <c r="C99" s="112" t="s">
        <v>338</v>
      </c>
      <c r="D99" s="124" t="s">
        <v>386</v>
      </c>
      <c r="E99" s="124" t="s">
        <v>350</v>
      </c>
      <c r="F99" s="124"/>
      <c r="G99" s="123">
        <v>53</v>
      </c>
      <c r="H99" s="115" t="s">
        <v>579</v>
      </c>
      <c r="I99" s="115" t="s">
        <v>580</v>
      </c>
      <c r="J99" s="113"/>
      <c r="K99" s="117">
        <v>0</v>
      </c>
      <c r="L99" s="120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</row>
    <row r="100" spans="1:26" ht="30" customHeight="1" x14ac:dyDescent="0.3">
      <c r="A100" s="111" t="s">
        <v>252</v>
      </c>
      <c r="B100" s="111" t="s">
        <v>581</v>
      </c>
      <c r="C100" s="112" t="s">
        <v>338</v>
      </c>
      <c r="D100" s="124" t="s">
        <v>390</v>
      </c>
      <c r="E100" s="124" t="s">
        <v>374</v>
      </c>
      <c r="F100" s="124"/>
      <c r="G100" s="123">
        <v>53</v>
      </c>
      <c r="H100" s="115" t="s">
        <v>582</v>
      </c>
      <c r="I100" s="115" t="s">
        <v>583</v>
      </c>
      <c r="J100" s="113"/>
      <c r="K100" s="117">
        <v>0</v>
      </c>
      <c r="L100" s="120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</row>
    <row r="101" spans="1:26" ht="30" customHeight="1" x14ac:dyDescent="0.3">
      <c r="A101" s="111" t="s">
        <v>253</v>
      </c>
      <c r="B101" s="111" t="s">
        <v>584</v>
      </c>
      <c r="C101" s="112" t="s">
        <v>398</v>
      </c>
      <c r="D101" s="124" t="s">
        <v>378</v>
      </c>
      <c r="E101" s="124" t="s">
        <v>339</v>
      </c>
      <c r="F101" s="124" t="s">
        <v>339</v>
      </c>
      <c r="G101" s="123">
        <v>106</v>
      </c>
      <c r="H101" s="115" t="s">
        <v>455</v>
      </c>
      <c r="I101" s="115" t="s">
        <v>585</v>
      </c>
      <c r="J101" s="116">
        <v>-50</v>
      </c>
      <c r="K101" s="117">
        <v>-43</v>
      </c>
      <c r="L101" s="120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</row>
    <row r="102" spans="1:26" ht="30" customHeight="1" x14ac:dyDescent="0.3">
      <c r="A102" s="111" t="s">
        <v>254</v>
      </c>
      <c r="B102" s="111" t="s">
        <v>586</v>
      </c>
      <c r="C102" s="112" t="s">
        <v>398</v>
      </c>
      <c r="D102" s="124" t="s">
        <v>433</v>
      </c>
      <c r="E102" s="124" t="s">
        <v>343</v>
      </c>
      <c r="F102" s="124" t="s">
        <v>343</v>
      </c>
      <c r="G102" s="123">
        <v>106</v>
      </c>
      <c r="H102" s="115" t="s">
        <v>512</v>
      </c>
      <c r="I102" s="115" t="s">
        <v>513</v>
      </c>
      <c r="J102" s="113"/>
      <c r="K102" s="117">
        <v>0</v>
      </c>
      <c r="L102" s="120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</row>
    <row r="103" spans="1:26" ht="30" customHeight="1" x14ac:dyDescent="0.3">
      <c r="A103" s="111" t="s">
        <v>255</v>
      </c>
      <c r="B103" s="111" t="s">
        <v>587</v>
      </c>
      <c r="C103" s="112" t="s">
        <v>338</v>
      </c>
      <c r="D103" s="124" t="s">
        <v>526</v>
      </c>
      <c r="E103" s="124" t="s">
        <v>343</v>
      </c>
      <c r="F103" s="124"/>
      <c r="G103" s="123">
        <v>53</v>
      </c>
      <c r="H103" s="115" t="s">
        <v>355</v>
      </c>
      <c r="I103" s="115" t="s">
        <v>356</v>
      </c>
      <c r="J103" s="113"/>
      <c r="K103" s="117">
        <v>0</v>
      </c>
      <c r="L103" s="120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</row>
    <row r="104" spans="1:26" ht="30" customHeight="1" x14ac:dyDescent="0.3">
      <c r="A104" s="111" t="s">
        <v>256</v>
      </c>
      <c r="B104" s="111" t="s">
        <v>588</v>
      </c>
      <c r="C104" s="112" t="s">
        <v>338</v>
      </c>
      <c r="D104" s="124" t="s">
        <v>350</v>
      </c>
      <c r="E104" s="124" t="s">
        <v>350</v>
      </c>
      <c r="F104" s="124"/>
      <c r="G104" s="123">
        <v>53</v>
      </c>
      <c r="H104" s="115" t="s">
        <v>589</v>
      </c>
      <c r="I104" s="115" t="s">
        <v>590</v>
      </c>
      <c r="J104" s="113"/>
      <c r="K104" s="117">
        <v>0</v>
      </c>
      <c r="L104" s="120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</row>
    <row r="105" spans="1:26" ht="30" customHeight="1" x14ac:dyDescent="0.3">
      <c r="A105" s="111" t="s">
        <v>257</v>
      </c>
      <c r="B105" s="111" t="s">
        <v>591</v>
      </c>
      <c r="C105" s="112" t="s">
        <v>398</v>
      </c>
      <c r="D105" s="124" t="s">
        <v>364</v>
      </c>
      <c r="E105" s="124" t="s">
        <v>339</v>
      </c>
      <c r="F105" s="124" t="s">
        <v>343</v>
      </c>
      <c r="G105" s="123">
        <v>106</v>
      </c>
      <c r="H105" s="115" t="s">
        <v>540</v>
      </c>
      <c r="I105" s="115" t="s">
        <v>541</v>
      </c>
      <c r="J105" s="113"/>
      <c r="K105" s="117">
        <v>0</v>
      </c>
      <c r="L105" s="120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</row>
    <row r="106" spans="1:26" ht="30" customHeight="1" x14ac:dyDescent="0.3">
      <c r="A106" s="111" t="s">
        <v>258</v>
      </c>
      <c r="B106" s="111" t="s">
        <v>592</v>
      </c>
      <c r="C106" s="112" t="s">
        <v>338</v>
      </c>
      <c r="D106" s="124" t="s">
        <v>448</v>
      </c>
      <c r="E106" s="124" t="s">
        <v>339</v>
      </c>
      <c r="F106" s="124"/>
      <c r="G106" s="123">
        <v>53</v>
      </c>
      <c r="H106" s="115" t="s">
        <v>593</v>
      </c>
      <c r="I106" s="115" t="s">
        <v>594</v>
      </c>
      <c r="J106" s="116">
        <v>-15</v>
      </c>
      <c r="K106" s="117">
        <v>-13</v>
      </c>
      <c r="L106" s="120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</row>
    <row r="107" spans="1:26" ht="30" customHeight="1" x14ac:dyDescent="0.3">
      <c r="A107" s="111" t="s">
        <v>259</v>
      </c>
      <c r="B107" s="111" t="s">
        <v>595</v>
      </c>
      <c r="C107" s="112" t="s">
        <v>338</v>
      </c>
      <c r="D107" s="124" t="s">
        <v>596</v>
      </c>
      <c r="E107" s="124" t="s">
        <v>350</v>
      </c>
      <c r="F107" s="124"/>
      <c r="G107" s="123">
        <v>53</v>
      </c>
      <c r="H107" s="115" t="s">
        <v>425</v>
      </c>
      <c r="I107" s="115" t="s">
        <v>387</v>
      </c>
      <c r="J107" s="113"/>
      <c r="K107" s="117">
        <v>0</v>
      </c>
      <c r="L107" s="120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</row>
    <row r="108" spans="1:26" ht="30" customHeight="1" x14ac:dyDescent="0.3">
      <c r="A108" s="111" t="s">
        <v>260</v>
      </c>
      <c r="B108" s="111" t="s">
        <v>597</v>
      </c>
      <c r="C108" s="112" t="s">
        <v>398</v>
      </c>
      <c r="D108" s="124" t="s">
        <v>382</v>
      </c>
      <c r="E108" s="124" t="s">
        <v>343</v>
      </c>
      <c r="F108" s="124" t="s">
        <v>343</v>
      </c>
      <c r="G108" s="123">
        <v>106</v>
      </c>
      <c r="H108" s="115" t="s">
        <v>540</v>
      </c>
      <c r="I108" s="115" t="s">
        <v>541</v>
      </c>
      <c r="J108" s="113"/>
      <c r="K108" s="117">
        <v>0</v>
      </c>
      <c r="L108" s="120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</row>
    <row r="109" spans="1:26" ht="30" customHeight="1" x14ac:dyDescent="0.3">
      <c r="A109" s="111" t="s">
        <v>261</v>
      </c>
      <c r="B109" s="111" t="s">
        <v>598</v>
      </c>
      <c r="C109" s="112" t="s">
        <v>338</v>
      </c>
      <c r="D109" s="124" t="s">
        <v>347</v>
      </c>
      <c r="E109" s="124" t="s">
        <v>339</v>
      </c>
      <c r="F109" s="124"/>
      <c r="G109" s="123">
        <v>53</v>
      </c>
      <c r="H109" s="115" t="s">
        <v>599</v>
      </c>
      <c r="I109" s="115" t="s">
        <v>600</v>
      </c>
      <c r="J109" s="116">
        <v>-51</v>
      </c>
      <c r="K109" s="117">
        <v>-44</v>
      </c>
      <c r="L109" s="120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</row>
    <row r="110" spans="1:26" ht="30" customHeight="1" x14ac:dyDescent="0.3">
      <c r="A110" s="111" t="s">
        <v>262</v>
      </c>
      <c r="B110" s="111" t="s">
        <v>601</v>
      </c>
      <c r="C110" s="112" t="s">
        <v>398</v>
      </c>
      <c r="D110" s="124" t="s">
        <v>386</v>
      </c>
      <c r="E110" s="124" t="s">
        <v>374</v>
      </c>
      <c r="F110" s="124" t="s">
        <v>386</v>
      </c>
      <c r="G110" s="123">
        <v>106</v>
      </c>
      <c r="H110" s="115" t="s">
        <v>602</v>
      </c>
      <c r="I110" s="115" t="s">
        <v>603</v>
      </c>
      <c r="J110" s="113"/>
      <c r="K110" s="117">
        <v>0</v>
      </c>
      <c r="L110" s="120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</row>
    <row r="111" spans="1:26" ht="30" customHeight="1" x14ac:dyDescent="0.3">
      <c r="A111" s="111" t="s">
        <v>263</v>
      </c>
      <c r="B111" s="111" t="s">
        <v>604</v>
      </c>
      <c r="C111" s="112" t="s">
        <v>338</v>
      </c>
      <c r="D111" s="124" t="s">
        <v>390</v>
      </c>
      <c r="E111" s="124" t="s">
        <v>596</v>
      </c>
      <c r="F111" s="124"/>
      <c r="G111" s="123">
        <v>53</v>
      </c>
      <c r="H111" s="115" t="s">
        <v>605</v>
      </c>
      <c r="I111" s="115" t="s">
        <v>606</v>
      </c>
      <c r="J111" s="113"/>
      <c r="K111" s="117">
        <v>0</v>
      </c>
      <c r="L111" s="120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</row>
    <row r="112" spans="1:26" ht="30" customHeight="1" x14ac:dyDescent="0.3">
      <c r="A112" s="111" t="s">
        <v>264</v>
      </c>
      <c r="B112" s="111" t="s">
        <v>607</v>
      </c>
      <c r="C112" s="112" t="s">
        <v>398</v>
      </c>
      <c r="D112" s="124" t="s">
        <v>390</v>
      </c>
      <c r="E112" s="124" t="s">
        <v>374</v>
      </c>
      <c r="F112" s="124" t="s">
        <v>343</v>
      </c>
      <c r="G112" s="123">
        <v>106</v>
      </c>
      <c r="H112" s="115" t="s">
        <v>608</v>
      </c>
      <c r="I112" s="115" t="s">
        <v>609</v>
      </c>
      <c r="J112" s="113"/>
      <c r="K112" s="117">
        <v>0</v>
      </c>
      <c r="L112" s="120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</row>
    <row r="113" spans="1:26" ht="30" customHeight="1" x14ac:dyDescent="0.3">
      <c r="A113" s="111" t="s">
        <v>265</v>
      </c>
      <c r="B113" s="111" t="s">
        <v>610</v>
      </c>
      <c r="C113" s="112" t="s">
        <v>398</v>
      </c>
      <c r="D113" s="124" t="s">
        <v>382</v>
      </c>
      <c r="E113" s="124" t="s">
        <v>339</v>
      </c>
      <c r="F113" s="124" t="s">
        <v>343</v>
      </c>
      <c r="G113" s="123">
        <v>106</v>
      </c>
      <c r="H113" s="115" t="s">
        <v>611</v>
      </c>
      <c r="I113" s="115" t="s">
        <v>612</v>
      </c>
      <c r="J113" s="113"/>
      <c r="K113" s="117">
        <v>0</v>
      </c>
      <c r="L113" s="120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</row>
    <row r="114" spans="1:26" ht="30" customHeight="1" x14ac:dyDescent="0.3">
      <c r="A114" s="111" t="s">
        <v>266</v>
      </c>
      <c r="B114" s="111" t="s">
        <v>613</v>
      </c>
      <c r="C114" s="112" t="s">
        <v>398</v>
      </c>
      <c r="D114" s="124" t="s">
        <v>448</v>
      </c>
      <c r="E114" s="124" t="s">
        <v>343</v>
      </c>
      <c r="F114" s="124" t="s">
        <v>343</v>
      </c>
      <c r="G114" s="123">
        <v>106</v>
      </c>
      <c r="H114" s="115" t="s">
        <v>614</v>
      </c>
      <c r="I114" s="115" t="s">
        <v>615</v>
      </c>
      <c r="J114" s="113"/>
      <c r="K114" s="117">
        <v>0</v>
      </c>
      <c r="L114" s="120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</row>
    <row r="115" spans="1:26" ht="30" customHeight="1" x14ac:dyDescent="0.3">
      <c r="A115" s="111" t="s">
        <v>267</v>
      </c>
      <c r="B115" s="111" t="s">
        <v>616</v>
      </c>
      <c r="C115" s="112" t="s">
        <v>338</v>
      </c>
      <c r="D115" s="124" t="s">
        <v>394</v>
      </c>
      <c r="E115" s="124" t="s">
        <v>374</v>
      </c>
      <c r="F115" s="124"/>
      <c r="G115" s="123">
        <v>53</v>
      </c>
      <c r="H115" s="115" t="s">
        <v>503</v>
      </c>
      <c r="I115" s="115" t="s">
        <v>419</v>
      </c>
      <c r="J115" s="113"/>
      <c r="K115" s="117">
        <v>0</v>
      </c>
      <c r="L115" s="120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</row>
    <row r="116" spans="1:26" ht="30" customHeight="1" x14ac:dyDescent="0.3">
      <c r="A116" s="111" t="s">
        <v>268</v>
      </c>
      <c r="B116" s="111" t="s">
        <v>617</v>
      </c>
      <c r="C116" s="112" t="s">
        <v>398</v>
      </c>
      <c r="D116" s="124" t="s">
        <v>378</v>
      </c>
      <c r="E116" s="124" t="s">
        <v>339</v>
      </c>
      <c r="F116" s="124" t="s">
        <v>343</v>
      </c>
      <c r="G116" s="123">
        <v>106</v>
      </c>
      <c r="H116" s="115" t="s">
        <v>618</v>
      </c>
      <c r="I116" s="115" t="s">
        <v>414</v>
      </c>
      <c r="J116" s="116">
        <v>-30</v>
      </c>
      <c r="K116" s="117">
        <v>-26</v>
      </c>
      <c r="L116" s="120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</row>
    <row r="117" spans="1:26" ht="30" customHeight="1" x14ac:dyDescent="0.3">
      <c r="A117" s="111" t="s">
        <v>269</v>
      </c>
      <c r="B117" s="111" t="s">
        <v>619</v>
      </c>
      <c r="C117" s="112" t="s">
        <v>398</v>
      </c>
      <c r="D117" s="124" t="s">
        <v>362</v>
      </c>
      <c r="E117" s="124" t="s">
        <v>339</v>
      </c>
      <c r="F117" s="124" t="s">
        <v>343</v>
      </c>
      <c r="G117" s="123">
        <v>106</v>
      </c>
      <c r="H117" s="115" t="s">
        <v>467</v>
      </c>
      <c r="I117" s="115" t="s">
        <v>468</v>
      </c>
      <c r="J117" s="113"/>
      <c r="K117" s="117">
        <v>0</v>
      </c>
      <c r="L117" s="120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</row>
    <row r="118" spans="1:26" ht="30" customHeight="1" x14ac:dyDescent="0.3">
      <c r="A118" s="111" t="s">
        <v>270</v>
      </c>
      <c r="B118" s="111" t="s">
        <v>620</v>
      </c>
      <c r="C118" s="112" t="s">
        <v>398</v>
      </c>
      <c r="D118" s="122" t="s">
        <v>347</v>
      </c>
      <c r="E118" s="122" t="s">
        <v>350</v>
      </c>
      <c r="F118" s="122" t="s">
        <v>343</v>
      </c>
      <c r="G118" s="123">
        <v>106</v>
      </c>
      <c r="H118" s="115" t="s">
        <v>621</v>
      </c>
      <c r="I118" s="115" t="s">
        <v>503</v>
      </c>
      <c r="J118" s="122"/>
      <c r="K118" s="125">
        <v>0</v>
      </c>
      <c r="L118" s="11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30" customHeight="1" x14ac:dyDescent="0.3">
      <c r="A119" s="111" t="s">
        <v>272</v>
      </c>
      <c r="B119" s="111" t="s">
        <v>622</v>
      </c>
      <c r="C119" s="112" t="s">
        <v>398</v>
      </c>
      <c r="D119" s="122" t="s">
        <v>386</v>
      </c>
      <c r="E119" s="122" t="s">
        <v>448</v>
      </c>
      <c r="F119" s="122" t="s">
        <v>343</v>
      </c>
      <c r="G119" s="123">
        <v>106</v>
      </c>
      <c r="H119" s="115" t="s">
        <v>623</v>
      </c>
      <c r="I119" s="115" t="s">
        <v>621</v>
      </c>
      <c r="J119" s="122"/>
      <c r="K119" s="125">
        <v>0</v>
      </c>
      <c r="L119" s="11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30" customHeight="1" x14ac:dyDescent="0.3">
      <c r="A120" s="111" t="s">
        <v>624</v>
      </c>
      <c r="B120" s="111" t="s">
        <v>625</v>
      </c>
      <c r="C120" s="112" t="s">
        <v>398</v>
      </c>
      <c r="D120" s="122" t="s">
        <v>386</v>
      </c>
      <c r="E120" s="122" t="s">
        <v>390</v>
      </c>
      <c r="F120" s="122" t="s">
        <v>343</v>
      </c>
      <c r="G120" s="123">
        <v>106</v>
      </c>
      <c r="H120" s="115" t="s">
        <v>626</v>
      </c>
      <c r="I120" s="115" t="s">
        <v>627</v>
      </c>
      <c r="J120" s="122"/>
      <c r="K120" s="125">
        <v>0</v>
      </c>
      <c r="L120" s="11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30" customHeight="1" x14ac:dyDescent="0.3">
      <c r="A121" s="111" t="s">
        <v>275</v>
      </c>
      <c r="B121" s="111" t="s">
        <v>628</v>
      </c>
      <c r="C121" s="112" t="s">
        <v>338</v>
      </c>
      <c r="D121" s="122" t="s">
        <v>596</v>
      </c>
      <c r="E121" s="122" t="s">
        <v>347</v>
      </c>
      <c r="F121" s="122"/>
      <c r="G121" s="123">
        <v>53</v>
      </c>
      <c r="H121" s="115" t="s">
        <v>508</v>
      </c>
      <c r="I121" s="115" t="s">
        <v>355</v>
      </c>
      <c r="J121" s="122"/>
      <c r="K121" s="125">
        <v>0</v>
      </c>
      <c r="L121" s="11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30" customHeight="1" x14ac:dyDescent="0.3">
      <c r="A122" s="111" t="s">
        <v>629</v>
      </c>
      <c r="B122" s="111" t="s">
        <v>630</v>
      </c>
      <c r="C122" s="112" t="s">
        <v>338</v>
      </c>
      <c r="D122" s="122" t="s">
        <v>631</v>
      </c>
      <c r="E122" s="122" t="s">
        <v>343</v>
      </c>
      <c r="F122" s="122"/>
      <c r="G122" s="123">
        <v>53</v>
      </c>
      <c r="H122" s="115" t="s">
        <v>632</v>
      </c>
      <c r="I122" s="115" t="s">
        <v>633</v>
      </c>
      <c r="J122" s="122"/>
      <c r="K122" s="125">
        <v>0</v>
      </c>
      <c r="L122" s="11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30" customHeight="1" x14ac:dyDescent="0.3">
      <c r="A123" s="111" t="s">
        <v>280</v>
      </c>
      <c r="B123" s="111" t="s">
        <v>634</v>
      </c>
      <c r="C123" s="112" t="s">
        <v>338</v>
      </c>
      <c r="D123" s="122" t="s">
        <v>631</v>
      </c>
      <c r="E123" s="122" t="s">
        <v>596</v>
      </c>
      <c r="F123" s="122"/>
      <c r="G123" s="123">
        <v>53</v>
      </c>
      <c r="H123" s="115" t="s">
        <v>635</v>
      </c>
      <c r="I123" s="115" t="s">
        <v>636</v>
      </c>
      <c r="J123" s="122"/>
      <c r="K123" s="125">
        <v>0</v>
      </c>
      <c r="L123" s="11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30" customHeight="1" x14ac:dyDescent="0.3">
      <c r="A124" s="111" t="s">
        <v>282</v>
      </c>
      <c r="B124" s="111" t="s">
        <v>637</v>
      </c>
      <c r="C124" s="112" t="s">
        <v>338</v>
      </c>
      <c r="D124" s="122" t="s">
        <v>386</v>
      </c>
      <c r="E124" s="122" t="s">
        <v>596</v>
      </c>
      <c r="F124" s="122"/>
      <c r="G124" s="123">
        <v>53</v>
      </c>
      <c r="H124" s="115" t="s">
        <v>638</v>
      </c>
      <c r="I124" s="115" t="s">
        <v>552</v>
      </c>
      <c r="J124" s="122"/>
      <c r="K124" s="125">
        <v>0</v>
      </c>
      <c r="L124" s="11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30" customHeight="1" x14ac:dyDescent="0.3">
      <c r="A125" s="111" t="s">
        <v>284</v>
      </c>
      <c r="B125" s="111" t="s">
        <v>639</v>
      </c>
      <c r="C125" s="112" t="s">
        <v>398</v>
      </c>
      <c r="D125" s="122" t="s">
        <v>347</v>
      </c>
      <c r="E125" s="122" t="s">
        <v>448</v>
      </c>
      <c r="F125" s="122" t="s">
        <v>343</v>
      </c>
      <c r="G125" s="123">
        <v>106</v>
      </c>
      <c r="H125" s="115" t="s">
        <v>640</v>
      </c>
      <c r="I125" s="115" t="s">
        <v>641</v>
      </c>
      <c r="J125" s="122"/>
      <c r="K125" s="125">
        <v>0</v>
      </c>
      <c r="L125" s="11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30" customHeight="1" x14ac:dyDescent="0.3">
      <c r="A126" s="111" t="s">
        <v>285</v>
      </c>
      <c r="B126" s="111" t="s">
        <v>642</v>
      </c>
      <c r="C126" s="112" t="s">
        <v>398</v>
      </c>
      <c r="D126" s="122" t="s">
        <v>386</v>
      </c>
      <c r="E126" s="122" t="s">
        <v>339</v>
      </c>
      <c r="F126" s="122" t="s">
        <v>390</v>
      </c>
      <c r="G126" s="123">
        <v>106</v>
      </c>
      <c r="H126" s="115" t="s">
        <v>567</v>
      </c>
      <c r="I126" s="115" t="s">
        <v>451</v>
      </c>
      <c r="J126" s="122"/>
      <c r="K126" s="125">
        <v>0</v>
      </c>
      <c r="L126" s="11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30" customHeight="1" x14ac:dyDescent="0.3">
      <c r="A127" s="111" t="s">
        <v>286</v>
      </c>
      <c r="B127" s="111" t="s">
        <v>643</v>
      </c>
      <c r="C127" s="112" t="s">
        <v>338</v>
      </c>
      <c r="D127" s="122" t="s">
        <v>421</v>
      </c>
      <c r="E127" s="122" t="s">
        <v>644</v>
      </c>
      <c r="F127" s="122"/>
      <c r="G127" s="123">
        <v>53</v>
      </c>
      <c r="H127" s="115" t="s">
        <v>645</v>
      </c>
      <c r="I127" s="115" t="s">
        <v>646</v>
      </c>
      <c r="J127" s="122"/>
      <c r="K127" s="125">
        <v>0</v>
      </c>
      <c r="L127" s="11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30" customHeight="1" x14ac:dyDescent="0.3">
      <c r="A128" s="111" t="s">
        <v>287</v>
      </c>
      <c r="B128" s="111" t="s">
        <v>647</v>
      </c>
      <c r="C128" s="112" t="s">
        <v>338</v>
      </c>
      <c r="D128" s="122" t="s">
        <v>648</v>
      </c>
      <c r="E128" s="122" t="s">
        <v>343</v>
      </c>
      <c r="F128" s="122"/>
      <c r="G128" s="123">
        <v>53</v>
      </c>
      <c r="H128" s="115" t="s">
        <v>649</v>
      </c>
      <c r="I128" s="115" t="s">
        <v>650</v>
      </c>
      <c r="J128" s="122"/>
      <c r="K128" s="125">
        <v>0</v>
      </c>
      <c r="L128" s="11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30" customHeight="1" x14ac:dyDescent="0.3">
      <c r="A129" s="111" t="s">
        <v>288</v>
      </c>
      <c r="B129" s="111" t="s">
        <v>651</v>
      </c>
      <c r="C129" s="112" t="s">
        <v>338</v>
      </c>
      <c r="D129" s="122" t="s">
        <v>444</v>
      </c>
      <c r="E129" s="122" t="s">
        <v>648</v>
      </c>
      <c r="F129" s="122"/>
      <c r="G129" s="123">
        <v>53</v>
      </c>
      <c r="H129" s="115" t="s">
        <v>652</v>
      </c>
      <c r="I129" s="115" t="s">
        <v>653</v>
      </c>
      <c r="J129" s="122"/>
      <c r="K129" s="125">
        <v>0</v>
      </c>
      <c r="L129" s="11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30" customHeight="1" x14ac:dyDescent="0.3">
      <c r="A130" s="111" t="s">
        <v>289</v>
      </c>
      <c r="B130" s="111" t="s">
        <v>654</v>
      </c>
      <c r="C130" s="112" t="s">
        <v>398</v>
      </c>
      <c r="D130" s="122" t="s">
        <v>378</v>
      </c>
      <c r="E130" s="122" t="s">
        <v>343</v>
      </c>
      <c r="F130" s="122" t="s">
        <v>343</v>
      </c>
      <c r="G130" s="123">
        <v>106</v>
      </c>
      <c r="H130" s="115" t="s">
        <v>609</v>
      </c>
      <c r="I130" s="115" t="s">
        <v>655</v>
      </c>
      <c r="J130" s="126">
        <v>-30</v>
      </c>
      <c r="K130" s="125">
        <v>-26</v>
      </c>
      <c r="L130" s="11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30" customHeight="1" x14ac:dyDescent="0.3">
      <c r="A131" s="111" t="s">
        <v>290</v>
      </c>
      <c r="B131" s="111" t="s">
        <v>656</v>
      </c>
      <c r="C131" s="112" t="s">
        <v>338</v>
      </c>
      <c r="D131" s="122" t="s">
        <v>362</v>
      </c>
      <c r="E131" s="122" t="s">
        <v>339</v>
      </c>
      <c r="F131" s="122"/>
      <c r="G131" s="123">
        <v>53</v>
      </c>
      <c r="H131" s="115" t="s">
        <v>392</v>
      </c>
      <c r="I131" s="115" t="s">
        <v>422</v>
      </c>
      <c r="J131" s="122"/>
      <c r="K131" s="125">
        <v>0</v>
      </c>
      <c r="L131" s="11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30" customHeight="1" x14ac:dyDescent="0.3">
      <c r="A132" s="111" t="s">
        <v>291</v>
      </c>
      <c r="B132" s="111" t="s">
        <v>657</v>
      </c>
      <c r="C132" s="112" t="s">
        <v>398</v>
      </c>
      <c r="D132" s="122" t="s">
        <v>350</v>
      </c>
      <c r="E132" s="122" t="s">
        <v>596</v>
      </c>
      <c r="F132" s="122" t="s">
        <v>343</v>
      </c>
      <c r="G132" s="123">
        <v>106</v>
      </c>
      <c r="H132" s="115" t="s">
        <v>658</v>
      </c>
      <c r="I132" s="115" t="s">
        <v>611</v>
      </c>
      <c r="J132" s="122"/>
      <c r="K132" s="125">
        <v>0</v>
      </c>
      <c r="L132" s="11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30" customHeight="1" x14ac:dyDescent="0.3">
      <c r="A133" s="111" t="s">
        <v>292</v>
      </c>
      <c r="B133" s="111" t="s">
        <v>659</v>
      </c>
      <c r="C133" s="112" t="s">
        <v>338</v>
      </c>
      <c r="D133" s="122" t="s">
        <v>394</v>
      </c>
      <c r="E133" s="122" t="s">
        <v>362</v>
      </c>
      <c r="F133" s="122"/>
      <c r="G133" s="123">
        <v>53</v>
      </c>
      <c r="H133" s="115" t="s">
        <v>660</v>
      </c>
      <c r="I133" s="115" t="s">
        <v>661</v>
      </c>
      <c r="J133" s="122"/>
      <c r="K133" s="125">
        <v>0</v>
      </c>
      <c r="L133" s="11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30" customHeight="1" x14ac:dyDescent="0.3">
      <c r="A134" s="111" t="s">
        <v>293</v>
      </c>
      <c r="B134" s="111" t="s">
        <v>662</v>
      </c>
      <c r="C134" s="112" t="s">
        <v>398</v>
      </c>
      <c r="D134" s="122" t="s">
        <v>390</v>
      </c>
      <c r="E134" s="122" t="s">
        <v>343</v>
      </c>
      <c r="F134" s="122" t="s">
        <v>596</v>
      </c>
      <c r="G134" s="123">
        <v>106</v>
      </c>
      <c r="H134" s="115" t="s">
        <v>663</v>
      </c>
      <c r="I134" s="115" t="s">
        <v>664</v>
      </c>
      <c r="J134" s="122"/>
      <c r="K134" s="125">
        <v>0</v>
      </c>
      <c r="L134" s="11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30" customHeight="1" x14ac:dyDescent="0.3">
      <c r="A135" s="111" t="s">
        <v>294</v>
      </c>
      <c r="B135" s="111" t="s">
        <v>665</v>
      </c>
      <c r="C135" s="112" t="s">
        <v>398</v>
      </c>
      <c r="D135" s="122" t="s">
        <v>368</v>
      </c>
      <c r="E135" s="122" t="s">
        <v>339</v>
      </c>
      <c r="F135" s="122" t="s">
        <v>343</v>
      </c>
      <c r="G135" s="123">
        <v>106</v>
      </c>
      <c r="H135" s="115" t="s">
        <v>519</v>
      </c>
      <c r="I135" s="115" t="s">
        <v>520</v>
      </c>
      <c r="J135" s="122"/>
      <c r="K135" s="125">
        <v>0</v>
      </c>
      <c r="L135" s="11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30" customHeight="1" x14ac:dyDescent="0.3">
      <c r="A136" s="111" t="s">
        <v>295</v>
      </c>
      <c r="B136" s="111" t="s">
        <v>666</v>
      </c>
      <c r="C136" s="112" t="s">
        <v>398</v>
      </c>
      <c r="D136" s="122" t="s">
        <v>667</v>
      </c>
      <c r="E136" s="122" t="s">
        <v>347</v>
      </c>
      <c r="F136" s="122" t="s">
        <v>648</v>
      </c>
      <c r="G136" s="123">
        <v>106</v>
      </c>
      <c r="H136" s="115" t="s">
        <v>668</v>
      </c>
      <c r="I136" s="115" t="s">
        <v>669</v>
      </c>
      <c r="J136" s="122"/>
      <c r="K136" s="125">
        <v>0</v>
      </c>
      <c r="L136" s="11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30" customHeight="1" x14ac:dyDescent="0.3">
      <c r="A137" s="111" t="s">
        <v>296</v>
      </c>
      <c r="B137" s="111" t="s">
        <v>670</v>
      </c>
      <c r="C137" s="112" t="s">
        <v>398</v>
      </c>
      <c r="D137" s="122" t="s">
        <v>347</v>
      </c>
      <c r="E137" s="122" t="s">
        <v>343</v>
      </c>
      <c r="F137" s="122" t="s">
        <v>596</v>
      </c>
      <c r="G137" s="123">
        <v>106</v>
      </c>
      <c r="H137" s="115" t="s">
        <v>671</v>
      </c>
      <c r="I137" s="115" t="s">
        <v>512</v>
      </c>
      <c r="J137" s="122"/>
      <c r="K137" s="125">
        <v>0</v>
      </c>
      <c r="L137" s="11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30" customHeight="1" x14ac:dyDescent="0.3">
      <c r="A138" s="111" t="s">
        <v>297</v>
      </c>
      <c r="B138" s="111" t="s">
        <v>672</v>
      </c>
      <c r="C138" s="112" t="s">
        <v>398</v>
      </c>
      <c r="D138" s="122" t="s">
        <v>648</v>
      </c>
      <c r="E138" s="122" t="s">
        <v>339</v>
      </c>
      <c r="F138" s="122" t="s">
        <v>343</v>
      </c>
      <c r="G138" s="123">
        <v>106</v>
      </c>
      <c r="H138" s="115" t="s">
        <v>673</v>
      </c>
      <c r="I138" s="115" t="s">
        <v>674</v>
      </c>
      <c r="J138" s="122"/>
      <c r="K138" s="125">
        <v>0</v>
      </c>
      <c r="L138" s="11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30" customHeight="1" x14ac:dyDescent="0.3">
      <c r="A139" s="111" t="s">
        <v>298</v>
      </c>
      <c r="B139" s="111" t="s">
        <v>675</v>
      </c>
      <c r="C139" s="112" t="s">
        <v>338</v>
      </c>
      <c r="D139" s="122" t="s">
        <v>339</v>
      </c>
      <c r="E139" s="122" t="s">
        <v>596</v>
      </c>
      <c r="F139" s="122"/>
      <c r="G139" s="123">
        <v>53</v>
      </c>
      <c r="H139" s="115" t="s">
        <v>676</v>
      </c>
      <c r="I139" s="115" t="s">
        <v>677</v>
      </c>
      <c r="J139" s="122"/>
      <c r="K139" s="125">
        <v>0</v>
      </c>
      <c r="L139" s="11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30" customHeight="1" x14ac:dyDescent="0.3">
      <c r="A140" s="111" t="s">
        <v>678</v>
      </c>
      <c r="B140" s="111" t="s">
        <v>679</v>
      </c>
      <c r="C140" s="112" t="s">
        <v>338</v>
      </c>
      <c r="D140" s="122" t="s">
        <v>394</v>
      </c>
      <c r="E140" s="122" t="s">
        <v>343</v>
      </c>
      <c r="F140" s="122"/>
      <c r="G140" s="123">
        <v>53</v>
      </c>
      <c r="H140" s="115" t="s">
        <v>483</v>
      </c>
      <c r="I140" s="115" t="s">
        <v>484</v>
      </c>
      <c r="J140" s="122"/>
      <c r="K140" s="125">
        <v>0</v>
      </c>
      <c r="L140" s="11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30" customHeight="1" x14ac:dyDescent="0.3">
      <c r="A141" s="111" t="s">
        <v>299</v>
      </c>
      <c r="B141" s="111" t="s">
        <v>680</v>
      </c>
      <c r="C141" s="112" t="s">
        <v>338</v>
      </c>
      <c r="D141" s="122" t="s">
        <v>386</v>
      </c>
      <c r="E141" s="122" t="s">
        <v>354</v>
      </c>
      <c r="F141" s="122"/>
      <c r="G141" s="123">
        <v>53</v>
      </c>
      <c r="H141" s="115" t="s">
        <v>552</v>
      </c>
      <c r="I141" s="115" t="s">
        <v>553</v>
      </c>
      <c r="J141" s="122"/>
      <c r="K141" s="125">
        <v>0</v>
      </c>
      <c r="L141" s="11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30" customHeight="1" x14ac:dyDescent="0.3">
      <c r="A142" s="111" t="s">
        <v>300</v>
      </c>
      <c r="B142" s="111" t="s">
        <v>681</v>
      </c>
      <c r="C142" s="112" t="s">
        <v>338</v>
      </c>
      <c r="D142" s="122" t="s">
        <v>648</v>
      </c>
      <c r="E142" s="122" t="s">
        <v>354</v>
      </c>
      <c r="F142" s="122"/>
      <c r="G142" s="123">
        <v>53</v>
      </c>
      <c r="H142" s="115" t="s">
        <v>682</v>
      </c>
      <c r="I142" s="115" t="s">
        <v>683</v>
      </c>
      <c r="J142" s="122"/>
      <c r="K142" s="125">
        <v>0</v>
      </c>
      <c r="L142" s="11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30" customHeight="1" x14ac:dyDescent="0.3">
      <c r="A143" s="111" t="s">
        <v>301</v>
      </c>
      <c r="B143" s="111" t="s">
        <v>684</v>
      </c>
      <c r="C143" s="112" t="s">
        <v>398</v>
      </c>
      <c r="D143" s="122" t="s">
        <v>347</v>
      </c>
      <c r="E143" s="122" t="s">
        <v>350</v>
      </c>
      <c r="F143" s="122" t="s">
        <v>596</v>
      </c>
      <c r="G143" s="123">
        <v>106</v>
      </c>
      <c r="H143" s="115" t="s">
        <v>685</v>
      </c>
      <c r="I143" s="115" t="s">
        <v>530</v>
      </c>
      <c r="J143" s="122"/>
      <c r="K143" s="125">
        <v>0</v>
      </c>
      <c r="L143" s="11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30" customHeight="1" x14ac:dyDescent="0.3">
      <c r="A144" s="111" t="s">
        <v>302</v>
      </c>
      <c r="B144" s="111" t="s">
        <v>686</v>
      </c>
      <c r="C144" s="112" t="s">
        <v>398</v>
      </c>
      <c r="D144" s="122" t="s">
        <v>687</v>
      </c>
      <c r="E144" s="122" t="s">
        <v>364</v>
      </c>
      <c r="F144" s="122" t="s">
        <v>343</v>
      </c>
      <c r="G144" s="123">
        <v>106</v>
      </c>
      <c r="H144" s="115" t="s">
        <v>688</v>
      </c>
      <c r="I144" s="115" t="s">
        <v>689</v>
      </c>
      <c r="J144" s="122"/>
      <c r="K144" s="125">
        <v>0</v>
      </c>
      <c r="L144" s="11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30" customHeight="1" x14ac:dyDescent="0.3">
      <c r="A145" s="111" t="s">
        <v>303</v>
      </c>
      <c r="B145" s="111" t="s">
        <v>690</v>
      </c>
      <c r="C145" s="112" t="s">
        <v>338</v>
      </c>
      <c r="D145" s="122" t="s">
        <v>386</v>
      </c>
      <c r="E145" s="122" t="s">
        <v>339</v>
      </c>
      <c r="F145" s="122"/>
      <c r="G145" s="123">
        <v>53</v>
      </c>
      <c r="H145" s="115" t="s">
        <v>548</v>
      </c>
      <c r="I145" s="115" t="s">
        <v>460</v>
      </c>
      <c r="J145" s="122"/>
      <c r="K145" s="125">
        <v>0</v>
      </c>
      <c r="L145" s="11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30" customHeight="1" x14ac:dyDescent="0.3">
      <c r="A146" s="111" t="s">
        <v>304</v>
      </c>
      <c r="B146" s="111" t="s">
        <v>691</v>
      </c>
      <c r="C146" s="112" t="s">
        <v>338</v>
      </c>
      <c r="D146" s="122" t="s">
        <v>382</v>
      </c>
      <c r="E146" s="122" t="s">
        <v>339</v>
      </c>
      <c r="F146" s="122"/>
      <c r="G146" s="123">
        <v>53</v>
      </c>
      <c r="H146" s="115" t="s">
        <v>379</v>
      </c>
      <c r="I146" s="115" t="s">
        <v>380</v>
      </c>
      <c r="J146" s="122"/>
      <c r="K146" s="125">
        <v>0</v>
      </c>
      <c r="L146" s="11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30" customHeight="1" x14ac:dyDescent="0.3">
      <c r="A147" s="111" t="s">
        <v>692</v>
      </c>
      <c r="B147" s="111" t="s">
        <v>692</v>
      </c>
      <c r="C147" s="112" t="s">
        <v>338</v>
      </c>
      <c r="D147" s="122" t="s">
        <v>347</v>
      </c>
      <c r="E147" s="122" t="s">
        <v>350</v>
      </c>
      <c r="F147" s="122"/>
      <c r="G147" s="123">
        <v>53</v>
      </c>
      <c r="H147" s="115" t="s">
        <v>693</v>
      </c>
      <c r="I147" s="115" t="s">
        <v>694</v>
      </c>
      <c r="J147" s="122"/>
      <c r="K147" s="125">
        <v>0</v>
      </c>
      <c r="L147" s="11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30" customHeight="1" x14ac:dyDescent="0.3">
      <c r="A148" s="111" t="s">
        <v>305</v>
      </c>
      <c r="B148" s="111" t="s">
        <v>695</v>
      </c>
      <c r="C148" s="112" t="s">
        <v>338</v>
      </c>
      <c r="D148" s="122" t="s">
        <v>347</v>
      </c>
      <c r="E148" s="122" t="s">
        <v>596</v>
      </c>
      <c r="F148" s="122"/>
      <c r="G148" s="123">
        <v>53</v>
      </c>
      <c r="H148" s="115" t="s">
        <v>508</v>
      </c>
      <c r="I148" s="115" t="s">
        <v>355</v>
      </c>
      <c r="J148" s="122"/>
      <c r="K148" s="125">
        <v>0</v>
      </c>
      <c r="L148" s="11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30" customHeight="1" x14ac:dyDescent="0.3">
      <c r="A149" s="111" t="s">
        <v>306</v>
      </c>
      <c r="B149" s="111" t="s">
        <v>696</v>
      </c>
      <c r="C149" s="112" t="s">
        <v>338</v>
      </c>
      <c r="D149" s="122" t="s">
        <v>343</v>
      </c>
      <c r="E149" s="122" t="s">
        <v>343</v>
      </c>
      <c r="F149" s="122"/>
      <c r="G149" s="123">
        <v>53</v>
      </c>
      <c r="H149" s="115" t="s">
        <v>697</v>
      </c>
      <c r="I149" s="115" t="s">
        <v>698</v>
      </c>
      <c r="J149" s="122"/>
      <c r="K149" s="125">
        <v>0</v>
      </c>
      <c r="L149" s="11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30" customHeight="1" x14ac:dyDescent="0.3">
      <c r="A150" s="111" t="s">
        <v>307</v>
      </c>
      <c r="B150" s="111" t="s">
        <v>699</v>
      </c>
      <c r="C150" s="112" t="s">
        <v>398</v>
      </c>
      <c r="D150" s="122" t="s">
        <v>374</v>
      </c>
      <c r="E150" s="122" t="s">
        <v>339</v>
      </c>
      <c r="F150" s="122" t="s">
        <v>339</v>
      </c>
      <c r="G150" s="123">
        <v>106</v>
      </c>
      <c r="H150" s="115" t="s">
        <v>425</v>
      </c>
      <c r="I150" s="115" t="s">
        <v>387</v>
      </c>
      <c r="J150" s="126">
        <v>-50</v>
      </c>
      <c r="K150" s="125">
        <v>-43</v>
      </c>
      <c r="L150" s="11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30" customHeight="1" x14ac:dyDescent="0.3">
      <c r="A151" s="111" t="s">
        <v>308</v>
      </c>
      <c r="B151" s="111" t="s">
        <v>700</v>
      </c>
      <c r="C151" s="112" t="s">
        <v>338</v>
      </c>
      <c r="D151" s="122" t="s">
        <v>347</v>
      </c>
      <c r="E151" s="122" t="s">
        <v>350</v>
      </c>
      <c r="F151" s="122"/>
      <c r="G151" s="123">
        <v>53</v>
      </c>
      <c r="H151" s="115" t="s">
        <v>693</v>
      </c>
      <c r="I151" s="115" t="s">
        <v>694</v>
      </c>
      <c r="J151" s="122"/>
      <c r="K151" s="125">
        <v>0</v>
      </c>
      <c r="L151" s="11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30" customHeight="1" x14ac:dyDescent="0.3">
      <c r="A152" s="111" t="s">
        <v>701</v>
      </c>
      <c r="B152" s="111" t="s">
        <v>702</v>
      </c>
      <c r="C152" s="112" t="s">
        <v>398</v>
      </c>
      <c r="D152" s="122" t="s">
        <v>350</v>
      </c>
      <c r="E152" s="122" t="s">
        <v>390</v>
      </c>
      <c r="F152" s="122" t="s">
        <v>343</v>
      </c>
      <c r="G152" s="123">
        <v>106</v>
      </c>
      <c r="H152" s="115" t="s">
        <v>703</v>
      </c>
      <c r="I152" s="115" t="s">
        <v>704</v>
      </c>
      <c r="J152" s="122"/>
      <c r="K152" s="125">
        <v>0</v>
      </c>
      <c r="L152" s="11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30" customHeight="1" x14ac:dyDescent="0.3">
      <c r="A153" s="111" t="s">
        <v>309</v>
      </c>
      <c r="B153" s="111" t="s">
        <v>705</v>
      </c>
      <c r="C153" s="112" t="s">
        <v>398</v>
      </c>
      <c r="D153" s="122" t="s">
        <v>596</v>
      </c>
      <c r="E153" s="122" t="s">
        <v>378</v>
      </c>
      <c r="F153" s="122" t="s">
        <v>347</v>
      </c>
      <c r="G153" s="123">
        <v>106</v>
      </c>
      <c r="H153" s="115" t="s">
        <v>706</v>
      </c>
      <c r="I153" s="115" t="s">
        <v>707</v>
      </c>
      <c r="J153" s="122"/>
      <c r="K153" s="125">
        <v>0</v>
      </c>
      <c r="L153" s="11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30" customHeight="1" x14ac:dyDescent="0.3">
      <c r="A154" s="111" t="s">
        <v>310</v>
      </c>
      <c r="B154" s="111" t="s">
        <v>708</v>
      </c>
      <c r="C154" s="112" t="s">
        <v>338</v>
      </c>
      <c r="D154" s="122" t="s">
        <v>390</v>
      </c>
      <c r="E154" s="122" t="s">
        <v>433</v>
      </c>
      <c r="F154" s="122"/>
      <c r="G154" s="123">
        <v>53</v>
      </c>
      <c r="H154" s="115" t="s">
        <v>516</v>
      </c>
      <c r="I154" s="115" t="s">
        <v>709</v>
      </c>
      <c r="J154" s="122"/>
      <c r="K154" s="125">
        <v>0</v>
      </c>
      <c r="L154" s="11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30" customHeight="1" x14ac:dyDescent="0.3">
      <c r="A155" s="111" t="s">
        <v>311</v>
      </c>
      <c r="B155" s="111" t="s">
        <v>710</v>
      </c>
      <c r="C155" s="112" t="s">
        <v>338</v>
      </c>
      <c r="D155" s="122" t="s">
        <v>390</v>
      </c>
      <c r="E155" s="122" t="s">
        <v>364</v>
      </c>
      <c r="F155" s="122"/>
      <c r="G155" s="123">
        <v>53</v>
      </c>
      <c r="H155" s="115" t="s">
        <v>559</v>
      </c>
      <c r="I155" s="115" t="s">
        <v>560</v>
      </c>
      <c r="J155" s="122"/>
      <c r="K155" s="125">
        <v>0</v>
      </c>
      <c r="L155" s="11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30" customHeight="1" x14ac:dyDescent="0.3">
      <c r="A156" s="111" t="s">
        <v>312</v>
      </c>
      <c r="B156" s="111" t="s">
        <v>711</v>
      </c>
      <c r="C156" s="112" t="s">
        <v>338</v>
      </c>
      <c r="D156" s="122" t="s">
        <v>386</v>
      </c>
      <c r="E156" s="122" t="s">
        <v>378</v>
      </c>
      <c r="F156" s="122"/>
      <c r="G156" s="123">
        <v>53</v>
      </c>
      <c r="H156" s="115" t="s">
        <v>712</v>
      </c>
      <c r="I156" s="115" t="s">
        <v>713</v>
      </c>
      <c r="J156" s="122"/>
      <c r="K156" s="125">
        <v>0</v>
      </c>
      <c r="L156" s="11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30" customHeight="1" x14ac:dyDescent="0.3">
      <c r="A157" s="111" t="s">
        <v>313</v>
      </c>
      <c r="B157" s="111" t="s">
        <v>714</v>
      </c>
      <c r="C157" s="112" t="s">
        <v>338</v>
      </c>
      <c r="D157" s="122" t="s">
        <v>715</v>
      </c>
      <c r="E157" s="122" t="s">
        <v>374</v>
      </c>
      <c r="F157" s="122"/>
      <c r="G157" s="123">
        <v>53</v>
      </c>
      <c r="H157" s="115" t="s">
        <v>697</v>
      </c>
      <c r="I157" s="115" t="s">
        <v>698</v>
      </c>
      <c r="J157" s="122"/>
      <c r="K157" s="125">
        <v>0</v>
      </c>
      <c r="L157" s="11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30" customHeight="1" x14ac:dyDescent="0.3">
      <c r="A158" s="111" t="s">
        <v>314</v>
      </c>
      <c r="B158" s="111" t="s">
        <v>716</v>
      </c>
      <c r="C158" s="112" t="s">
        <v>398</v>
      </c>
      <c r="D158" s="122" t="s">
        <v>386</v>
      </c>
      <c r="E158" s="122" t="s">
        <v>390</v>
      </c>
      <c r="F158" s="122" t="s">
        <v>717</v>
      </c>
      <c r="G158" s="123">
        <v>106</v>
      </c>
      <c r="H158" s="115" t="s">
        <v>718</v>
      </c>
      <c r="I158" s="115" t="s">
        <v>719</v>
      </c>
      <c r="J158" s="122"/>
      <c r="K158" s="125">
        <v>0</v>
      </c>
      <c r="L158" s="11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30" customHeight="1" x14ac:dyDescent="0.3">
      <c r="A159" s="111" t="s">
        <v>315</v>
      </c>
      <c r="B159" s="111" t="s">
        <v>720</v>
      </c>
      <c r="C159" s="112" t="s">
        <v>338</v>
      </c>
      <c r="D159" s="122" t="s">
        <v>667</v>
      </c>
      <c r="E159" s="122" t="s">
        <v>433</v>
      </c>
      <c r="F159" s="122"/>
      <c r="G159" s="123">
        <v>53</v>
      </c>
      <c r="H159" s="115" t="s">
        <v>486</v>
      </c>
      <c r="I159" s="115" t="s">
        <v>487</v>
      </c>
      <c r="J159" s="122"/>
      <c r="K159" s="125">
        <v>0</v>
      </c>
      <c r="L159" s="11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30" customHeight="1" x14ac:dyDescent="0.3">
      <c r="A160" s="111" t="s">
        <v>316</v>
      </c>
      <c r="B160" s="111" t="s">
        <v>721</v>
      </c>
      <c r="C160" s="112" t="s">
        <v>398</v>
      </c>
      <c r="D160" s="122" t="s">
        <v>386</v>
      </c>
      <c r="E160" s="122" t="s">
        <v>339</v>
      </c>
      <c r="F160" s="122" t="s">
        <v>339</v>
      </c>
      <c r="G160" s="123">
        <v>106</v>
      </c>
      <c r="H160" s="115" t="s">
        <v>424</v>
      </c>
      <c r="I160" s="115" t="s">
        <v>425</v>
      </c>
      <c r="J160" s="122"/>
      <c r="K160" s="125">
        <v>0</v>
      </c>
      <c r="L160" s="11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30" customHeight="1" x14ac:dyDescent="0.3">
      <c r="A161" s="111" t="s">
        <v>317</v>
      </c>
      <c r="B161" s="111" t="s">
        <v>722</v>
      </c>
      <c r="C161" s="112" t="s">
        <v>338</v>
      </c>
      <c r="D161" s="122" t="s">
        <v>374</v>
      </c>
      <c r="E161" s="122" t="s">
        <v>350</v>
      </c>
      <c r="F161" s="122"/>
      <c r="G161" s="123">
        <v>53</v>
      </c>
      <c r="H161" s="115" t="s">
        <v>366</v>
      </c>
      <c r="I161" s="115" t="s">
        <v>723</v>
      </c>
      <c r="J161" s="122"/>
      <c r="K161" s="125">
        <v>0</v>
      </c>
      <c r="L161" s="11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30" customHeight="1" x14ac:dyDescent="0.3">
      <c r="A162" s="111" t="s">
        <v>318</v>
      </c>
      <c r="B162" s="111" t="s">
        <v>724</v>
      </c>
      <c r="C162" s="112" t="s">
        <v>338</v>
      </c>
      <c r="D162" s="122" t="s">
        <v>648</v>
      </c>
      <c r="E162" s="122" t="s">
        <v>374</v>
      </c>
      <c r="F162" s="122"/>
      <c r="G162" s="123">
        <v>53</v>
      </c>
      <c r="H162" s="115" t="s">
        <v>725</v>
      </c>
      <c r="I162" s="115" t="s">
        <v>726</v>
      </c>
      <c r="J162" s="122"/>
      <c r="K162" s="125">
        <v>0</v>
      </c>
      <c r="L162" s="11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30" customHeight="1" x14ac:dyDescent="0.3">
      <c r="A163" s="111" t="s">
        <v>319</v>
      </c>
      <c r="B163" s="111" t="s">
        <v>727</v>
      </c>
      <c r="C163" s="112" t="s">
        <v>398</v>
      </c>
      <c r="D163" s="122" t="s">
        <v>390</v>
      </c>
      <c r="E163" s="122" t="s">
        <v>350</v>
      </c>
      <c r="F163" s="122" t="s">
        <v>339</v>
      </c>
      <c r="G163" s="123">
        <v>106</v>
      </c>
      <c r="H163" s="115" t="s">
        <v>728</v>
      </c>
      <c r="I163" s="115" t="s">
        <v>559</v>
      </c>
      <c r="J163" s="122"/>
      <c r="K163" s="125">
        <v>0</v>
      </c>
      <c r="L163" s="11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30" customHeight="1" x14ac:dyDescent="0.3">
      <c r="A164" s="111" t="s">
        <v>320</v>
      </c>
      <c r="B164" s="111" t="s">
        <v>729</v>
      </c>
      <c r="C164" s="112" t="s">
        <v>338</v>
      </c>
      <c r="D164" s="122" t="s">
        <v>730</v>
      </c>
      <c r="E164" s="122" t="s">
        <v>343</v>
      </c>
      <c r="F164" s="122"/>
      <c r="G164" s="123">
        <v>53</v>
      </c>
      <c r="H164" s="115" t="s">
        <v>731</v>
      </c>
      <c r="I164" s="115" t="s">
        <v>481</v>
      </c>
      <c r="J164" s="122"/>
      <c r="K164" s="125">
        <v>0</v>
      </c>
      <c r="L164" s="11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30" customHeight="1" x14ac:dyDescent="0.3">
      <c r="A165" s="111" t="s">
        <v>321</v>
      </c>
      <c r="B165" s="111" t="s">
        <v>732</v>
      </c>
      <c r="C165" s="112" t="s">
        <v>398</v>
      </c>
      <c r="D165" s="122" t="s">
        <v>733</v>
      </c>
      <c r="E165" s="122" t="s">
        <v>350</v>
      </c>
      <c r="F165" s="122" t="s">
        <v>339</v>
      </c>
      <c r="G165" s="123">
        <v>106</v>
      </c>
      <c r="H165" s="115" t="s">
        <v>513</v>
      </c>
      <c r="I165" s="115" t="s">
        <v>734</v>
      </c>
      <c r="J165" s="122"/>
      <c r="K165" s="125">
        <v>0</v>
      </c>
      <c r="L165" s="11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30" customHeight="1" x14ac:dyDescent="0.3">
      <c r="A166" s="111" t="s">
        <v>322</v>
      </c>
      <c r="B166" s="111" t="s">
        <v>735</v>
      </c>
      <c r="C166" s="112" t="s">
        <v>398</v>
      </c>
      <c r="D166" s="122" t="s">
        <v>347</v>
      </c>
      <c r="E166" s="122" t="s">
        <v>339</v>
      </c>
      <c r="F166" s="122" t="s">
        <v>339</v>
      </c>
      <c r="G166" s="123">
        <v>106</v>
      </c>
      <c r="H166" s="115" t="s">
        <v>555</v>
      </c>
      <c r="I166" s="115" t="s">
        <v>556</v>
      </c>
      <c r="J166" s="126">
        <v>-100</v>
      </c>
      <c r="K166" s="125">
        <v>-85</v>
      </c>
      <c r="L166" s="11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30" customHeight="1" x14ac:dyDescent="0.3">
      <c r="A167" s="111" t="s">
        <v>323</v>
      </c>
      <c r="B167" s="111" t="s">
        <v>736</v>
      </c>
      <c r="C167" s="112" t="s">
        <v>398</v>
      </c>
      <c r="D167" s="122" t="s">
        <v>667</v>
      </c>
      <c r="E167" s="122" t="s">
        <v>733</v>
      </c>
      <c r="F167" s="122" t="s">
        <v>386</v>
      </c>
      <c r="G167" s="123">
        <v>106</v>
      </c>
      <c r="H167" s="115" t="s">
        <v>737</v>
      </c>
      <c r="I167" s="115" t="s">
        <v>738</v>
      </c>
      <c r="J167" s="122"/>
      <c r="K167" s="125">
        <v>0</v>
      </c>
      <c r="L167" s="11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30" customHeight="1" x14ac:dyDescent="0.3">
      <c r="A168" s="111" t="s">
        <v>324</v>
      </c>
      <c r="B168" s="111" t="s">
        <v>739</v>
      </c>
      <c r="C168" s="112" t="s">
        <v>338</v>
      </c>
      <c r="D168" s="122" t="s">
        <v>648</v>
      </c>
      <c r="E168" s="122" t="s">
        <v>339</v>
      </c>
      <c r="F168" s="122"/>
      <c r="G168" s="123">
        <v>53</v>
      </c>
      <c r="H168" s="115" t="s">
        <v>740</v>
      </c>
      <c r="I168" s="115" t="s">
        <v>741</v>
      </c>
      <c r="J168" s="122"/>
      <c r="K168" s="125">
        <v>0</v>
      </c>
      <c r="L168" s="11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30" customHeight="1" x14ac:dyDescent="0.3">
      <c r="A169" s="111" t="s">
        <v>325</v>
      </c>
      <c r="B169" s="111" t="s">
        <v>742</v>
      </c>
      <c r="C169" s="112" t="s">
        <v>398</v>
      </c>
      <c r="D169" s="122" t="s">
        <v>390</v>
      </c>
      <c r="E169" s="122" t="s">
        <v>339</v>
      </c>
      <c r="F169" s="122" t="s">
        <v>339</v>
      </c>
      <c r="G169" s="123">
        <v>106</v>
      </c>
      <c r="H169" s="115" t="s">
        <v>467</v>
      </c>
      <c r="I169" s="115" t="s">
        <v>468</v>
      </c>
      <c r="J169" s="122"/>
      <c r="K169" s="125">
        <v>0</v>
      </c>
      <c r="L169" s="11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30" customHeight="1" x14ac:dyDescent="0.3">
      <c r="A170" s="111" t="s">
        <v>269</v>
      </c>
      <c r="B170" s="111" t="s">
        <v>619</v>
      </c>
      <c r="C170" s="112" t="s">
        <v>398</v>
      </c>
      <c r="D170" s="122" t="s">
        <v>362</v>
      </c>
      <c r="E170" s="122" t="s">
        <v>339</v>
      </c>
      <c r="F170" s="122" t="s">
        <v>343</v>
      </c>
      <c r="G170" s="123">
        <v>106</v>
      </c>
      <c r="H170" s="115" t="s">
        <v>467</v>
      </c>
      <c r="I170" s="115" t="s">
        <v>468</v>
      </c>
      <c r="J170" s="122"/>
      <c r="K170" s="125">
        <v>0</v>
      </c>
      <c r="L170" s="11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30" customHeight="1" x14ac:dyDescent="0.3">
      <c r="A171" s="111" t="s">
        <v>326</v>
      </c>
      <c r="B171" s="111" t="s">
        <v>743</v>
      </c>
      <c r="C171" s="112" t="s">
        <v>338</v>
      </c>
      <c r="D171" s="122" t="s">
        <v>526</v>
      </c>
      <c r="E171" s="122" t="s">
        <v>526</v>
      </c>
      <c r="F171" s="122"/>
      <c r="G171" s="123">
        <v>53</v>
      </c>
      <c r="H171" s="115" t="s">
        <v>455</v>
      </c>
      <c r="I171" s="115" t="s">
        <v>585</v>
      </c>
      <c r="J171" s="122"/>
      <c r="K171" s="125">
        <v>0</v>
      </c>
      <c r="L171" s="11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30" customHeight="1" x14ac:dyDescent="0.3">
      <c r="A172" s="111" t="s">
        <v>327</v>
      </c>
      <c r="B172" s="111" t="s">
        <v>744</v>
      </c>
      <c r="C172" s="112" t="s">
        <v>398</v>
      </c>
      <c r="D172" s="122" t="s">
        <v>370</v>
      </c>
      <c r="E172" s="122" t="s">
        <v>339</v>
      </c>
      <c r="F172" s="122" t="s">
        <v>343</v>
      </c>
      <c r="G172" s="123">
        <v>106</v>
      </c>
      <c r="H172" s="115" t="s">
        <v>745</v>
      </c>
      <c r="I172" s="115" t="s">
        <v>746</v>
      </c>
      <c r="J172" s="126">
        <v>-40</v>
      </c>
      <c r="K172" s="125">
        <v>-34</v>
      </c>
      <c r="L172" s="11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30" customHeight="1" x14ac:dyDescent="0.3">
      <c r="A173" s="111" t="s">
        <v>747</v>
      </c>
      <c r="B173" s="127" t="s">
        <v>748</v>
      </c>
      <c r="C173" s="112" t="s">
        <v>749</v>
      </c>
      <c r="D173" s="122"/>
      <c r="E173" s="122"/>
      <c r="F173" s="122"/>
      <c r="G173" s="128" t="s">
        <v>748</v>
      </c>
      <c r="H173" s="129" t="s">
        <v>748</v>
      </c>
      <c r="I173" s="129" t="s">
        <v>748</v>
      </c>
      <c r="J173" s="122"/>
      <c r="K173" s="125">
        <v>0</v>
      </c>
      <c r="L173" s="11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30" customHeight="1" x14ac:dyDescent="0.3">
      <c r="A174" s="111" t="s">
        <v>747</v>
      </c>
      <c r="B174" s="127" t="s">
        <v>748</v>
      </c>
      <c r="C174" s="112" t="s">
        <v>749</v>
      </c>
      <c r="D174" s="122"/>
      <c r="E174" s="122"/>
      <c r="F174" s="122"/>
      <c r="G174" s="128" t="s">
        <v>748</v>
      </c>
      <c r="H174" s="129" t="s">
        <v>748</v>
      </c>
      <c r="I174" s="129" t="s">
        <v>748</v>
      </c>
      <c r="J174" s="122"/>
      <c r="K174" s="125">
        <v>0</v>
      </c>
      <c r="L174" s="11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30" customHeight="1" x14ac:dyDescent="0.3">
      <c r="A175" s="111" t="s">
        <v>747</v>
      </c>
      <c r="B175" s="127" t="s">
        <v>748</v>
      </c>
      <c r="C175" s="112" t="s">
        <v>749</v>
      </c>
      <c r="D175" s="122"/>
      <c r="E175" s="122"/>
      <c r="F175" s="122"/>
      <c r="G175" s="128" t="s">
        <v>748</v>
      </c>
      <c r="H175" s="129" t="s">
        <v>748</v>
      </c>
      <c r="I175" s="129" t="s">
        <v>748</v>
      </c>
      <c r="J175" s="122"/>
      <c r="K175" s="125">
        <v>0</v>
      </c>
      <c r="L175" s="11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30" customHeight="1" x14ac:dyDescent="0.3">
      <c r="A176" s="111" t="s">
        <v>747</v>
      </c>
      <c r="B176" s="127" t="s">
        <v>748</v>
      </c>
      <c r="C176" s="112" t="s">
        <v>749</v>
      </c>
      <c r="D176" s="122"/>
      <c r="E176" s="122"/>
      <c r="F176" s="122"/>
      <c r="G176" s="128" t="s">
        <v>748</v>
      </c>
      <c r="H176" s="129" t="s">
        <v>748</v>
      </c>
      <c r="I176" s="129" t="s">
        <v>748</v>
      </c>
      <c r="J176" s="122"/>
      <c r="K176" s="125">
        <v>0</v>
      </c>
      <c r="L176" s="11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30" customHeight="1" x14ac:dyDescent="0.3">
      <c r="A177" s="111" t="s">
        <v>747</v>
      </c>
      <c r="B177" s="127" t="s">
        <v>748</v>
      </c>
      <c r="C177" s="112" t="s">
        <v>749</v>
      </c>
      <c r="D177" s="122"/>
      <c r="E177" s="122"/>
      <c r="F177" s="122"/>
      <c r="G177" s="128" t="s">
        <v>748</v>
      </c>
      <c r="H177" s="129" t="s">
        <v>748</v>
      </c>
      <c r="I177" s="129" t="s">
        <v>748</v>
      </c>
      <c r="J177" s="122"/>
      <c r="K177" s="125">
        <v>0</v>
      </c>
      <c r="L177" s="11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30" customHeight="1" x14ac:dyDescent="0.3">
      <c r="A178" s="111" t="s">
        <v>747</v>
      </c>
      <c r="B178" s="127" t="s">
        <v>748</v>
      </c>
      <c r="C178" s="112" t="s">
        <v>749</v>
      </c>
      <c r="D178" s="122"/>
      <c r="E178" s="122"/>
      <c r="F178" s="122"/>
      <c r="G178" s="128" t="s">
        <v>748</v>
      </c>
      <c r="H178" s="129" t="s">
        <v>748</v>
      </c>
      <c r="I178" s="129" t="s">
        <v>748</v>
      </c>
      <c r="J178" s="122"/>
      <c r="K178" s="125">
        <v>0</v>
      </c>
      <c r="L178" s="11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30" customHeight="1" x14ac:dyDescent="0.3">
      <c r="A179" s="111" t="s">
        <v>747</v>
      </c>
      <c r="B179" s="127" t="s">
        <v>748</v>
      </c>
      <c r="C179" s="112" t="s">
        <v>749</v>
      </c>
      <c r="D179" s="122"/>
      <c r="E179" s="122"/>
      <c r="F179" s="122"/>
      <c r="G179" s="128" t="s">
        <v>748</v>
      </c>
      <c r="H179" s="129" t="s">
        <v>748</v>
      </c>
      <c r="I179" s="129" t="s">
        <v>748</v>
      </c>
      <c r="J179" s="122"/>
      <c r="K179" s="125">
        <v>0</v>
      </c>
      <c r="L179" s="11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30" customHeight="1" x14ac:dyDescent="0.3">
      <c r="A180" s="111" t="s">
        <v>747</v>
      </c>
      <c r="B180" s="127" t="s">
        <v>748</v>
      </c>
      <c r="C180" s="112" t="s">
        <v>749</v>
      </c>
      <c r="D180" s="122"/>
      <c r="E180" s="122"/>
      <c r="F180" s="122"/>
      <c r="G180" s="128" t="s">
        <v>748</v>
      </c>
      <c r="H180" s="129" t="s">
        <v>748</v>
      </c>
      <c r="I180" s="129" t="s">
        <v>748</v>
      </c>
      <c r="J180" s="122"/>
      <c r="K180" s="125">
        <v>0</v>
      </c>
      <c r="L180" s="11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30" customHeight="1" x14ac:dyDescent="0.3">
      <c r="A181" s="111" t="s">
        <v>747</v>
      </c>
      <c r="B181" s="127" t="s">
        <v>748</v>
      </c>
      <c r="C181" s="112" t="s">
        <v>749</v>
      </c>
      <c r="D181" s="122"/>
      <c r="E181" s="122"/>
      <c r="F181" s="122"/>
      <c r="G181" s="128" t="s">
        <v>748</v>
      </c>
      <c r="H181" s="129" t="s">
        <v>748</v>
      </c>
      <c r="I181" s="129" t="s">
        <v>748</v>
      </c>
      <c r="J181" s="122"/>
      <c r="K181" s="125">
        <v>0</v>
      </c>
      <c r="L181" s="11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30" customHeight="1" x14ac:dyDescent="0.3">
      <c r="A182" s="111" t="s">
        <v>747</v>
      </c>
      <c r="B182" s="127" t="s">
        <v>748</v>
      </c>
      <c r="C182" s="112" t="s">
        <v>749</v>
      </c>
      <c r="D182" s="122"/>
      <c r="E182" s="122"/>
      <c r="F182" s="122"/>
      <c r="G182" s="128" t="s">
        <v>748</v>
      </c>
      <c r="H182" s="129" t="s">
        <v>748</v>
      </c>
      <c r="I182" s="129" t="s">
        <v>748</v>
      </c>
      <c r="J182" s="122"/>
      <c r="K182" s="125">
        <v>0</v>
      </c>
      <c r="L182" s="11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30" customHeight="1" x14ac:dyDescent="0.3">
      <c r="A183" s="111" t="s">
        <v>747</v>
      </c>
      <c r="B183" s="127" t="s">
        <v>748</v>
      </c>
      <c r="C183" s="112" t="s">
        <v>749</v>
      </c>
      <c r="D183" s="122"/>
      <c r="E183" s="122"/>
      <c r="F183" s="122"/>
      <c r="G183" s="128" t="s">
        <v>748</v>
      </c>
      <c r="H183" s="129" t="s">
        <v>748</v>
      </c>
      <c r="I183" s="129" t="s">
        <v>748</v>
      </c>
      <c r="J183" s="122"/>
      <c r="K183" s="125">
        <v>0</v>
      </c>
      <c r="L183" s="11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30" customHeight="1" x14ac:dyDescent="0.3">
      <c r="A184" s="111" t="s">
        <v>747</v>
      </c>
      <c r="B184" s="127" t="s">
        <v>748</v>
      </c>
      <c r="C184" s="112" t="s">
        <v>749</v>
      </c>
      <c r="D184" s="122"/>
      <c r="E184" s="122"/>
      <c r="F184" s="122"/>
      <c r="G184" s="128" t="s">
        <v>748</v>
      </c>
      <c r="H184" s="129" t="s">
        <v>748</v>
      </c>
      <c r="I184" s="129" t="s">
        <v>748</v>
      </c>
      <c r="J184" s="122"/>
      <c r="K184" s="125">
        <v>0</v>
      </c>
      <c r="L184" s="11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30" customHeight="1" x14ac:dyDescent="0.3">
      <c r="A185" s="111" t="s">
        <v>747</v>
      </c>
      <c r="B185" s="127" t="s">
        <v>748</v>
      </c>
      <c r="C185" s="112" t="s">
        <v>749</v>
      </c>
      <c r="D185" s="122"/>
      <c r="E185" s="122"/>
      <c r="F185" s="122"/>
      <c r="G185" s="128" t="s">
        <v>748</v>
      </c>
      <c r="H185" s="129" t="s">
        <v>748</v>
      </c>
      <c r="I185" s="129" t="s">
        <v>748</v>
      </c>
      <c r="J185" s="122"/>
      <c r="K185" s="125">
        <v>0</v>
      </c>
      <c r="L185" s="11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30" customHeight="1" x14ac:dyDescent="0.3">
      <c r="A186" s="111" t="s">
        <v>747</v>
      </c>
      <c r="B186" s="127" t="s">
        <v>748</v>
      </c>
      <c r="C186" s="112" t="s">
        <v>749</v>
      </c>
      <c r="D186" s="122"/>
      <c r="E186" s="122"/>
      <c r="F186" s="122"/>
      <c r="G186" s="128" t="s">
        <v>748</v>
      </c>
      <c r="H186" s="129" t="s">
        <v>748</v>
      </c>
      <c r="I186" s="129" t="s">
        <v>748</v>
      </c>
      <c r="J186" s="122"/>
      <c r="K186" s="125">
        <v>0</v>
      </c>
      <c r="L186" s="11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30" customHeight="1" x14ac:dyDescent="0.3">
      <c r="A187" s="111" t="s">
        <v>747</v>
      </c>
      <c r="B187" s="127" t="s">
        <v>748</v>
      </c>
      <c r="C187" s="112" t="s">
        <v>749</v>
      </c>
      <c r="D187" s="122"/>
      <c r="E187" s="122"/>
      <c r="F187" s="122"/>
      <c r="G187" s="128" t="s">
        <v>748</v>
      </c>
      <c r="H187" s="129" t="s">
        <v>748</v>
      </c>
      <c r="I187" s="129" t="s">
        <v>748</v>
      </c>
      <c r="J187" s="122"/>
      <c r="K187" s="125">
        <v>0</v>
      </c>
      <c r="L187" s="11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30" customHeight="1" x14ac:dyDescent="0.3">
      <c r="A188" s="111" t="s">
        <v>747</v>
      </c>
      <c r="B188" s="127" t="s">
        <v>748</v>
      </c>
      <c r="C188" s="112" t="s">
        <v>749</v>
      </c>
      <c r="D188" s="122"/>
      <c r="E188" s="122"/>
      <c r="F188" s="122"/>
      <c r="G188" s="128" t="s">
        <v>748</v>
      </c>
      <c r="H188" s="129" t="s">
        <v>748</v>
      </c>
      <c r="I188" s="129" t="s">
        <v>748</v>
      </c>
      <c r="J188" s="122"/>
      <c r="K188" s="125">
        <v>0</v>
      </c>
      <c r="L188" s="11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30" customHeight="1" x14ac:dyDescent="0.3">
      <c r="A189" s="111" t="s">
        <v>747</v>
      </c>
      <c r="B189" s="127" t="s">
        <v>748</v>
      </c>
      <c r="C189" s="112" t="s">
        <v>749</v>
      </c>
      <c r="D189" s="122"/>
      <c r="E189" s="122"/>
      <c r="F189" s="122"/>
      <c r="G189" s="128" t="s">
        <v>748</v>
      </c>
      <c r="H189" s="129" t="s">
        <v>748</v>
      </c>
      <c r="I189" s="129" t="s">
        <v>748</v>
      </c>
      <c r="J189" s="122"/>
      <c r="K189" s="125">
        <v>0</v>
      </c>
      <c r="L189" s="11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30" customHeight="1" x14ac:dyDescent="0.3">
      <c r="A190" s="111" t="s">
        <v>747</v>
      </c>
      <c r="B190" s="127" t="s">
        <v>748</v>
      </c>
      <c r="C190" s="112" t="s">
        <v>749</v>
      </c>
      <c r="D190" s="122"/>
      <c r="E190" s="122"/>
      <c r="F190" s="122"/>
      <c r="G190" s="128" t="s">
        <v>748</v>
      </c>
      <c r="H190" s="129" t="s">
        <v>748</v>
      </c>
      <c r="I190" s="129" t="s">
        <v>748</v>
      </c>
      <c r="J190" s="122"/>
      <c r="K190" s="125">
        <v>0</v>
      </c>
      <c r="L190" s="11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30" customHeight="1" x14ac:dyDescent="0.3">
      <c r="A191" s="111" t="s">
        <v>747</v>
      </c>
      <c r="B191" s="127" t="s">
        <v>748</v>
      </c>
      <c r="C191" s="112" t="s">
        <v>749</v>
      </c>
      <c r="D191" s="122"/>
      <c r="E191" s="122"/>
      <c r="F191" s="122"/>
      <c r="G191" s="128" t="s">
        <v>748</v>
      </c>
      <c r="H191" s="129" t="s">
        <v>748</v>
      </c>
      <c r="I191" s="129" t="s">
        <v>748</v>
      </c>
      <c r="J191" s="122"/>
      <c r="K191" s="125">
        <v>0</v>
      </c>
      <c r="L191" s="11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30" customHeight="1" x14ac:dyDescent="0.3">
      <c r="A192" s="111" t="s">
        <v>747</v>
      </c>
      <c r="B192" s="127" t="s">
        <v>748</v>
      </c>
      <c r="C192" s="112" t="s">
        <v>749</v>
      </c>
      <c r="D192" s="122"/>
      <c r="E192" s="122"/>
      <c r="F192" s="122"/>
      <c r="G192" s="128" t="s">
        <v>748</v>
      </c>
      <c r="H192" s="129" t="s">
        <v>748</v>
      </c>
      <c r="I192" s="129" t="s">
        <v>748</v>
      </c>
      <c r="J192" s="122"/>
      <c r="K192" s="125">
        <v>0</v>
      </c>
      <c r="L192" s="11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30" customHeight="1" x14ac:dyDescent="0.3">
      <c r="A193" s="111" t="s">
        <v>747</v>
      </c>
      <c r="B193" s="127" t="s">
        <v>748</v>
      </c>
      <c r="C193" s="112" t="s">
        <v>749</v>
      </c>
      <c r="D193" s="122"/>
      <c r="E193" s="122"/>
      <c r="F193" s="122"/>
      <c r="G193" s="128" t="s">
        <v>748</v>
      </c>
      <c r="H193" s="129" t="s">
        <v>748</v>
      </c>
      <c r="I193" s="129" t="s">
        <v>748</v>
      </c>
      <c r="J193" s="122"/>
      <c r="K193" s="125">
        <v>0</v>
      </c>
      <c r="L193" s="11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30" customHeight="1" x14ac:dyDescent="0.3">
      <c r="A194" s="111" t="s">
        <v>747</v>
      </c>
      <c r="B194" s="127" t="s">
        <v>748</v>
      </c>
      <c r="C194" s="112" t="s">
        <v>749</v>
      </c>
      <c r="D194" s="122"/>
      <c r="E194" s="122"/>
      <c r="F194" s="122"/>
      <c r="G194" s="128" t="s">
        <v>748</v>
      </c>
      <c r="H194" s="129" t="s">
        <v>748</v>
      </c>
      <c r="I194" s="129" t="s">
        <v>748</v>
      </c>
      <c r="J194" s="122"/>
      <c r="K194" s="125">
        <v>0</v>
      </c>
      <c r="L194" s="11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30" customHeight="1" x14ac:dyDescent="0.3">
      <c r="A195" s="111" t="s">
        <v>747</v>
      </c>
      <c r="B195" s="127" t="s">
        <v>748</v>
      </c>
      <c r="C195" s="112" t="s">
        <v>749</v>
      </c>
      <c r="D195" s="122"/>
      <c r="E195" s="122"/>
      <c r="F195" s="122"/>
      <c r="G195" s="128" t="s">
        <v>748</v>
      </c>
      <c r="H195" s="129" t="s">
        <v>748</v>
      </c>
      <c r="I195" s="129" t="s">
        <v>748</v>
      </c>
      <c r="J195" s="122"/>
      <c r="K195" s="125">
        <v>0</v>
      </c>
      <c r="L195" s="11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30" customHeight="1" x14ac:dyDescent="0.3">
      <c r="A196" s="111" t="s">
        <v>747</v>
      </c>
      <c r="B196" s="127" t="s">
        <v>748</v>
      </c>
      <c r="C196" s="112" t="s">
        <v>749</v>
      </c>
      <c r="D196" s="122"/>
      <c r="E196" s="122"/>
      <c r="F196" s="122"/>
      <c r="G196" s="128" t="s">
        <v>748</v>
      </c>
      <c r="H196" s="129" t="s">
        <v>748</v>
      </c>
      <c r="I196" s="129" t="s">
        <v>748</v>
      </c>
      <c r="J196" s="122"/>
      <c r="K196" s="125">
        <v>0</v>
      </c>
      <c r="L196" s="11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30" customHeight="1" x14ac:dyDescent="0.3">
      <c r="A197" s="111" t="s">
        <v>747</v>
      </c>
      <c r="B197" s="127" t="s">
        <v>748</v>
      </c>
      <c r="C197" s="112" t="s">
        <v>749</v>
      </c>
      <c r="D197" s="122"/>
      <c r="E197" s="122"/>
      <c r="F197" s="122"/>
      <c r="G197" s="128" t="s">
        <v>748</v>
      </c>
      <c r="H197" s="129" t="s">
        <v>748</v>
      </c>
      <c r="I197" s="129" t="s">
        <v>748</v>
      </c>
      <c r="J197" s="122"/>
      <c r="K197" s="125">
        <v>0</v>
      </c>
      <c r="L197" s="11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30" customHeight="1" x14ac:dyDescent="0.3">
      <c r="A198" s="119"/>
      <c r="B198" s="119"/>
      <c r="C198" s="119"/>
      <c r="D198" s="122" t="s">
        <v>343</v>
      </c>
      <c r="E198" s="122"/>
      <c r="F198" s="122"/>
      <c r="G198" s="119"/>
      <c r="H198" s="130"/>
      <c r="I198" s="130"/>
      <c r="J198" s="122"/>
      <c r="K198" s="119"/>
      <c r="L198" s="11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69"/>
      <c r="B199" s="69"/>
      <c r="C199" s="9"/>
      <c r="D199" s="131" t="s">
        <v>343</v>
      </c>
      <c r="E199" s="131"/>
      <c r="F199" s="131"/>
      <c r="G199" s="9"/>
      <c r="H199" s="132"/>
      <c r="I199" s="132"/>
      <c r="J199" s="131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69"/>
      <c r="B200" s="69"/>
      <c r="C200" s="9"/>
      <c r="D200" s="131"/>
      <c r="E200" s="131"/>
      <c r="F200" s="131"/>
      <c r="G200" s="9"/>
      <c r="H200" s="132"/>
      <c r="I200" s="132"/>
      <c r="J200" s="131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69"/>
      <c r="B201" s="69"/>
      <c r="C201" s="9"/>
      <c r="D201" s="131"/>
      <c r="E201" s="131"/>
      <c r="F201" s="131"/>
      <c r="G201" s="9"/>
      <c r="H201" s="132"/>
      <c r="I201" s="132"/>
      <c r="J201" s="131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69"/>
      <c r="B202" s="69"/>
      <c r="C202" s="9"/>
      <c r="D202" s="131"/>
      <c r="E202" s="131"/>
      <c r="F202" s="131"/>
      <c r="G202" s="9"/>
      <c r="H202" s="132"/>
      <c r="I202" s="132"/>
      <c r="J202" s="131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69"/>
      <c r="B203" s="69"/>
      <c r="C203" s="9"/>
      <c r="D203" s="131"/>
      <c r="E203" s="131"/>
      <c r="F203" s="131"/>
      <c r="G203" s="9"/>
      <c r="H203" s="132"/>
      <c r="I203" s="132"/>
      <c r="J203" s="131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69"/>
      <c r="B204" s="69"/>
      <c r="C204" s="9"/>
      <c r="D204" s="131"/>
      <c r="E204" s="131"/>
      <c r="F204" s="131"/>
      <c r="G204" s="9"/>
      <c r="H204" s="132"/>
      <c r="I204" s="132"/>
      <c r="J204" s="131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69"/>
      <c r="B205" s="69"/>
      <c r="C205" s="9"/>
      <c r="D205" s="131"/>
      <c r="E205" s="131"/>
      <c r="F205" s="131"/>
      <c r="G205" s="9"/>
      <c r="H205" s="132"/>
      <c r="I205" s="132"/>
      <c r="J205" s="131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69"/>
      <c r="B206" s="69"/>
      <c r="C206" s="9"/>
      <c r="D206" s="131"/>
      <c r="E206" s="131"/>
      <c r="F206" s="131"/>
      <c r="G206" s="9"/>
      <c r="H206" s="132"/>
      <c r="I206" s="132"/>
      <c r="J206" s="131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69"/>
      <c r="B207" s="69"/>
      <c r="C207" s="9"/>
      <c r="D207" s="131"/>
      <c r="E207" s="131"/>
      <c r="F207" s="131"/>
      <c r="G207" s="9"/>
      <c r="H207" s="132"/>
      <c r="I207" s="132"/>
      <c r="J207" s="131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69"/>
      <c r="B208" s="69"/>
      <c r="C208" s="9"/>
      <c r="D208" s="131"/>
      <c r="E208" s="131"/>
      <c r="F208" s="131"/>
      <c r="G208" s="9"/>
      <c r="H208" s="132"/>
      <c r="I208" s="132"/>
      <c r="J208" s="131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69"/>
      <c r="B209" s="69"/>
      <c r="C209" s="9"/>
      <c r="D209" s="131"/>
      <c r="E209" s="131"/>
      <c r="F209" s="131"/>
      <c r="G209" s="9"/>
      <c r="H209" s="132"/>
      <c r="I209" s="132"/>
      <c r="J209" s="131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69"/>
      <c r="B210" s="69"/>
      <c r="C210" s="9"/>
      <c r="D210" s="131"/>
      <c r="E210" s="131"/>
      <c r="F210" s="131"/>
      <c r="G210" s="9"/>
      <c r="H210" s="132"/>
      <c r="I210" s="132"/>
      <c r="J210" s="131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69"/>
      <c r="B211" s="69"/>
      <c r="C211" s="9"/>
      <c r="D211" s="131"/>
      <c r="E211" s="131"/>
      <c r="F211" s="131"/>
      <c r="G211" s="9"/>
      <c r="H211" s="132"/>
      <c r="I211" s="132"/>
      <c r="J211" s="131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69"/>
      <c r="B212" s="69"/>
      <c r="C212" s="9"/>
      <c r="D212" s="131"/>
      <c r="E212" s="131"/>
      <c r="F212" s="131"/>
      <c r="G212" s="9"/>
      <c r="H212" s="132"/>
      <c r="I212" s="132"/>
      <c r="J212" s="131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69"/>
      <c r="B213" s="69"/>
      <c r="C213" s="9"/>
      <c r="D213" s="131"/>
      <c r="E213" s="131"/>
      <c r="F213" s="131"/>
      <c r="G213" s="9"/>
      <c r="H213" s="132"/>
      <c r="I213" s="132"/>
      <c r="J213" s="131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69"/>
      <c r="B214" s="69"/>
      <c r="C214" s="9"/>
      <c r="D214" s="131"/>
      <c r="E214" s="131"/>
      <c r="F214" s="131"/>
      <c r="G214" s="9"/>
      <c r="H214" s="132"/>
      <c r="I214" s="132"/>
      <c r="J214" s="131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69"/>
      <c r="B215" s="69"/>
      <c r="C215" s="9"/>
      <c r="D215" s="131"/>
      <c r="E215" s="131"/>
      <c r="F215" s="131"/>
      <c r="G215" s="9"/>
      <c r="H215" s="132"/>
      <c r="I215" s="132"/>
      <c r="J215" s="131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69"/>
      <c r="B216" s="69"/>
      <c r="C216" s="9"/>
      <c r="D216" s="131"/>
      <c r="E216" s="131"/>
      <c r="F216" s="131"/>
      <c r="G216" s="9"/>
      <c r="H216" s="132"/>
      <c r="I216" s="132"/>
      <c r="J216" s="131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69"/>
      <c r="B217" s="69"/>
      <c r="C217" s="9"/>
      <c r="D217" s="131"/>
      <c r="E217" s="131"/>
      <c r="F217" s="131"/>
      <c r="G217" s="9"/>
      <c r="H217" s="132"/>
      <c r="I217" s="132"/>
      <c r="J217" s="131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69"/>
      <c r="B218" s="69"/>
      <c r="C218" s="9"/>
      <c r="D218" s="131"/>
      <c r="E218" s="131"/>
      <c r="F218" s="131"/>
      <c r="G218" s="9"/>
      <c r="H218" s="132"/>
      <c r="I218" s="132"/>
      <c r="J218" s="131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69"/>
      <c r="B219" s="69"/>
      <c r="C219" s="9"/>
      <c r="D219" s="131"/>
      <c r="E219" s="131"/>
      <c r="F219" s="131"/>
      <c r="G219" s="9"/>
      <c r="H219" s="132"/>
      <c r="I219" s="132"/>
      <c r="J219" s="131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69"/>
      <c r="B220" s="69"/>
      <c r="C220" s="9"/>
      <c r="D220" s="131"/>
      <c r="E220" s="131"/>
      <c r="F220" s="131"/>
      <c r="G220" s="9"/>
      <c r="H220" s="132"/>
      <c r="I220" s="132"/>
      <c r="J220" s="131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69"/>
      <c r="B221" s="69"/>
      <c r="C221" s="9"/>
      <c r="D221" s="131"/>
      <c r="E221" s="131"/>
      <c r="F221" s="131"/>
      <c r="G221" s="9"/>
      <c r="H221" s="132"/>
      <c r="I221" s="132"/>
      <c r="J221" s="131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69"/>
      <c r="B222" s="69"/>
      <c r="C222" s="9"/>
      <c r="D222" s="131"/>
      <c r="E222" s="131"/>
      <c r="F222" s="131"/>
      <c r="G222" s="9"/>
      <c r="H222" s="132"/>
      <c r="I222" s="132"/>
      <c r="J222" s="131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69"/>
      <c r="B223" s="69"/>
      <c r="C223" s="9"/>
      <c r="D223" s="131"/>
      <c r="E223" s="131"/>
      <c r="F223" s="131"/>
      <c r="G223" s="9"/>
      <c r="H223" s="132"/>
      <c r="I223" s="132"/>
      <c r="J223" s="131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69"/>
      <c r="B224" s="69"/>
      <c r="C224" s="9"/>
      <c r="D224" s="131"/>
      <c r="E224" s="131"/>
      <c r="F224" s="131"/>
      <c r="G224" s="9"/>
      <c r="H224" s="132"/>
      <c r="I224" s="132"/>
      <c r="J224" s="131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69"/>
      <c r="B225" s="69"/>
      <c r="C225" s="9"/>
      <c r="D225" s="131"/>
      <c r="E225" s="131"/>
      <c r="F225" s="131"/>
      <c r="G225" s="9"/>
      <c r="H225" s="132"/>
      <c r="I225" s="132"/>
      <c r="J225" s="131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69"/>
      <c r="B226" s="69"/>
      <c r="C226" s="9"/>
      <c r="D226" s="131"/>
      <c r="E226" s="131"/>
      <c r="F226" s="131"/>
      <c r="G226" s="9"/>
      <c r="H226" s="132"/>
      <c r="I226" s="132"/>
      <c r="J226" s="131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69"/>
      <c r="B227" s="69"/>
      <c r="C227" s="9"/>
      <c r="D227" s="131"/>
      <c r="E227" s="131"/>
      <c r="F227" s="131"/>
      <c r="G227" s="9"/>
      <c r="H227" s="132"/>
      <c r="I227" s="132"/>
      <c r="J227" s="131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69"/>
      <c r="B228" s="69"/>
      <c r="C228" s="9"/>
      <c r="D228" s="131"/>
      <c r="E228" s="131"/>
      <c r="F228" s="131"/>
      <c r="G228" s="9"/>
      <c r="H228" s="132"/>
      <c r="I228" s="132"/>
      <c r="J228" s="131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69"/>
      <c r="B229" s="69"/>
      <c r="C229" s="9"/>
      <c r="D229" s="131"/>
      <c r="E229" s="131"/>
      <c r="F229" s="131"/>
      <c r="G229" s="9"/>
      <c r="H229" s="132"/>
      <c r="I229" s="132"/>
      <c r="J229" s="131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69"/>
      <c r="B230" s="69"/>
      <c r="C230" s="9"/>
      <c r="D230" s="131"/>
      <c r="E230" s="131"/>
      <c r="F230" s="131"/>
      <c r="G230" s="9"/>
      <c r="H230" s="132"/>
      <c r="I230" s="132"/>
      <c r="J230" s="131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69"/>
      <c r="B231" s="69"/>
      <c r="C231" s="9"/>
      <c r="D231" s="131"/>
      <c r="E231" s="131"/>
      <c r="F231" s="131"/>
      <c r="G231" s="9"/>
      <c r="H231" s="132"/>
      <c r="I231" s="132"/>
      <c r="J231" s="131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69"/>
      <c r="B232" s="69"/>
      <c r="C232" s="9"/>
      <c r="D232" s="131"/>
      <c r="E232" s="131"/>
      <c r="F232" s="131"/>
      <c r="G232" s="9"/>
      <c r="H232" s="132"/>
      <c r="I232" s="132"/>
      <c r="J232" s="131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69"/>
      <c r="B233" s="69"/>
      <c r="C233" s="9"/>
      <c r="D233" s="131"/>
      <c r="E233" s="131"/>
      <c r="F233" s="131"/>
      <c r="G233" s="9"/>
      <c r="H233" s="132"/>
      <c r="I233" s="132"/>
      <c r="J233" s="131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69"/>
      <c r="B234" s="69"/>
      <c r="C234" s="9"/>
      <c r="D234" s="131"/>
      <c r="E234" s="131"/>
      <c r="F234" s="131"/>
      <c r="G234" s="9"/>
      <c r="H234" s="132"/>
      <c r="I234" s="132"/>
      <c r="J234" s="131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69"/>
      <c r="B235" s="69"/>
      <c r="C235" s="9"/>
      <c r="D235" s="131"/>
      <c r="E235" s="131"/>
      <c r="F235" s="131"/>
      <c r="G235" s="9"/>
      <c r="H235" s="132"/>
      <c r="I235" s="132"/>
      <c r="J235" s="131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69"/>
      <c r="B236" s="69"/>
      <c r="C236" s="9"/>
      <c r="D236" s="131"/>
      <c r="E236" s="131"/>
      <c r="F236" s="131"/>
      <c r="G236" s="9"/>
      <c r="H236" s="132"/>
      <c r="I236" s="132"/>
      <c r="J236" s="131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69"/>
      <c r="B237" s="69"/>
      <c r="C237" s="9"/>
      <c r="D237" s="131"/>
      <c r="E237" s="131"/>
      <c r="F237" s="131"/>
      <c r="G237" s="9"/>
      <c r="H237" s="132"/>
      <c r="I237" s="132"/>
      <c r="J237" s="131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69"/>
      <c r="B238" s="69"/>
      <c r="C238" s="9"/>
      <c r="D238" s="131"/>
      <c r="E238" s="131"/>
      <c r="F238" s="131"/>
      <c r="G238" s="9"/>
      <c r="H238" s="132"/>
      <c r="I238" s="132"/>
      <c r="J238" s="131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69"/>
      <c r="B239" s="69"/>
      <c r="C239" s="9"/>
      <c r="D239" s="131"/>
      <c r="E239" s="131"/>
      <c r="F239" s="131"/>
      <c r="G239" s="9"/>
      <c r="H239" s="132"/>
      <c r="I239" s="132"/>
      <c r="J239" s="131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69"/>
      <c r="B240" s="69"/>
      <c r="C240" s="9"/>
      <c r="D240" s="131"/>
      <c r="E240" s="131"/>
      <c r="F240" s="131"/>
      <c r="G240" s="9"/>
      <c r="H240" s="132"/>
      <c r="I240" s="132"/>
      <c r="J240" s="131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69"/>
      <c r="B241" s="69"/>
      <c r="C241" s="9"/>
      <c r="D241" s="131"/>
      <c r="E241" s="131"/>
      <c r="F241" s="131"/>
      <c r="G241" s="9"/>
      <c r="H241" s="132"/>
      <c r="I241" s="132"/>
      <c r="J241" s="131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69"/>
      <c r="B242" s="69"/>
      <c r="C242" s="9"/>
      <c r="D242" s="131"/>
      <c r="E242" s="131"/>
      <c r="F242" s="131"/>
      <c r="G242" s="9"/>
      <c r="H242" s="132"/>
      <c r="I242" s="132"/>
      <c r="J242" s="131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69"/>
      <c r="B243" s="69"/>
      <c r="C243" s="9"/>
      <c r="D243" s="131"/>
      <c r="E243" s="131"/>
      <c r="F243" s="131"/>
      <c r="G243" s="9"/>
      <c r="H243" s="132"/>
      <c r="I243" s="132"/>
      <c r="J243" s="131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69"/>
      <c r="B244" s="69"/>
      <c r="C244" s="9"/>
      <c r="D244" s="131"/>
      <c r="E244" s="131"/>
      <c r="F244" s="131"/>
      <c r="G244" s="9"/>
      <c r="H244" s="132"/>
      <c r="I244" s="132"/>
      <c r="J244" s="131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69"/>
      <c r="B245" s="69"/>
      <c r="C245" s="9"/>
      <c r="D245" s="131"/>
      <c r="E245" s="131"/>
      <c r="F245" s="131"/>
      <c r="G245" s="9"/>
      <c r="H245" s="132"/>
      <c r="I245" s="132"/>
      <c r="J245" s="131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69"/>
      <c r="B246" s="69"/>
      <c r="C246" s="9"/>
      <c r="D246" s="131"/>
      <c r="E246" s="131"/>
      <c r="F246" s="131"/>
      <c r="G246" s="9"/>
      <c r="H246" s="132"/>
      <c r="I246" s="132"/>
      <c r="J246" s="131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69"/>
      <c r="B247" s="69"/>
      <c r="C247" s="9"/>
      <c r="D247" s="131"/>
      <c r="E247" s="131"/>
      <c r="F247" s="131"/>
      <c r="G247" s="9"/>
      <c r="H247" s="132"/>
      <c r="I247" s="132"/>
      <c r="J247" s="131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69"/>
      <c r="B248" s="69"/>
      <c r="C248" s="9"/>
      <c r="D248" s="131"/>
      <c r="E248" s="131"/>
      <c r="F248" s="131"/>
      <c r="G248" s="9"/>
      <c r="H248" s="132"/>
      <c r="I248" s="132"/>
      <c r="J248" s="131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69"/>
      <c r="B249" s="69"/>
      <c r="C249" s="9"/>
      <c r="D249" s="131"/>
      <c r="E249" s="131"/>
      <c r="F249" s="131"/>
      <c r="G249" s="9"/>
      <c r="H249" s="132"/>
      <c r="I249" s="132"/>
      <c r="J249" s="131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69"/>
      <c r="B250" s="69"/>
      <c r="C250" s="9"/>
      <c r="D250" s="131"/>
      <c r="E250" s="131"/>
      <c r="F250" s="131"/>
      <c r="G250" s="9"/>
      <c r="H250" s="132"/>
      <c r="I250" s="132"/>
      <c r="J250" s="131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69"/>
      <c r="B251" s="69"/>
      <c r="C251" s="9"/>
      <c r="D251" s="131"/>
      <c r="E251" s="131"/>
      <c r="F251" s="131"/>
      <c r="G251" s="9"/>
      <c r="H251" s="132"/>
      <c r="I251" s="132"/>
      <c r="J251" s="131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69"/>
      <c r="B252" s="69"/>
      <c r="C252" s="9"/>
      <c r="D252" s="131"/>
      <c r="E252" s="131"/>
      <c r="F252" s="131"/>
      <c r="G252" s="9"/>
      <c r="H252" s="132"/>
      <c r="I252" s="132"/>
      <c r="J252" s="131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69"/>
      <c r="B253" s="69"/>
      <c r="C253" s="9"/>
      <c r="D253" s="131"/>
      <c r="E253" s="131"/>
      <c r="F253" s="131"/>
      <c r="G253" s="9"/>
      <c r="H253" s="132"/>
      <c r="I253" s="132"/>
      <c r="J253" s="131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69"/>
      <c r="B254" s="69"/>
      <c r="C254" s="9"/>
      <c r="D254" s="131"/>
      <c r="E254" s="131"/>
      <c r="F254" s="131"/>
      <c r="G254" s="9"/>
      <c r="H254" s="132"/>
      <c r="I254" s="132"/>
      <c r="J254" s="131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69"/>
      <c r="B255" s="69"/>
      <c r="C255" s="9"/>
      <c r="D255" s="131"/>
      <c r="E255" s="131"/>
      <c r="F255" s="131"/>
      <c r="G255" s="9"/>
      <c r="H255" s="132"/>
      <c r="I255" s="132"/>
      <c r="J255" s="131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69"/>
      <c r="B256" s="69"/>
      <c r="C256" s="9"/>
      <c r="D256" s="131"/>
      <c r="E256" s="131"/>
      <c r="F256" s="131"/>
      <c r="G256" s="9"/>
      <c r="H256" s="132"/>
      <c r="I256" s="132"/>
      <c r="J256" s="131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69"/>
      <c r="B257" s="69"/>
      <c r="C257" s="9"/>
      <c r="D257" s="131"/>
      <c r="E257" s="131"/>
      <c r="F257" s="131"/>
      <c r="G257" s="9"/>
      <c r="H257" s="132"/>
      <c r="I257" s="132"/>
      <c r="J257" s="131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69"/>
      <c r="B258" s="69"/>
      <c r="C258" s="9"/>
      <c r="D258" s="131"/>
      <c r="E258" s="131"/>
      <c r="F258" s="131"/>
      <c r="G258" s="9"/>
      <c r="H258" s="132"/>
      <c r="I258" s="132"/>
      <c r="J258" s="131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69"/>
      <c r="B259" s="69"/>
      <c r="C259" s="9"/>
      <c r="D259" s="131"/>
      <c r="E259" s="131"/>
      <c r="F259" s="131"/>
      <c r="G259" s="9"/>
      <c r="H259" s="132"/>
      <c r="I259" s="132"/>
      <c r="J259" s="131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69"/>
      <c r="B260" s="69"/>
      <c r="C260" s="9"/>
      <c r="D260" s="131"/>
      <c r="E260" s="131"/>
      <c r="F260" s="131"/>
      <c r="G260" s="9"/>
      <c r="H260" s="132"/>
      <c r="I260" s="132"/>
      <c r="J260" s="131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69"/>
      <c r="B261" s="69"/>
      <c r="C261" s="9"/>
      <c r="D261" s="131"/>
      <c r="E261" s="131"/>
      <c r="F261" s="131"/>
      <c r="G261" s="9"/>
      <c r="H261" s="132"/>
      <c r="I261" s="132"/>
      <c r="J261" s="131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69"/>
      <c r="B262" s="69"/>
      <c r="C262" s="9"/>
      <c r="D262" s="131"/>
      <c r="E262" s="131"/>
      <c r="F262" s="131"/>
      <c r="G262" s="9"/>
      <c r="H262" s="132"/>
      <c r="I262" s="132"/>
      <c r="J262" s="131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69"/>
      <c r="B263" s="69"/>
      <c r="C263" s="9"/>
      <c r="D263" s="131"/>
      <c r="E263" s="131"/>
      <c r="F263" s="131"/>
      <c r="G263" s="9"/>
      <c r="H263" s="132"/>
      <c r="I263" s="132"/>
      <c r="J263" s="131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69"/>
      <c r="B264" s="69"/>
      <c r="C264" s="9"/>
      <c r="D264" s="131"/>
      <c r="E264" s="131"/>
      <c r="F264" s="131"/>
      <c r="G264" s="9"/>
      <c r="H264" s="132"/>
      <c r="I264" s="132"/>
      <c r="J264" s="131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69"/>
      <c r="B265" s="69"/>
      <c r="C265" s="9"/>
      <c r="D265" s="131"/>
      <c r="E265" s="131"/>
      <c r="F265" s="131"/>
      <c r="G265" s="9"/>
      <c r="H265" s="132"/>
      <c r="I265" s="132"/>
      <c r="J265" s="131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69"/>
      <c r="B266" s="69"/>
      <c r="C266" s="9"/>
      <c r="D266" s="131"/>
      <c r="E266" s="131"/>
      <c r="F266" s="131"/>
      <c r="G266" s="9"/>
      <c r="H266" s="132"/>
      <c r="I266" s="132"/>
      <c r="J266" s="131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69"/>
      <c r="B267" s="69"/>
      <c r="C267" s="9"/>
      <c r="D267" s="131"/>
      <c r="E267" s="131"/>
      <c r="F267" s="131"/>
      <c r="G267" s="9"/>
      <c r="H267" s="132"/>
      <c r="I267" s="132"/>
      <c r="J267" s="131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69"/>
      <c r="B268" s="69"/>
      <c r="C268" s="9"/>
      <c r="D268" s="131"/>
      <c r="E268" s="131"/>
      <c r="F268" s="131"/>
      <c r="G268" s="9"/>
      <c r="H268" s="132"/>
      <c r="I268" s="132"/>
      <c r="J268" s="131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69"/>
      <c r="B269" s="69"/>
      <c r="C269" s="9"/>
      <c r="D269" s="131"/>
      <c r="E269" s="131"/>
      <c r="F269" s="131"/>
      <c r="G269" s="9"/>
      <c r="H269" s="132"/>
      <c r="I269" s="132"/>
      <c r="J269" s="131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69"/>
      <c r="B270" s="69"/>
      <c r="C270" s="9"/>
      <c r="D270" s="131"/>
      <c r="E270" s="131"/>
      <c r="F270" s="131"/>
      <c r="G270" s="9"/>
      <c r="H270" s="132"/>
      <c r="I270" s="132"/>
      <c r="J270" s="131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69"/>
      <c r="B271" s="69"/>
      <c r="C271" s="9"/>
      <c r="D271" s="131"/>
      <c r="E271" s="131"/>
      <c r="F271" s="131"/>
      <c r="G271" s="9"/>
      <c r="H271" s="132"/>
      <c r="I271" s="132"/>
      <c r="J271" s="131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69"/>
      <c r="B272" s="69"/>
      <c r="C272" s="9"/>
      <c r="D272" s="131"/>
      <c r="E272" s="131"/>
      <c r="F272" s="131"/>
      <c r="G272" s="9"/>
      <c r="H272" s="132"/>
      <c r="I272" s="132"/>
      <c r="J272" s="131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69"/>
      <c r="B273" s="69"/>
      <c r="C273" s="9"/>
      <c r="D273" s="131"/>
      <c r="E273" s="131"/>
      <c r="F273" s="131"/>
      <c r="G273" s="9"/>
      <c r="H273" s="132"/>
      <c r="I273" s="132"/>
      <c r="J273" s="131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69"/>
      <c r="B274" s="69"/>
      <c r="C274" s="9"/>
      <c r="D274" s="131"/>
      <c r="E274" s="131"/>
      <c r="F274" s="131"/>
      <c r="G274" s="9"/>
      <c r="H274" s="132"/>
      <c r="I274" s="132"/>
      <c r="J274" s="131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69"/>
      <c r="B275" s="69"/>
      <c r="C275" s="9"/>
      <c r="D275" s="131"/>
      <c r="E275" s="131"/>
      <c r="F275" s="131"/>
      <c r="G275" s="9"/>
      <c r="H275" s="132"/>
      <c r="I275" s="132"/>
      <c r="J275" s="131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69"/>
      <c r="B276" s="69"/>
      <c r="C276" s="9"/>
      <c r="D276" s="131"/>
      <c r="E276" s="131"/>
      <c r="F276" s="131"/>
      <c r="G276" s="9"/>
      <c r="H276" s="132"/>
      <c r="I276" s="132"/>
      <c r="J276" s="131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69"/>
      <c r="B277" s="69"/>
      <c r="C277" s="9"/>
      <c r="D277" s="131"/>
      <c r="E277" s="131"/>
      <c r="F277" s="131"/>
      <c r="G277" s="9"/>
      <c r="H277" s="132"/>
      <c r="I277" s="132"/>
      <c r="J277" s="131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69"/>
      <c r="B278" s="69"/>
      <c r="C278" s="9"/>
      <c r="D278" s="131"/>
      <c r="E278" s="131"/>
      <c r="F278" s="131"/>
      <c r="G278" s="9"/>
      <c r="H278" s="132"/>
      <c r="I278" s="132"/>
      <c r="J278" s="131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69"/>
      <c r="B279" s="69"/>
      <c r="C279" s="9"/>
      <c r="D279" s="131"/>
      <c r="E279" s="131"/>
      <c r="F279" s="131"/>
      <c r="G279" s="9"/>
      <c r="H279" s="132"/>
      <c r="I279" s="132"/>
      <c r="J279" s="131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69"/>
      <c r="B280" s="69"/>
      <c r="C280" s="9"/>
      <c r="D280" s="131"/>
      <c r="E280" s="131"/>
      <c r="F280" s="131"/>
      <c r="G280" s="9"/>
      <c r="H280" s="132"/>
      <c r="I280" s="132"/>
      <c r="J280" s="131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69"/>
      <c r="B281" s="69"/>
      <c r="C281" s="9"/>
      <c r="D281" s="131"/>
      <c r="E281" s="131"/>
      <c r="F281" s="131"/>
      <c r="G281" s="9"/>
      <c r="H281" s="132"/>
      <c r="I281" s="132"/>
      <c r="J281" s="131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69"/>
      <c r="B282" s="69"/>
      <c r="C282" s="9"/>
      <c r="D282" s="131"/>
      <c r="E282" s="131"/>
      <c r="F282" s="131"/>
      <c r="G282" s="9"/>
      <c r="H282" s="132"/>
      <c r="I282" s="132"/>
      <c r="J282" s="131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69"/>
      <c r="B283" s="69"/>
      <c r="C283" s="9"/>
      <c r="D283" s="131"/>
      <c r="E283" s="131"/>
      <c r="F283" s="131"/>
      <c r="G283" s="9"/>
      <c r="H283" s="132"/>
      <c r="I283" s="132"/>
      <c r="J283" s="131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69"/>
      <c r="B284" s="69"/>
      <c r="C284" s="9"/>
      <c r="D284" s="131"/>
      <c r="E284" s="131"/>
      <c r="F284" s="131"/>
      <c r="G284" s="9"/>
      <c r="H284" s="132"/>
      <c r="I284" s="132"/>
      <c r="J284" s="131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69"/>
      <c r="B285" s="69"/>
      <c r="C285" s="9"/>
      <c r="D285" s="131"/>
      <c r="E285" s="131"/>
      <c r="F285" s="131"/>
      <c r="G285" s="9"/>
      <c r="H285" s="132"/>
      <c r="I285" s="132"/>
      <c r="J285" s="131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69"/>
      <c r="B286" s="69"/>
      <c r="C286" s="9"/>
      <c r="D286" s="131"/>
      <c r="E286" s="131"/>
      <c r="F286" s="131"/>
      <c r="G286" s="9"/>
      <c r="H286" s="132"/>
      <c r="I286" s="132"/>
      <c r="J286" s="131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69"/>
      <c r="B287" s="69"/>
      <c r="C287" s="9"/>
      <c r="D287" s="131"/>
      <c r="E287" s="131"/>
      <c r="F287" s="131"/>
      <c r="G287" s="9"/>
      <c r="H287" s="132"/>
      <c r="I287" s="132"/>
      <c r="J287" s="131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69"/>
      <c r="B288" s="69"/>
      <c r="C288" s="9"/>
      <c r="D288" s="131"/>
      <c r="E288" s="131"/>
      <c r="F288" s="131"/>
      <c r="G288" s="9"/>
      <c r="H288" s="132"/>
      <c r="I288" s="132"/>
      <c r="J288" s="131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69"/>
      <c r="B289" s="69"/>
      <c r="C289" s="9"/>
      <c r="D289" s="131"/>
      <c r="E289" s="131"/>
      <c r="F289" s="131"/>
      <c r="G289" s="9"/>
      <c r="H289" s="132"/>
      <c r="I289" s="132"/>
      <c r="J289" s="131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69"/>
      <c r="B290" s="69"/>
      <c r="C290" s="9"/>
      <c r="D290" s="131"/>
      <c r="E290" s="131"/>
      <c r="F290" s="131"/>
      <c r="G290" s="9"/>
      <c r="H290" s="132"/>
      <c r="I290" s="132"/>
      <c r="J290" s="131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69"/>
      <c r="B291" s="69"/>
      <c r="C291" s="9"/>
      <c r="D291" s="131"/>
      <c r="E291" s="131"/>
      <c r="F291" s="131"/>
      <c r="G291" s="9"/>
      <c r="H291" s="132"/>
      <c r="I291" s="132"/>
      <c r="J291" s="131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69"/>
      <c r="B292" s="69"/>
      <c r="C292" s="9"/>
      <c r="D292" s="131"/>
      <c r="E292" s="131"/>
      <c r="F292" s="131"/>
      <c r="G292" s="9"/>
      <c r="H292" s="132"/>
      <c r="I292" s="132"/>
      <c r="J292" s="131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69"/>
      <c r="B293" s="69"/>
      <c r="C293" s="9"/>
      <c r="D293" s="131"/>
      <c r="E293" s="131"/>
      <c r="F293" s="131"/>
      <c r="G293" s="9"/>
      <c r="H293" s="132"/>
      <c r="I293" s="132"/>
      <c r="J293" s="131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69"/>
      <c r="B294" s="69"/>
      <c r="C294" s="9"/>
      <c r="D294" s="131"/>
      <c r="E294" s="131"/>
      <c r="F294" s="131"/>
      <c r="G294" s="9"/>
      <c r="H294" s="132"/>
      <c r="I294" s="132"/>
      <c r="J294" s="131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69"/>
      <c r="B295" s="69"/>
      <c r="C295" s="9"/>
      <c r="D295" s="131"/>
      <c r="E295" s="131"/>
      <c r="F295" s="131"/>
      <c r="G295" s="9"/>
      <c r="H295" s="132"/>
      <c r="I295" s="132"/>
      <c r="J295" s="131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69"/>
      <c r="B296" s="69"/>
      <c r="C296" s="9"/>
      <c r="D296" s="131"/>
      <c r="E296" s="131"/>
      <c r="F296" s="131"/>
      <c r="G296" s="9"/>
      <c r="H296" s="132"/>
      <c r="I296" s="132"/>
      <c r="J296" s="131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69"/>
      <c r="B297" s="69"/>
      <c r="C297" s="9"/>
      <c r="D297" s="131"/>
      <c r="E297" s="131"/>
      <c r="F297" s="131"/>
      <c r="G297" s="9"/>
      <c r="H297" s="132"/>
      <c r="I297" s="132"/>
      <c r="J297" s="131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69"/>
      <c r="B298" s="69"/>
      <c r="C298" s="9"/>
      <c r="D298" s="131"/>
      <c r="E298" s="131"/>
      <c r="F298" s="131"/>
      <c r="G298" s="9"/>
      <c r="H298" s="132"/>
      <c r="I298" s="132"/>
      <c r="J298" s="131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69"/>
      <c r="B299" s="69"/>
      <c r="C299" s="9"/>
      <c r="D299" s="131"/>
      <c r="E299" s="131"/>
      <c r="F299" s="131"/>
      <c r="G299" s="9"/>
      <c r="H299" s="132"/>
      <c r="I299" s="132"/>
      <c r="J299" s="131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69"/>
      <c r="B300" s="69"/>
      <c r="C300" s="9"/>
      <c r="D300" s="131"/>
      <c r="E300" s="131"/>
      <c r="F300" s="131"/>
      <c r="G300" s="9"/>
      <c r="H300" s="132"/>
      <c r="I300" s="132"/>
      <c r="J300" s="131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69"/>
      <c r="B301" s="69"/>
      <c r="C301" s="9"/>
      <c r="D301" s="131"/>
      <c r="E301" s="131"/>
      <c r="F301" s="131"/>
      <c r="G301" s="9"/>
      <c r="H301" s="132"/>
      <c r="I301" s="132"/>
      <c r="J301" s="131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69"/>
      <c r="B302" s="69"/>
      <c r="C302" s="9"/>
      <c r="D302" s="131"/>
      <c r="E302" s="131"/>
      <c r="F302" s="131"/>
      <c r="G302" s="9"/>
      <c r="H302" s="132"/>
      <c r="I302" s="132"/>
      <c r="J302" s="131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69"/>
      <c r="B303" s="69"/>
      <c r="C303" s="9"/>
      <c r="D303" s="131"/>
      <c r="E303" s="131"/>
      <c r="F303" s="131"/>
      <c r="G303" s="9"/>
      <c r="H303" s="132"/>
      <c r="I303" s="132"/>
      <c r="J303" s="131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69"/>
      <c r="B304" s="69"/>
      <c r="C304" s="9"/>
      <c r="D304" s="131"/>
      <c r="E304" s="131"/>
      <c r="F304" s="131"/>
      <c r="G304" s="9"/>
      <c r="H304" s="132"/>
      <c r="I304" s="132"/>
      <c r="J304" s="131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69"/>
      <c r="B305" s="69"/>
      <c r="C305" s="9"/>
      <c r="D305" s="131"/>
      <c r="E305" s="131"/>
      <c r="F305" s="131"/>
      <c r="G305" s="9"/>
      <c r="H305" s="132"/>
      <c r="I305" s="132"/>
      <c r="J305" s="131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69"/>
      <c r="B306" s="69"/>
      <c r="C306" s="9"/>
      <c r="D306" s="131"/>
      <c r="E306" s="131"/>
      <c r="F306" s="131"/>
      <c r="G306" s="9"/>
      <c r="H306" s="132"/>
      <c r="I306" s="132"/>
      <c r="J306" s="131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69"/>
      <c r="B307" s="69"/>
      <c r="C307" s="9"/>
      <c r="D307" s="131"/>
      <c r="E307" s="131"/>
      <c r="F307" s="131"/>
      <c r="G307" s="9"/>
      <c r="H307" s="132"/>
      <c r="I307" s="132"/>
      <c r="J307" s="131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69"/>
      <c r="B308" s="69"/>
      <c r="C308" s="9"/>
      <c r="D308" s="131"/>
      <c r="E308" s="131"/>
      <c r="F308" s="131"/>
      <c r="G308" s="9"/>
      <c r="H308" s="132"/>
      <c r="I308" s="132"/>
      <c r="J308" s="131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69"/>
      <c r="B309" s="69"/>
      <c r="C309" s="9"/>
      <c r="D309" s="131"/>
      <c r="E309" s="131"/>
      <c r="F309" s="131"/>
      <c r="G309" s="9"/>
      <c r="H309" s="132"/>
      <c r="I309" s="132"/>
      <c r="J309" s="131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69"/>
      <c r="B310" s="69"/>
      <c r="C310" s="9"/>
      <c r="D310" s="131"/>
      <c r="E310" s="131"/>
      <c r="F310" s="131"/>
      <c r="G310" s="9"/>
      <c r="H310" s="132"/>
      <c r="I310" s="132"/>
      <c r="J310" s="131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69"/>
      <c r="B311" s="69"/>
      <c r="C311" s="9"/>
      <c r="D311" s="131"/>
      <c r="E311" s="131"/>
      <c r="F311" s="131"/>
      <c r="G311" s="9"/>
      <c r="H311" s="132"/>
      <c r="I311" s="132"/>
      <c r="J311" s="131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69"/>
      <c r="B312" s="69"/>
      <c r="C312" s="9"/>
      <c r="D312" s="131"/>
      <c r="E312" s="131"/>
      <c r="F312" s="131"/>
      <c r="G312" s="9"/>
      <c r="H312" s="132"/>
      <c r="I312" s="132"/>
      <c r="J312" s="131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69"/>
      <c r="B313" s="69"/>
      <c r="C313" s="9"/>
      <c r="D313" s="131"/>
      <c r="E313" s="131"/>
      <c r="F313" s="131"/>
      <c r="G313" s="9"/>
      <c r="H313" s="132"/>
      <c r="I313" s="132"/>
      <c r="J313" s="131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69"/>
      <c r="B314" s="69"/>
      <c r="C314" s="9"/>
      <c r="D314" s="131"/>
      <c r="E314" s="131"/>
      <c r="F314" s="131"/>
      <c r="G314" s="9"/>
      <c r="H314" s="132"/>
      <c r="I314" s="132"/>
      <c r="J314" s="131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69"/>
      <c r="B315" s="69"/>
      <c r="C315" s="9"/>
      <c r="D315" s="131"/>
      <c r="E315" s="131"/>
      <c r="F315" s="131"/>
      <c r="G315" s="9"/>
      <c r="H315" s="132"/>
      <c r="I315" s="132"/>
      <c r="J315" s="131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69"/>
      <c r="B316" s="69"/>
      <c r="C316" s="9"/>
      <c r="D316" s="131"/>
      <c r="E316" s="131"/>
      <c r="F316" s="131"/>
      <c r="G316" s="9"/>
      <c r="H316" s="132"/>
      <c r="I316" s="132"/>
      <c r="J316" s="131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69"/>
      <c r="B317" s="69"/>
      <c r="C317" s="9"/>
      <c r="D317" s="131"/>
      <c r="E317" s="131"/>
      <c r="F317" s="131"/>
      <c r="G317" s="9"/>
      <c r="H317" s="132"/>
      <c r="I317" s="132"/>
      <c r="J317" s="131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69"/>
      <c r="B318" s="69"/>
      <c r="C318" s="9"/>
      <c r="D318" s="131"/>
      <c r="E318" s="131"/>
      <c r="F318" s="131"/>
      <c r="G318" s="9"/>
      <c r="H318" s="132"/>
      <c r="I318" s="132"/>
      <c r="J318" s="131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69"/>
      <c r="B319" s="69"/>
      <c r="C319" s="9"/>
      <c r="D319" s="131"/>
      <c r="E319" s="131"/>
      <c r="F319" s="131"/>
      <c r="G319" s="9"/>
      <c r="H319" s="132"/>
      <c r="I319" s="132"/>
      <c r="J319" s="131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69"/>
      <c r="B320" s="69"/>
      <c r="C320" s="9"/>
      <c r="D320" s="131"/>
      <c r="E320" s="131"/>
      <c r="F320" s="131"/>
      <c r="G320" s="9"/>
      <c r="H320" s="132"/>
      <c r="I320" s="132"/>
      <c r="J320" s="131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69"/>
      <c r="B321" s="69"/>
      <c r="C321" s="9"/>
      <c r="D321" s="131"/>
      <c r="E321" s="131"/>
      <c r="F321" s="131"/>
      <c r="G321" s="9"/>
      <c r="H321" s="132"/>
      <c r="I321" s="132"/>
      <c r="J321" s="131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69"/>
      <c r="B322" s="69"/>
      <c r="C322" s="9"/>
      <c r="D322" s="131"/>
      <c r="E322" s="131"/>
      <c r="F322" s="131"/>
      <c r="G322" s="9"/>
      <c r="H322" s="132"/>
      <c r="I322" s="132"/>
      <c r="J322" s="131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69"/>
      <c r="B323" s="69"/>
      <c r="C323" s="9"/>
      <c r="D323" s="131"/>
      <c r="E323" s="131"/>
      <c r="F323" s="131"/>
      <c r="G323" s="9"/>
      <c r="H323" s="132"/>
      <c r="I323" s="132"/>
      <c r="J323" s="131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69"/>
      <c r="B324" s="69"/>
      <c r="C324" s="9"/>
      <c r="D324" s="131"/>
      <c r="E324" s="131"/>
      <c r="F324" s="131"/>
      <c r="G324" s="9"/>
      <c r="H324" s="132"/>
      <c r="I324" s="132"/>
      <c r="J324" s="131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69"/>
      <c r="B325" s="69"/>
      <c r="C325" s="9"/>
      <c r="D325" s="131"/>
      <c r="E325" s="131"/>
      <c r="F325" s="131"/>
      <c r="G325" s="9"/>
      <c r="H325" s="132"/>
      <c r="I325" s="132"/>
      <c r="J325" s="131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69"/>
      <c r="B326" s="69"/>
      <c r="C326" s="9"/>
      <c r="D326" s="131"/>
      <c r="E326" s="131"/>
      <c r="F326" s="131"/>
      <c r="G326" s="9"/>
      <c r="H326" s="132"/>
      <c r="I326" s="132"/>
      <c r="J326" s="131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69"/>
      <c r="B327" s="69"/>
      <c r="C327" s="9"/>
      <c r="D327" s="131"/>
      <c r="E327" s="131"/>
      <c r="F327" s="131"/>
      <c r="G327" s="9"/>
      <c r="H327" s="132"/>
      <c r="I327" s="132"/>
      <c r="J327" s="131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69"/>
      <c r="B328" s="69"/>
      <c r="C328" s="9"/>
      <c r="D328" s="131"/>
      <c r="E328" s="131"/>
      <c r="F328" s="131"/>
      <c r="G328" s="9"/>
      <c r="H328" s="132"/>
      <c r="I328" s="132"/>
      <c r="J328" s="131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69"/>
      <c r="B329" s="69"/>
      <c r="C329" s="9"/>
      <c r="D329" s="131"/>
      <c r="E329" s="131"/>
      <c r="F329" s="131"/>
      <c r="G329" s="9"/>
      <c r="H329" s="132"/>
      <c r="I329" s="132"/>
      <c r="J329" s="131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69"/>
      <c r="B330" s="69"/>
      <c r="C330" s="9"/>
      <c r="D330" s="131"/>
      <c r="E330" s="131"/>
      <c r="F330" s="131"/>
      <c r="G330" s="9"/>
      <c r="H330" s="132"/>
      <c r="I330" s="132"/>
      <c r="J330" s="131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69"/>
      <c r="B331" s="69"/>
      <c r="C331" s="9"/>
      <c r="D331" s="131"/>
      <c r="E331" s="131"/>
      <c r="F331" s="131"/>
      <c r="G331" s="9"/>
      <c r="H331" s="132"/>
      <c r="I331" s="132"/>
      <c r="J331" s="131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69"/>
      <c r="B332" s="69"/>
      <c r="C332" s="9"/>
      <c r="D332" s="131"/>
      <c r="E332" s="131"/>
      <c r="F332" s="131"/>
      <c r="G332" s="9"/>
      <c r="H332" s="132"/>
      <c r="I332" s="132"/>
      <c r="J332" s="131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69"/>
      <c r="B333" s="69"/>
      <c r="C333" s="9"/>
      <c r="D333" s="131"/>
      <c r="E333" s="131"/>
      <c r="F333" s="131"/>
      <c r="G333" s="9"/>
      <c r="H333" s="132"/>
      <c r="I333" s="132"/>
      <c r="J333" s="131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69"/>
      <c r="B334" s="69"/>
      <c r="C334" s="9"/>
      <c r="D334" s="131"/>
      <c r="E334" s="131"/>
      <c r="F334" s="131"/>
      <c r="G334" s="9"/>
      <c r="H334" s="132"/>
      <c r="I334" s="132"/>
      <c r="J334" s="131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69"/>
      <c r="B335" s="69"/>
      <c r="C335" s="9"/>
      <c r="D335" s="131"/>
      <c r="E335" s="131"/>
      <c r="F335" s="131"/>
      <c r="G335" s="9"/>
      <c r="H335" s="132"/>
      <c r="I335" s="132"/>
      <c r="J335" s="131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69"/>
      <c r="B336" s="69"/>
      <c r="C336" s="9"/>
      <c r="D336" s="131"/>
      <c r="E336" s="131"/>
      <c r="F336" s="131"/>
      <c r="G336" s="9"/>
      <c r="H336" s="132"/>
      <c r="I336" s="132"/>
      <c r="J336" s="131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69"/>
      <c r="B337" s="69"/>
      <c r="C337" s="9"/>
      <c r="D337" s="131"/>
      <c r="E337" s="131"/>
      <c r="F337" s="131"/>
      <c r="G337" s="9"/>
      <c r="H337" s="132"/>
      <c r="I337" s="132"/>
      <c r="J337" s="131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69"/>
      <c r="B338" s="69"/>
      <c r="C338" s="9"/>
      <c r="D338" s="131"/>
      <c r="E338" s="131"/>
      <c r="F338" s="131"/>
      <c r="G338" s="9"/>
      <c r="H338" s="132"/>
      <c r="I338" s="132"/>
      <c r="J338" s="131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69"/>
      <c r="B339" s="69"/>
      <c r="C339" s="9"/>
      <c r="D339" s="131"/>
      <c r="E339" s="131"/>
      <c r="F339" s="131"/>
      <c r="G339" s="9"/>
      <c r="H339" s="132"/>
      <c r="I339" s="132"/>
      <c r="J339" s="131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69"/>
      <c r="B340" s="69"/>
      <c r="C340" s="9"/>
      <c r="D340" s="131"/>
      <c r="E340" s="131"/>
      <c r="F340" s="131"/>
      <c r="G340" s="9"/>
      <c r="H340" s="132"/>
      <c r="I340" s="132"/>
      <c r="J340" s="131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69"/>
      <c r="B341" s="69"/>
      <c r="C341" s="9"/>
      <c r="D341" s="131"/>
      <c r="E341" s="131"/>
      <c r="F341" s="131"/>
      <c r="G341" s="9"/>
      <c r="H341" s="132"/>
      <c r="I341" s="132"/>
      <c r="J341" s="131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69"/>
      <c r="B342" s="69"/>
      <c r="C342" s="9"/>
      <c r="D342" s="131"/>
      <c r="E342" s="131"/>
      <c r="F342" s="131"/>
      <c r="G342" s="9"/>
      <c r="H342" s="132"/>
      <c r="I342" s="132"/>
      <c r="J342" s="131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69"/>
      <c r="B343" s="69"/>
      <c r="C343" s="9"/>
      <c r="D343" s="131"/>
      <c r="E343" s="131"/>
      <c r="F343" s="131"/>
      <c r="G343" s="9"/>
      <c r="H343" s="132"/>
      <c r="I343" s="132"/>
      <c r="J343" s="131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69"/>
      <c r="B344" s="69"/>
      <c r="C344" s="9"/>
      <c r="D344" s="131"/>
      <c r="E344" s="131"/>
      <c r="F344" s="131"/>
      <c r="G344" s="9"/>
      <c r="H344" s="132"/>
      <c r="I344" s="132"/>
      <c r="J344" s="131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69"/>
      <c r="B345" s="69"/>
      <c r="C345" s="9"/>
      <c r="D345" s="131"/>
      <c r="E345" s="131"/>
      <c r="F345" s="131"/>
      <c r="G345" s="9"/>
      <c r="H345" s="132"/>
      <c r="I345" s="132"/>
      <c r="J345" s="131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69"/>
      <c r="B346" s="69"/>
      <c r="C346" s="9"/>
      <c r="D346" s="131"/>
      <c r="E346" s="131"/>
      <c r="F346" s="131"/>
      <c r="G346" s="9"/>
      <c r="H346" s="132"/>
      <c r="I346" s="132"/>
      <c r="J346" s="131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69"/>
      <c r="B347" s="69"/>
      <c r="C347" s="9"/>
      <c r="D347" s="131"/>
      <c r="E347" s="131"/>
      <c r="F347" s="131"/>
      <c r="G347" s="9"/>
      <c r="H347" s="132"/>
      <c r="I347" s="132"/>
      <c r="J347" s="131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69"/>
      <c r="B348" s="69"/>
      <c r="C348" s="9"/>
      <c r="D348" s="131"/>
      <c r="E348" s="131"/>
      <c r="F348" s="131"/>
      <c r="G348" s="9"/>
      <c r="H348" s="132"/>
      <c r="I348" s="132"/>
      <c r="J348" s="131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69"/>
      <c r="B349" s="69"/>
      <c r="C349" s="9"/>
      <c r="D349" s="131"/>
      <c r="E349" s="131"/>
      <c r="F349" s="131"/>
      <c r="G349" s="9"/>
      <c r="H349" s="132"/>
      <c r="I349" s="132"/>
      <c r="J349" s="131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69"/>
      <c r="B350" s="69"/>
      <c r="C350" s="9"/>
      <c r="D350" s="131"/>
      <c r="E350" s="131"/>
      <c r="F350" s="131"/>
      <c r="G350" s="9"/>
      <c r="H350" s="132"/>
      <c r="I350" s="132"/>
      <c r="J350" s="131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69"/>
      <c r="B351" s="69"/>
      <c r="C351" s="9"/>
      <c r="D351" s="131"/>
      <c r="E351" s="131"/>
      <c r="F351" s="131"/>
      <c r="G351" s="9"/>
      <c r="H351" s="132"/>
      <c r="I351" s="132"/>
      <c r="J351" s="131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69"/>
      <c r="B352" s="69"/>
      <c r="C352" s="9"/>
      <c r="D352" s="131"/>
      <c r="E352" s="131"/>
      <c r="F352" s="131"/>
      <c r="G352" s="9"/>
      <c r="H352" s="132"/>
      <c r="I352" s="132"/>
      <c r="J352" s="131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69"/>
      <c r="B353" s="69"/>
      <c r="C353" s="9"/>
      <c r="D353" s="131"/>
      <c r="E353" s="131"/>
      <c r="F353" s="131"/>
      <c r="G353" s="9"/>
      <c r="H353" s="132"/>
      <c r="I353" s="132"/>
      <c r="J353" s="131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69"/>
      <c r="B354" s="69"/>
      <c r="C354" s="9"/>
      <c r="D354" s="131"/>
      <c r="E354" s="131"/>
      <c r="F354" s="131"/>
      <c r="G354" s="9"/>
      <c r="H354" s="132"/>
      <c r="I354" s="132"/>
      <c r="J354" s="131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69"/>
      <c r="B355" s="69"/>
      <c r="C355" s="9"/>
      <c r="D355" s="131"/>
      <c r="E355" s="131"/>
      <c r="F355" s="131"/>
      <c r="G355" s="9"/>
      <c r="H355" s="132"/>
      <c r="I355" s="132"/>
      <c r="J355" s="131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69"/>
      <c r="B356" s="69"/>
      <c r="C356" s="9"/>
      <c r="D356" s="131"/>
      <c r="E356" s="131"/>
      <c r="F356" s="131"/>
      <c r="G356" s="9"/>
      <c r="H356" s="132"/>
      <c r="I356" s="132"/>
      <c r="J356" s="131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69"/>
      <c r="B357" s="69"/>
      <c r="C357" s="9"/>
      <c r="D357" s="131"/>
      <c r="E357" s="131"/>
      <c r="F357" s="131"/>
      <c r="G357" s="9"/>
      <c r="H357" s="132"/>
      <c r="I357" s="132"/>
      <c r="J357" s="131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69"/>
      <c r="B358" s="69"/>
      <c r="C358" s="9"/>
      <c r="D358" s="131"/>
      <c r="E358" s="131"/>
      <c r="F358" s="131"/>
      <c r="G358" s="9"/>
      <c r="H358" s="132"/>
      <c r="I358" s="132"/>
      <c r="J358" s="131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69"/>
      <c r="B359" s="69"/>
      <c r="C359" s="9"/>
      <c r="D359" s="131"/>
      <c r="E359" s="131"/>
      <c r="F359" s="131"/>
      <c r="G359" s="9"/>
      <c r="H359" s="132"/>
      <c r="I359" s="132"/>
      <c r="J359" s="131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69"/>
      <c r="B360" s="69"/>
      <c r="C360" s="9"/>
      <c r="D360" s="131"/>
      <c r="E360" s="131"/>
      <c r="F360" s="131"/>
      <c r="G360" s="9"/>
      <c r="H360" s="132"/>
      <c r="I360" s="132"/>
      <c r="J360" s="131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69"/>
      <c r="B361" s="69"/>
      <c r="C361" s="9"/>
      <c r="D361" s="131"/>
      <c r="E361" s="131"/>
      <c r="F361" s="131"/>
      <c r="G361" s="9"/>
      <c r="H361" s="132"/>
      <c r="I361" s="132"/>
      <c r="J361" s="131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69"/>
      <c r="B362" s="69"/>
      <c r="C362" s="9"/>
      <c r="D362" s="131"/>
      <c r="E362" s="131"/>
      <c r="F362" s="131"/>
      <c r="G362" s="9"/>
      <c r="H362" s="132"/>
      <c r="I362" s="132"/>
      <c r="J362" s="131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69"/>
      <c r="B363" s="69"/>
      <c r="C363" s="9"/>
      <c r="D363" s="131"/>
      <c r="E363" s="131"/>
      <c r="F363" s="131"/>
      <c r="G363" s="9"/>
      <c r="H363" s="132"/>
      <c r="I363" s="132"/>
      <c r="J363" s="131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69"/>
      <c r="B364" s="69"/>
      <c r="C364" s="9"/>
      <c r="D364" s="131"/>
      <c r="E364" s="131"/>
      <c r="F364" s="131"/>
      <c r="G364" s="9"/>
      <c r="H364" s="132"/>
      <c r="I364" s="132"/>
      <c r="J364" s="131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69"/>
      <c r="B365" s="69"/>
      <c r="C365" s="9"/>
      <c r="D365" s="131"/>
      <c r="E365" s="131"/>
      <c r="F365" s="131"/>
      <c r="G365" s="9"/>
      <c r="H365" s="132"/>
      <c r="I365" s="132"/>
      <c r="J365" s="131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69"/>
      <c r="B366" s="69"/>
      <c r="C366" s="9"/>
      <c r="D366" s="131"/>
      <c r="E366" s="131"/>
      <c r="F366" s="131"/>
      <c r="G366" s="9"/>
      <c r="H366" s="132"/>
      <c r="I366" s="132"/>
      <c r="J366" s="131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69"/>
      <c r="B367" s="69"/>
      <c r="C367" s="9"/>
      <c r="D367" s="131"/>
      <c r="E367" s="131"/>
      <c r="F367" s="131"/>
      <c r="G367" s="9"/>
      <c r="H367" s="132"/>
      <c r="I367" s="132"/>
      <c r="J367" s="131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69"/>
      <c r="B368" s="69"/>
      <c r="C368" s="9"/>
      <c r="D368" s="131"/>
      <c r="E368" s="131"/>
      <c r="F368" s="131"/>
      <c r="G368" s="9"/>
      <c r="H368" s="132"/>
      <c r="I368" s="132"/>
      <c r="J368" s="131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69"/>
      <c r="B369" s="69"/>
      <c r="C369" s="9"/>
      <c r="D369" s="131"/>
      <c r="E369" s="131"/>
      <c r="F369" s="131"/>
      <c r="G369" s="9"/>
      <c r="H369" s="132"/>
      <c r="I369" s="132"/>
      <c r="J369" s="131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69"/>
      <c r="B370" s="69"/>
      <c r="C370" s="9"/>
      <c r="D370" s="131"/>
      <c r="E370" s="131"/>
      <c r="F370" s="131"/>
      <c r="G370" s="9"/>
      <c r="H370" s="132"/>
      <c r="I370" s="132"/>
      <c r="J370" s="131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69"/>
      <c r="B371" s="69"/>
      <c r="C371" s="9"/>
      <c r="D371" s="131"/>
      <c r="E371" s="131"/>
      <c r="F371" s="131"/>
      <c r="G371" s="9"/>
      <c r="H371" s="132"/>
      <c r="I371" s="132"/>
      <c r="J371" s="131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69"/>
      <c r="B372" s="69"/>
      <c r="C372" s="9"/>
      <c r="D372" s="131"/>
      <c r="E372" s="131"/>
      <c r="F372" s="131"/>
      <c r="G372" s="9"/>
      <c r="H372" s="132"/>
      <c r="I372" s="132"/>
      <c r="J372" s="131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69"/>
      <c r="B373" s="69"/>
      <c r="C373" s="9"/>
      <c r="D373" s="131"/>
      <c r="E373" s="131"/>
      <c r="F373" s="131"/>
      <c r="G373" s="9"/>
      <c r="H373" s="132"/>
      <c r="I373" s="132"/>
      <c r="J373" s="131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69"/>
      <c r="B374" s="69"/>
      <c r="C374" s="9"/>
      <c r="D374" s="131"/>
      <c r="E374" s="131"/>
      <c r="F374" s="131"/>
      <c r="G374" s="9"/>
      <c r="H374" s="132"/>
      <c r="I374" s="132"/>
      <c r="J374" s="131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69"/>
      <c r="B375" s="69"/>
      <c r="C375" s="9"/>
      <c r="D375" s="131"/>
      <c r="E375" s="131"/>
      <c r="F375" s="131"/>
      <c r="G375" s="9"/>
      <c r="H375" s="132"/>
      <c r="I375" s="132"/>
      <c r="J375" s="131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69"/>
      <c r="B376" s="69"/>
      <c r="C376" s="9"/>
      <c r="D376" s="131"/>
      <c r="E376" s="131"/>
      <c r="F376" s="131"/>
      <c r="G376" s="9"/>
      <c r="H376" s="132"/>
      <c r="I376" s="132"/>
      <c r="J376" s="131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69"/>
      <c r="B377" s="69"/>
      <c r="C377" s="9"/>
      <c r="D377" s="131"/>
      <c r="E377" s="131"/>
      <c r="F377" s="131"/>
      <c r="G377" s="9"/>
      <c r="H377" s="132"/>
      <c r="I377" s="132"/>
      <c r="J377" s="131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69"/>
      <c r="B378" s="69"/>
      <c r="C378" s="9"/>
      <c r="D378" s="131"/>
      <c r="E378" s="131"/>
      <c r="F378" s="131"/>
      <c r="G378" s="9"/>
      <c r="H378" s="132"/>
      <c r="I378" s="132"/>
      <c r="J378" s="131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69"/>
      <c r="B379" s="69"/>
      <c r="C379" s="9"/>
      <c r="D379" s="131"/>
      <c r="E379" s="131"/>
      <c r="F379" s="131"/>
      <c r="G379" s="9"/>
      <c r="H379" s="132"/>
      <c r="I379" s="132"/>
      <c r="J379" s="131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69"/>
      <c r="B380" s="69"/>
      <c r="C380" s="9"/>
      <c r="D380" s="131"/>
      <c r="E380" s="131"/>
      <c r="F380" s="131"/>
      <c r="G380" s="9"/>
      <c r="H380" s="132"/>
      <c r="I380" s="132"/>
      <c r="J380" s="131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69"/>
      <c r="B381" s="69"/>
      <c r="C381" s="9"/>
      <c r="D381" s="131"/>
      <c r="E381" s="131"/>
      <c r="F381" s="131"/>
      <c r="G381" s="9"/>
      <c r="H381" s="132"/>
      <c r="I381" s="132"/>
      <c r="J381" s="131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69"/>
      <c r="B382" s="69"/>
      <c r="C382" s="9"/>
      <c r="D382" s="131"/>
      <c r="E382" s="131"/>
      <c r="F382" s="131"/>
      <c r="G382" s="9"/>
      <c r="H382" s="132"/>
      <c r="I382" s="132"/>
      <c r="J382" s="131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69"/>
      <c r="B383" s="69"/>
      <c r="C383" s="9"/>
      <c r="D383" s="131"/>
      <c r="E383" s="131"/>
      <c r="F383" s="131"/>
      <c r="G383" s="9"/>
      <c r="H383" s="132"/>
      <c r="I383" s="132"/>
      <c r="J383" s="131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69"/>
      <c r="B384" s="69"/>
      <c r="C384" s="9"/>
      <c r="D384" s="131"/>
      <c r="E384" s="131"/>
      <c r="F384" s="131"/>
      <c r="G384" s="9"/>
      <c r="H384" s="132"/>
      <c r="I384" s="132"/>
      <c r="J384" s="131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69"/>
      <c r="B385" s="69"/>
      <c r="C385" s="9"/>
      <c r="D385" s="131"/>
      <c r="E385" s="131"/>
      <c r="F385" s="131"/>
      <c r="G385" s="9"/>
      <c r="H385" s="132"/>
      <c r="I385" s="132"/>
      <c r="J385" s="131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69"/>
      <c r="B386" s="69"/>
      <c r="C386" s="9"/>
      <c r="D386" s="131"/>
      <c r="E386" s="131"/>
      <c r="F386" s="131"/>
      <c r="G386" s="9"/>
      <c r="H386" s="132"/>
      <c r="I386" s="132"/>
      <c r="J386" s="131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69"/>
      <c r="B387" s="69"/>
      <c r="C387" s="9"/>
      <c r="D387" s="131"/>
      <c r="E387" s="131"/>
      <c r="F387" s="131"/>
      <c r="G387" s="9"/>
      <c r="H387" s="132"/>
      <c r="I387" s="132"/>
      <c r="J387" s="131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69"/>
      <c r="B388" s="69"/>
      <c r="C388" s="9"/>
      <c r="D388" s="131"/>
      <c r="E388" s="131"/>
      <c r="F388" s="131"/>
      <c r="G388" s="9"/>
      <c r="H388" s="132"/>
      <c r="I388" s="132"/>
      <c r="J388" s="131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69"/>
      <c r="B389" s="69"/>
      <c r="C389" s="9"/>
      <c r="D389" s="131"/>
      <c r="E389" s="131"/>
      <c r="F389" s="131"/>
      <c r="G389" s="9"/>
      <c r="H389" s="132"/>
      <c r="I389" s="132"/>
      <c r="J389" s="131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69"/>
      <c r="B390" s="69"/>
      <c r="C390" s="9"/>
      <c r="D390" s="131"/>
      <c r="E390" s="131"/>
      <c r="F390" s="131"/>
      <c r="G390" s="9"/>
      <c r="H390" s="132"/>
      <c r="I390" s="132"/>
      <c r="J390" s="131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69"/>
      <c r="B391" s="69"/>
      <c r="C391" s="9"/>
      <c r="D391" s="131"/>
      <c r="E391" s="131"/>
      <c r="F391" s="131"/>
      <c r="G391" s="9"/>
      <c r="H391" s="132"/>
      <c r="I391" s="132"/>
      <c r="J391" s="131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69"/>
      <c r="B392" s="69"/>
      <c r="C392" s="9"/>
      <c r="D392" s="131"/>
      <c r="E392" s="131"/>
      <c r="F392" s="131"/>
      <c r="G392" s="9"/>
      <c r="H392" s="132"/>
      <c r="I392" s="132"/>
      <c r="J392" s="131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69"/>
      <c r="B393" s="69"/>
      <c r="C393" s="9"/>
      <c r="D393" s="131"/>
      <c r="E393" s="131"/>
      <c r="F393" s="131"/>
      <c r="G393" s="9"/>
      <c r="H393" s="132"/>
      <c r="I393" s="132"/>
      <c r="J393" s="131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69"/>
      <c r="B394" s="69"/>
      <c r="C394" s="9"/>
      <c r="D394" s="131"/>
      <c r="E394" s="131"/>
      <c r="F394" s="131"/>
      <c r="G394" s="9"/>
      <c r="H394" s="132"/>
      <c r="I394" s="132"/>
      <c r="J394" s="131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69"/>
      <c r="B395" s="69"/>
      <c r="C395" s="9"/>
      <c r="D395" s="131"/>
      <c r="E395" s="131"/>
      <c r="F395" s="131"/>
      <c r="G395" s="9"/>
      <c r="H395" s="132"/>
      <c r="I395" s="132"/>
      <c r="J395" s="131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69"/>
      <c r="B396" s="69"/>
      <c r="C396" s="9"/>
      <c r="D396" s="131"/>
      <c r="E396" s="131"/>
      <c r="F396" s="131"/>
      <c r="G396" s="9"/>
      <c r="H396" s="132"/>
      <c r="I396" s="132"/>
      <c r="J396" s="131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69"/>
      <c r="B397" s="69"/>
      <c r="C397" s="9"/>
      <c r="D397" s="131"/>
      <c r="E397" s="131"/>
      <c r="F397" s="131"/>
      <c r="G397" s="9"/>
      <c r="H397" s="132"/>
      <c r="I397" s="132"/>
      <c r="J397" s="131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69"/>
      <c r="B398" s="69"/>
      <c r="C398" s="9"/>
      <c r="D398" s="131"/>
      <c r="E398" s="131"/>
      <c r="F398" s="131"/>
      <c r="G398" s="9"/>
      <c r="H398" s="132"/>
      <c r="I398" s="132"/>
      <c r="J398" s="131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69"/>
      <c r="B399" s="69"/>
      <c r="C399" s="9"/>
      <c r="D399" s="131"/>
      <c r="E399" s="131"/>
      <c r="F399" s="131"/>
      <c r="G399" s="9"/>
      <c r="H399" s="132"/>
      <c r="I399" s="132"/>
      <c r="J399" s="131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69"/>
      <c r="B400" s="69"/>
      <c r="C400" s="9"/>
      <c r="D400" s="131"/>
      <c r="E400" s="131"/>
      <c r="F400" s="131"/>
      <c r="G400" s="9"/>
      <c r="H400" s="132"/>
      <c r="I400" s="132"/>
      <c r="J400" s="131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69"/>
      <c r="B401" s="69"/>
      <c r="C401" s="9"/>
      <c r="D401" s="131"/>
      <c r="E401" s="131"/>
      <c r="F401" s="131"/>
      <c r="G401" s="9"/>
      <c r="H401" s="132"/>
      <c r="I401" s="132"/>
      <c r="J401" s="131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69"/>
      <c r="B402" s="69"/>
      <c r="C402" s="9"/>
      <c r="D402" s="131"/>
      <c r="E402" s="131"/>
      <c r="F402" s="131"/>
      <c r="G402" s="9"/>
      <c r="H402" s="132"/>
      <c r="I402" s="132"/>
      <c r="J402" s="131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69"/>
      <c r="B403" s="69"/>
      <c r="C403" s="9"/>
      <c r="D403" s="131"/>
      <c r="E403" s="131"/>
      <c r="F403" s="131"/>
      <c r="G403" s="9"/>
      <c r="H403" s="132"/>
      <c r="I403" s="132"/>
      <c r="J403" s="131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69"/>
      <c r="B404" s="69"/>
      <c r="C404" s="9"/>
      <c r="D404" s="131"/>
      <c r="E404" s="131"/>
      <c r="F404" s="131"/>
      <c r="G404" s="9"/>
      <c r="H404" s="132"/>
      <c r="I404" s="132"/>
      <c r="J404" s="131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69"/>
      <c r="B405" s="69"/>
      <c r="C405" s="9"/>
      <c r="D405" s="131"/>
      <c r="E405" s="131"/>
      <c r="F405" s="131"/>
      <c r="G405" s="9"/>
      <c r="H405" s="132"/>
      <c r="I405" s="132"/>
      <c r="J405" s="131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69"/>
      <c r="B406" s="69"/>
      <c r="C406" s="9"/>
      <c r="D406" s="131"/>
      <c r="E406" s="131"/>
      <c r="F406" s="131"/>
      <c r="G406" s="9"/>
      <c r="H406" s="132"/>
      <c r="I406" s="132"/>
      <c r="J406" s="131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69"/>
      <c r="B407" s="69"/>
      <c r="C407" s="9"/>
      <c r="D407" s="131"/>
      <c r="E407" s="131"/>
      <c r="F407" s="131"/>
      <c r="G407" s="9"/>
      <c r="H407" s="132"/>
      <c r="I407" s="132"/>
      <c r="J407" s="131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69"/>
      <c r="B408" s="69"/>
      <c r="C408" s="9"/>
      <c r="D408" s="131"/>
      <c r="E408" s="131"/>
      <c r="F408" s="131"/>
      <c r="G408" s="9"/>
      <c r="H408" s="132"/>
      <c r="I408" s="132"/>
      <c r="J408" s="131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69"/>
      <c r="B409" s="69"/>
      <c r="C409" s="9"/>
      <c r="D409" s="131"/>
      <c r="E409" s="131"/>
      <c r="F409" s="131"/>
      <c r="G409" s="9"/>
      <c r="H409" s="132"/>
      <c r="I409" s="132"/>
      <c r="J409" s="131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69"/>
      <c r="B410" s="69"/>
      <c r="C410" s="9"/>
      <c r="D410" s="131"/>
      <c r="E410" s="131"/>
      <c r="F410" s="131"/>
      <c r="G410" s="9"/>
      <c r="H410" s="132"/>
      <c r="I410" s="132"/>
      <c r="J410" s="131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69"/>
      <c r="B411" s="69"/>
      <c r="C411" s="9"/>
      <c r="D411" s="131"/>
      <c r="E411" s="131"/>
      <c r="F411" s="131"/>
      <c r="G411" s="9"/>
      <c r="H411" s="132"/>
      <c r="I411" s="132"/>
      <c r="J411" s="131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69"/>
      <c r="B412" s="69"/>
      <c r="C412" s="9"/>
      <c r="D412" s="131"/>
      <c r="E412" s="131"/>
      <c r="F412" s="131"/>
      <c r="G412" s="9"/>
      <c r="H412" s="132"/>
      <c r="I412" s="132"/>
      <c r="J412" s="131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69"/>
      <c r="B413" s="69"/>
      <c r="C413" s="9"/>
      <c r="D413" s="131"/>
      <c r="E413" s="131"/>
      <c r="F413" s="131"/>
      <c r="G413" s="9"/>
      <c r="H413" s="132"/>
      <c r="I413" s="132"/>
      <c r="J413" s="131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69"/>
      <c r="B414" s="69"/>
      <c r="C414" s="9"/>
      <c r="D414" s="131"/>
      <c r="E414" s="131"/>
      <c r="F414" s="131"/>
      <c r="G414" s="9"/>
      <c r="H414" s="132"/>
      <c r="I414" s="132"/>
      <c r="J414" s="131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69"/>
      <c r="B415" s="69"/>
      <c r="C415" s="9"/>
      <c r="D415" s="131"/>
      <c r="E415" s="131"/>
      <c r="F415" s="131"/>
      <c r="G415" s="9"/>
      <c r="H415" s="132"/>
      <c r="I415" s="132"/>
      <c r="J415" s="131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69"/>
      <c r="B416" s="69"/>
      <c r="C416" s="9"/>
      <c r="D416" s="131"/>
      <c r="E416" s="131"/>
      <c r="F416" s="131"/>
      <c r="G416" s="9"/>
      <c r="H416" s="132"/>
      <c r="I416" s="132"/>
      <c r="J416" s="131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69"/>
      <c r="B417" s="69"/>
      <c r="C417" s="9"/>
      <c r="D417" s="131"/>
      <c r="E417" s="131"/>
      <c r="F417" s="131"/>
      <c r="G417" s="9"/>
      <c r="H417" s="132"/>
      <c r="I417" s="132"/>
      <c r="J417" s="131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69"/>
      <c r="B418" s="69"/>
      <c r="C418" s="9"/>
      <c r="D418" s="131"/>
      <c r="E418" s="131"/>
      <c r="F418" s="131"/>
      <c r="G418" s="9"/>
      <c r="H418" s="132"/>
      <c r="I418" s="132"/>
      <c r="J418" s="131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69"/>
      <c r="B419" s="69"/>
      <c r="C419" s="9"/>
      <c r="D419" s="131"/>
      <c r="E419" s="131"/>
      <c r="F419" s="131"/>
      <c r="G419" s="9"/>
      <c r="H419" s="132"/>
      <c r="I419" s="132"/>
      <c r="J419" s="131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69"/>
      <c r="B420" s="69"/>
      <c r="C420" s="9"/>
      <c r="D420" s="131"/>
      <c r="E420" s="131"/>
      <c r="F420" s="131"/>
      <c r="G420" s="9"/>
      <c r="H420" s="132"/>
      <c r="I420" s="132"/>
      <c r="J420" s="131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69"/>
      <c r="B421" s="69"/>
      <c r="C421" s="9"/>
      <c r="D421" s="131"/>
      <c r="E421" s="131"/>
      <c r="F421" s="131"/>
      <c r="G421" s="9"/>
      <c r="H421" s="132"/>
      <c r="I421" s="132"/>
      <c r="J421" s="131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69"/>
      <c r="B422" s="69"/>
      <c r="C422" s="9"/>
      <c r="D422" s="131"/>
      <c r="E422" s="131"/>
      <c r="F422" s="131"/>
      <c r="G422" s="9"/>
      <c r="H422" s="132"/>
      <c r="I422" s="132"/>
      <c r="J422" s="131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69"/>
      <c r="B423" s="69"/>
      <c r="C423" s="9"/>
      <c r="D423" s="131"/>
      <c r="E423" s="131"/>
      <c r="F423" s="131"/>
      <c r="G423" s="9"/>
      <c r="H423" s="132"/>
      <c r="I423" s="132"/>
      <c r="J423" s="131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69"/>
      <c r="B424" s="69"/>
      <c r="C424" s="9"/>
      <c r="D424" s="131"/>
      <c r="E424" s="131"/>
      <c r="F424" s="131"/>
      <c r="G424" s="9"/>
      <c r="H424" s="132"/>
      <c r="I424" s="132"/>
      <c r="J424" s="131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69"/>
      <c r="B425" s="69"/>
      <c r="C425" s="9"/>
      <c r="D425" s="131"/>
      <c r="E425" s="131"/>
      <c r="F425" s="131"/>
      <c r="G425" s="9"/>
      <c r="H425" s="132"/>
      <c r="I425" s="132"/>
      <c r="J425" s="131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69"/>
      <c r="B426" s="69"/>
      <c r="C426" s="9"/>
      <c r="D426" s="131"/>
      <c r="E426" s="131"/>
      <c r="F426" s="131"/>
      <c r="G426" s="9"/>
      <c r="H426" s="132"/>
      <c r="I426" s="132"/>
      <c r="J426" s="131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69"/>
      <c r="B427" s="69"/>
      <c r="C427" s="9"/>
      <c r="D427" s="131"/>
      <c r="E427" s="131"/>
      <c r="F427" s="131"/>
      <c r="G427" s="9"/>
      <c r="H427" s="132"/>
      <c r="I427" s="132"/>
      <c r="J427" s="131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69"/>
      <c r="B428" s="69"/>
      <c r="C428" s="9"/>
      <c r="D428" s="131"/>
      <c r="E428" s="131"/>
      <c r="F428" s="131"/>
      <c r="G428" s="9"/>
      <c r="H428" s="132"/>
      <c r="I428" s="132"/>
      <c r="J428" s="131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69"/>
      <c r="B429" s="69"/>
      <c r="C429" s="9"/>
      <c r="D429" s="131"/>
      <c r="E429" s="131"/>
      <c r="F429" s="131"/>
      <c r="G429" s="9"/>
      <c r="H429" s="132"/>
      <c r="I429" s="132"/>
      <c r="J429" s="131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69"/>
      <c r="B430" s="69"/>
      <c r="C430" s="9"/>
      <c r="D430" s="131"/>
      <c r="E430" s="131"/>
      <c r="F430" s="131"/>
      <c r="G430" s="9"/>
      <c r="H430" s="132"/>
      <c r="I430" s="132"/>
      <c r="J430" s="131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69"/>
      <c r="B431" s="69"/>
      <c r="C431" s="9"/>
      <c r="D431" s="131"/>
      <c r="E431" s="131"/>
      <c r="F431" s="131"/>
      <c r="G431" s="9"/>
      <c r="H431" s="132"/>
      <c r="I431" s="132"/>
      <c r="J431" s="131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69"/>
      <c r="B432" s="69"/>
      <c r="C432" s="9"/>
      <c r="D432" s="131"/>
      <c r="E432" s="131"/>
      <c r="F432" s="131"/>
      <c r="G432" s="9"/>
      <c r="H432" s="132"/>
      <c r="I432" s="132"/>
      <c r="J432" s="131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69"/>
      <c r="B433" s="69"/>
      <c r="C433" s="9"/>
      <c r="D433" s="131"/>
      <c r="E433" s="131"/>
      <c r="F433" s="131"/>
      <c r="G433" s="9"/>
      <c r="H433" s="132"/>
      <c r="I433" s="132"/>
      <c r="J433" s="131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69"/>
      <c r="B434" s="69"/>
      <c r="C434" s="9"/>
      <c r="D434" s="131"/>
      <c r="E434" s="131"/>
      <c r="F434" s="131"/>
      <c r="G434" s="9"/>
      <c r="H434" s="132"/>
      <c r="I434" s="132"/>
      <c r="J434" s="131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69"/>
      <c r="B435" s="69"/>
      <c r="C435" s="9"/>
      <c r="D435" s="131"/>
      <c r="E435" s="131"/>
      <c r="F435" s="131"/>
      <c r="G435" s="9"/>
      <c r="H435" s="132"/>
      <c r="I435" s="132"/>
      <c r="J435" s="131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69"/>
      <c r="B436" s="69"/>
      <c r="C436" s="9"/>
      <c r="D436" s="131"/>
      <c r="E436" s="131"/>
      <c r="F436" s="131"/>
      <c r="G436" s="9"/>
      <c r="H436" s="132"/>
      <c r="I436" s="132"/>
      <c r="J436" s="131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69"/>
      <c r="B437" s="69"/>
      <c r="C437" s="9"/>
      <c r="D437" s="131"/>
      <c r="E437" s="131"/>
      <c r="F437" s="131"/>
      <c r="G437" s="9"/>
      <c r="H437" s="132"/>
      <c r="I437" s="132"/>
      <c r="J437" s="131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69"/>
      <c r="B438" s="69"/>
      <c r="C438" s="9"/>
      <c r="D438" s="131"/>
      <c r="E438" s="131"/>
      <c r="F438" s="131"/>
      <c r="G438" s="9"/>
      <c r="H438" s="132"/>
      <c r="I438" s="132"/>
      <c r="J438" s="131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69"/>
      <c r="B439" s="69"/>
      <c r="C439" s="9"/>
      <c r="D439" s="131"/>
      <c r="E439" s="131"/>
      <c r="F439" s="131"/>
      <c r="G439" s="9"/>
      <c r="H439" s="132"/>
      <c r="I439" s="132"/>
      <c r="J439" s="131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69"/>
      <c r="B440" s="69"/>
      <c r="C440" s="9"/>
      <c r="D440" s="131"/>
      <c r="E440" s="131"/>
      <c r="F440" s="131"/>
      <c r="G440" s="9"/>
      <c r="H440" s="132"/>
      <c r="I440" s="132"/>
      <c r="J440" s="131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69"/>
      <c r="B441" s="69"/>
      <c r="C441" s="9"/>
      <c r="D441" s="131"/>
      <c r="E441" s="131"/>
      <c r="F441" s="131"/>
      <c r="G441" s="9"/>
      <c r="H441" s="132"/>
      <c r="I441" s="132"/>
      <c r="J441" s="131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69"/>
      <c r="B442" s="69"/>
      <c r="C442" s="9"/>
      <c r="D442" s="131"/>
      <c r="E442" s="131"/>
      <c r="F442" s="131"/>
      <c r="G442" s="9"/>
      <c r="H442" s="132"/>
      <c r="I442" s="132"/>
      <c r="J442" s="131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69"/>
      <c r="B443" s="69"/>
      <c r="C443" s="9"/>
      <c r="D443" s="131"/>
      <c r="E443" s="131"/>
      <c r="F443" s="131"/>
      <c r="G443" s="9"/>
      <c r="H443" s="132"/>
      <c r="I443" s="132"/>
      <c r="J443" s="131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69"/>
      <c r="B444" s="69"/>
      <c r="C444" s="9"/>
      <c r="D444" s="131"/>
      <c r="E444" s="131"/>
      <c r="F444" s="131"/>
      <c r="G444" s="9"/>
      <c r="H444" s="132"/>
      <c r="I444" s="132"/>
      <c r="J444" s="131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69"/>
      <c r="B445" s="69"/>
      <c r="C445" s="9"/>
      <c r="D445" s="131"/>
      <c r="E445" s="131"/>
      <c r="F445" s="131"/>
      <c r="G445" s="9"/>
      <c r="H445" s="132"/>
      <c r="I445" s="132"/>
      <c r="J445" s="131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69"/>
      <c r="B446" s="69"/>
      <c r="C446" s="9"/>
      <c r="D446" s="131"/>
      <c r="E446" s="131"/>
      <c r="F446" s="131"/>
      <c r="G446" s="9"/>
      <c r="H446" s="132"/>
      <c r="I446" s="132"/>
      <c r="J446" s="131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69"/>
      <c r="B447" s="69"/>
      <c r="C447" s="9"/>
      <c r="D447" s="131"/>
      <c r="E447" s="131"/>
      <c r="F447" s="131"/>
      <c r="G447" s="9"/>
      <c r="H447" s="132"/>
      <c r="I447" s="132"/>
      <c r="J447" s="131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69"/>
      <c r="B448" s="69"/>
      <c r="C448" s="9"/>
      <c r="D448" s="131"/>
      <c r="E448" s="131"/>
      <c r="F448" s="131"/>
      <c r="G448" s="9"/>
      <c r="H448" s="132"/>
      <c r="I448" s="132"/>
      <c r="J448" s="131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69"/>
      <c r="B449" s="69"/>
      <c r="C449" s="9"/>
      <c r="D449" s="131"/>
      <c r="E449" s="131"/>
      <c r="F449" s="131"/>
      <c r="G449" s="9"/>
      <c r="H449" s="132"/>
      <c r="I449" s="132"/>
      <c r="J449" s="131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69"/>
      <c r="B450" s="69"/>
      <c r="C450" s="9"/>
      <c r="D450" s="131"/>
      <c r="E450" s="131"/>
      <c r="F450" s="131"/>
      <c r="G450" s="9"/>
      <c r="H450" s="132"/>
      <c r="I450" s="132"/>
      <c r="J450" s="131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69"/>
      <c r="B451" s="69"/>
      <c r="C451" s="9"/>
      <c r="D451" s="131"/>
      <c r="E451" s="131"/>
      <c r="F451" s="131"/>
      <c r="G451" s="9"/>
      <c r="H451" s="132"/>
      <c r="I451" s="132"/>
      <c r="J451" s="131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69"/>
      <c r="B452" s="69"/>
      <c r="C452" s="9"/>
      <c r="D452" s="131"/>
      <c r="E452" s="131"/>
      <c r="F452" s="131"/>
      <c r="G452" s="9"/>
      <c r="H452" s="132"/>
      <c r="I452" s="132"/>
      <c r="J452" s="131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69"/>
      <c r="B453" s="69"/>
      <c r="C453" s="9"/>
      <c r="D453" s="131"/>
      <c r="E453" s="131"/>
      <c r="F453" s="131"/>
      <c r="G453" s="9"/>
      <c r="H453" s="132"/>
      <c r="I453" s="132"/>
      <c r="J453" s="131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69"/>
      <c r="B454" s="69"/>
      <c r="C454" s="9"/>
      <c r="D454" s="131"/>
      <c r="E454" s="131"/>
      <c r="F454" s="131"/>
      <c r="G454" s="9"/>
      <c r="H454" s="132"/>
      <c r="I454" s="132"/>
      <c r="J454" s="131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69"/>
      <c r="B455" s="69"/>
      <c r="C455" s="9"/>
      <c r="D455" s="131"/>
      <c r="E455" s="131"/>
      <c r="F455" s="131"/>
      <c r="G455" s="9"/>
      <c r="H455" s="132"/>
      <c r="I455" s="132"/>
      <c r="J455" s="131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69"/>
      <c r="B456" s="69"/>
      <c r="C456" s="9"/>
      <c r="D456" s="131"/>
      <c r="E456" s="131"/>
      <c r="F456" s="131"/>
      <c r="G456" s="9"/>
      <c r="H456" s="132"/>
      <c r="I456" s="132"/>
      <c r="J456" s="131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69"/>
      <c r="B457" s="69"/>
      <c r="C457" s="9"/>
      <c r="D457" s="131"/>
      <c r="E457" s="131"/>
      <c r="F457" s="131"/>
      <c r="G457" s="9"/>
      <c r="H457" s="132"/>
      <c r="I457" s="132"/>
      <c r="J457" s="131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69"/>
      <c r="B458" s="69"/>
      <c r="C458" s="9"/>
      <c r="D458" s="131"/>
      <c r="E458" s="131"/>
      <c r="F458" s="131"/>
      <c r="G458" s="9"/>
      <c r="H458" s="132"/>
      <c r="I458" s="132"/>
      <c r="J458" s="131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69"/>
      <c r="B459" s="69"/>
      <c r="C459" s="9"/>
      <c r="D459" s="131"/>
      <c r="E459" s="131"/>
      <c r="F459" s="131"/>
      <c r="G459" s="9"/>
      <c r="H459" s="132"/>
      <c r="I459" s="132"/>
      <c r="J459" s="131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69"/>
      <c r="B460" s="69"/>
      <c r="C460" s="9"/>
      <c r="D460" s="131"/>
      <c r="E460" s="131"/>
      <c r="F460" s="131"/>
      <c r="G460" s="9"/>
      <c r="H460" s="132"/>
      <c r="I460" s="132"/>
      <c r="J460" s="131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69"/>
      <c r="B461" s="69"/>
      <c r="C461" s="9"/>
      <c r="D461" s="131"/>
      <c r="E461" s="131"/>
      <c r="F461" s="131"/>
      <c r="G461" s="9"/>
      <c r="H461" s="132"/>
      <c r="I461" s="132"/>
      <c r="J461" s="131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69"/>
      <c r="B462" s="69"/>
      <c r="C462" s="9"/>
      <c r="D462" s="131"/>
      <c r="E462" s="131"/>
      <c r="F462" s="131"/>
      <c r="G462" s="9"/>
      <c r="H462" s="132"/>
      <c r="I462" s="132"/>
      <c r="J462" s="131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69"/>
      <c r="B463" s="69"/>
      <c r="C463" s="9"/>
      <c r="D463" s="131"/>
      <c r="E463" s="131"/>
      <c r="F463" s="131"/>
      <c r="G463" s="9"/>
      <c r="H463" s="132"/>
      <c r="I463" s="132"/>
      <c r="J463" s="131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69"/>
      <c r="B464" s="69"/>
      <c r="C464" s="9"/>
      <c r="D464" s="131"/>
      <c r="E464" s="131"/>
      <c r="F464" s="131"/>
      <c r="G464" s="9"/>
      <c r="H464" s="132"/>
      <c r="I464" s="132"/>
      <c r="J464" s="131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69"/>
      <c r="B465" s="69"/>
      <c r="C465" s="9"/>
      <c r="D465" s="131"/>
      <c r="E465" s="131"/>
      <c r="F465" s="131"/>
      <c r="G465" s="9"/>
      <c r="H465" s="132"/>
      <c r="I465" s="132"/>
      <c r="J465" s="131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69"/>
      <c r="B466" s="69"/>
      <c r="C466" s="9"/>
      <c r="D466" s="131"/>
      <c r="E466" s="131"/>
      <c r="F466" s="131"/>
      <c r="G466" s="9"/>
      <c r="H466" s="132"/>
      <c r="I466" s="132"/>
      <c r="J466" s="131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69"/>
      <c r="B467" s="69"/>
      <c r="C467" s="9"/>
      <c r="D467" s="131"/>
      <c r="E467" s="131"/>
      <c r="F467" s="131"/>
      <c r="G467" s="9"/>
      <c r="H467" s="132"/>
      <c r="I467" s="132"/>
      <c r="J467" s="131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69"/>
      <c r="B468" s="69"/>
      <c r="C468" s="9"/>
      <c r="D468" s="131"/>
      <c r="E468" s="131"/>
      <c r="F468" s="131"/>
      <c r="G468" s="9"/>
      <c r="H468" s="132"/>
      <c r="I468" s="132"/>
      <c r="J468" s="131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69"/>
      <c r="B469" s="69"/>
      <c r="C469" s="9"/>
      <c r="D469" s="131"/>
      <c r="E469" s="131"/>
      <c r="F469" s="131"/>
      <c r="G469" s="9"/>
      <c r="H469" s="132"/>
      <c r="I469" s="132"/>
      <c r="J469" s="131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69"/>
      <c r="B470" s="69"/>
      <c r="C470" s="9"/>
      <c r="D470" s="131"/>
      <c r="E470" s="131"/>
      <c r="F470" s="131"/>
      <c r="G470" s="9"/>
      <c r="H470" s="132"/>
      <c r="I470" s="132"/>
      <c r="J470" s="131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69"/>
      <c r="B471" s="69"/>
      <c r="C471" s="9"/>
      <c r="D471" s="131"/>
      <c r="E471" s="131"/>
      <c r="F471" s="131"/>
      <c r="G471" s="9"/>
      <c r="H471" s="132"/>
      <c r="I471" s="132"/>
      <c r="J471" s="131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69"/>
      <c r="B472" s="69"/>
      <c r="C472" s="9"/>
      <c r="D472" s="131"/>
      <c r="E472" s="131"/>
      <c r="F472" s="131"/>
      <c r="G472" s="9"/>
      <c r="H472" s="132"/>
      <c r="I472" s="132"/>
      <c r="J472" s="131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69"/>
      <c r="B473" s="69"/>
      <c r="C473" s="9"/>
      <c r="D473" s="131"/>
      <c r="E473" s="131"/>
      <c r="F473" s="131"/>
      <c r="G473" s="9"/>
      <c r="H473" s="132"/>
      <c r="I473" s="132"/>
      <c r="J473" s="131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69"/>
      <c r="B474" s="69"/>
      <c r="C474" s="9"/>
      <c r="D474" s="131"/>
      <c r="E474" s="131"/>
      <c r="F474" s="131"/>
      <c r="G474" s="9"/>
      <c r="H474" s="132"/>
      <c r="I474" s="132"/>
      <c r="J474" s="131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69"/>
      <c r="B475" s="69"/>
      <c r="C475" s="9"/>
      <c r="D475" s="131"/>
      <c r="E475" s="131"/>
      <c r="F475" s="131"/>
      <c r="G475" s="9"/>
      <c r="H475" s="132"/>
      <c r="I475" s="132"/>
      <c r="J475" s="131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69"/>
      <c r="B476" s="69"/>
      <c r="C476" s="9"/>
      <c r="D476" s="131"/>
      <c r="E476" s="131"/>
      <c r="F476" s="131"/>
      <c r="G476" s="9"/>
      <c r="H476" s="132"/>
      <c r="I476" s="132"/>
      <c r="J476" s="131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69"/>
      <c r="B477" s="69"/>
      <c r="C477" s="9"/>
      <c r="D477" s="131"/>
      <c r="E477" s="131"/>
      <c r="F477" s="131"/>
      <c r="G477" s="9"/>
      <c r="H477" s="132"/>
      <c r="I477" s="132"/>
      <c r="J477" s="131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69"/>
      <c r="B478" s="69"/>
      <c r="C478" s="9"/>
      <c r="D478" s="131"/>
      <c r="E478" s="131"/>
      <c r="F478" s="131"/>
      <c r="G478" s="9"/>
      <c r="H478" s="132"/>
      <c r="I478" s="132"/>
      <c r="J478" s="131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69"/>
      <c r="B479" s="69"/>
      <c r="C479" s="9"/>
      <c r="D479" s="131"/>
      <c r="E479" s="131"/>
      <c r="F479" s="131"/>
      <c r="G479" s="9"/>
      <c r="H479" s="132"/>
      <c r="I479" s="132"/>
      <c r="J479" s="131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69"/>
      <c r="B480" s="69"/>
      <c r="C480" s="9"/>
      <c r="D480" s="131"/>
      <c r="E480" s="131"/>
      <c r="F480" s="131"/>
      <c r="G480" s="9"/>
      <c r="H480" s="132"/>
      <c r="I480" s="132"/>
      <c r="J480" s="131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69"/>
      <c r="B481" s="69"/>
      <c r="C481" s="9"/>
      <c r="D481" s="131"/>
      <c r="E481" s="131"/>
      <c r="F481" s="131"/>
      <c r="G481" s="9"/>
      <c r="H481" s="132"/>
      <c r="I481" s="132"/>
      <c r="J481" s="131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69"/>
      <c r="B482" s="69"/>
      <c r="C482" s="9"/>
      <c r="D482" s="131"/>
      <c r="E482" s="131"/>
      <c r="F482" s="131"/>
      <c r="G482" s="9"/>
      <c r="H482" s="132"/>
      <c r="I482" s="132"/>
      <c r="J482" s="131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69"/>
      <c r="B483" s="69"/>
      <c r="C483" s="9"/>
      <c r="D483" s="131"/>
      <c r="E483" s="131"/>
      <c r="F483" s="131"/>
      <c r="G483" s="9"/>
      <c r="H483" s="132"/>
      <c r="I483" s="132"/>
      <c r="J483" s="131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69"/>
      <c r="B484" s="69"/>
      <c r="C484" s="9"/>
      <c r="D484" s="131"/>
      <c r="E484" s="131"/>
      <c r="F484" s="131"/>
      <c r="G484" s="9"/>
      <c r="H484" s="132"/>
      <c r="I484" s="132"/>
      <c r="J484" s="131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69"/>
      <c r="B485" s="69"/>
      <c r="C485" s="9"/>
      <c r="D485" s="131"/>
      <c r="E485" s="131"/>
      <c r="F485" s="131"/>
      <c r="G485" s="9"/>
      <c r="H485" s="132"/>
      <c r="I485" s="132"/>
      <c r="J485" s="131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69"/>
      <c r="B486" s="69"/>
      <c r="C486" s="9"/>
      <c r="D486" s="131"/>
      <c r="E486" s="131"/>
      <c r="F486" s="131"/>
      <c r="G486" s="9"/>
      <c r="H486" s="132"/>
      <c r="I486" s="132"/>
      <c r="J486" s="131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69"/>
      <c r="B487" s="69"/>
      <c r="C487" s="9"/>
      <c r="D487" s="131"/>
      <c r="E487" s="131"/>
      <c r="F487" s="131"/>
      <c r="G487" s="9"/>
      <c r="H487" s="132"/>
      <c r="I487" s="132"/>
      <c r="J487" s="131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69"/>
      <c r="B488" s="69"/>
      <c r="C488" s="9"/>
      <c r="D488" s="131"/>
      <c r="E488" s="131"/>
      <c r="F488" s="131"/>
      <c r="G488" s="9"/>
      <c r="H488" s="132"/>
      <c r="I488" s="132"/>
      <c r="J488" s="131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69"/>
      <c r="B489" s="69"/>
      <c r="C489" s="9"/>
      <c r="D489" s="131"/>
      <c r="E489" s="131"/>
      <c r="F489" s="131"/>
      <c r="G489" s="9"/>
      <c r="H489" s="132"/>
      <c r="I489" s="132"/>
      <c r="J489" s="131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69"/>
      <c r="B490" s="69"/>
      <c r="C490" s="9"/>
      <c r="D490" s="131"/>
      <c r="E490" s="131"/>
      <c r="F490" s="131"/>
      <c r="G490" s="9"/>
      <c r="H490" s="132"/>
      <c r="I490" s="132"/>
      <c r="J490" s="131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69"/>
      <c r="B491" s="69"/>
      <c r="C491" s="9"/>
      <c r="D491" s="131"/>
      <c r="E491" s="131"/>
      <c r="F491" s="131"/>
      <c r="G491" s="9"/>
      <c r="H491" s="132"/>
      <c r="I491" s="132"/>
      <c r="J491" s="131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69"/>
      <c r="B492" s="69"/>
      <c r="C492" s="9"/>
      <c r="D492" s="131"/>
      <c r="E492" s="131"/>
      <c r="F492" s="131"/>
      <c r="G492" s="9"/>
      <c r="H492" s="132"/>
      <c r="I492" s="132"/>
      <c r="J492" s="131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69"/>
      <c r="B493" s="69"/>
      <c r="C493" s="9"/>
      <c r="D493" s="131"/>
      <c r="E493" s="131"/>
      <c r="F493" s="131"/>
      <c r="G493" s="9"/>
      <c r="H493" s="132"/>
      <c r="I493" s="132"/>
      <c r="J493" s="131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69"/>
      <c r="B494" s="69"/>
      <c r="C494" s="9"/>
      <c r="D494" s="131"/>
      <c r="E494" s="131"/>
      <c r="F494" s="131"/>
      <c r="G494" s="9"/>
      <c r="H494" s="132"/>
      <c r="I494" s="132"/>
      <c r="J494" s="131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69"/>
      <c r="B495" s="69"/>
      <c r="C495" s="9"/>
      <c r="D495" s="131"/>
      <c r="E495" s="131"/>
      <c r="F495" s="131"/>
      <c r="G495" s="9"/>
      <c r="H495" s="132"/>
      <c r="I495" s="132"/>
      <c r="J495" s="131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69"/>
      <c r="B496" s="69"/>
      <c r="C496" s="9"/>
      <c r="D496" s="131"/>
      <c r="E496" s="131"/>
      <c r="F496" s="131"/>
      <c r="G496" s="9"/>
      <c r="H496" s="132"/>
      <c r="I496" s="132"/>
      <c r="J496" s="131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69"/>
      <c r="B497" s="69"/>
      <c r="C497" s="9"/>
      <c r="D497" s="131"/>
      <c r="E497" s="131"/>
      <c r="F497" s="131"/>
      <c r="G497" s="9"/>
      <c r="H497" s="132"/>
      <c r="I497" s="132"/>
      <c r="J497" s="131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69"/>
      <c r="B498" s="69"/>
      <c r="C498" s="9"/>
      <c r="D498" s="131"/>
      <c r="E498" s="131"/>
      <c r="F498" s="131"/>
      <c r="G498" s="9"/>
      <c r="H498" s="132"/>
      <c r="I498" s="132"/>
      <c r="J498" s="131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69"/>
      <c r="B499" s="69"/>
      <c r="C499" s="9"/>
      <c r="D499" s="131"/>
      <c r="E499" s="131"/>
      <c r="F499" s="131"/>
      <c r="G499" s="9"/>
      <c r="H499" s="132"/>
      <c r="I499" s="132"/>
      <c r="J499" s="131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69"/>
      <c r="B500" s="69"/>
      <c r="C500" s="9"/>
      <c r="D500" s="131"/>
      <c r="E500" s="131"/>
      <c r="F500" s="131"/>
      <c r="G500" s="9"/>
      <c r="H500" s="132"/>
      <c r="I500" s="132"/>
      <c r="J500" s="131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69"/>
      <c r="B501" s="69"/>
      <c r="C501" s="9"/>
      <c r="D501" s="131"/>
      <c r="E501" s="131"/>
      <c r="F501" s="131"/>
      <c r="G501" s="9"/>
      <c r="H501" s="132"/>
      <c r="I501" s="132"/>
      <c r="J501" s="131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69"/>
      <c r="B502" s="69"/>
      <c r="C502" s="9"/>
      <c r="D502" s="131"/>
      <c r="E502" s="131"/>
      <c r="F502" s="131"/>
      <c r="G502" s="9"/>
      <c r="H502" s="132"/>
      <c r="I502" s="132"/>
      <c r="J502" s="131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69"/>
      <c r="B503" s="69"/>
      <c r="C503" s="9"/>
      <c r="D503" s="131"/>
      <c r="E503" s="131"/>
      <c r="F503" s="131"/>
      <c r="G503" s="9"/>
      <c r="H503" s="132"/>
      <c r="I503" s="132"/>
      <c r="J503" s="131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69"/>
      <c r="B504" s="69"/>
      <c r="C504" s="9"/>
      <c r="D504" s="131"/>
      <c r="E504" s="131"/>
      <c r="F504" s="131"/>
      <c r="G504" s="9"/>
      <c r="H504" s="132"/>
      <c r="I504" s="132"/>
      <c r="J504" s="131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69"/>
      <c r="B505" s="69"/>
      <c r="C505" s="9"/>
      <c r="D505" s="131"/>
      <c r="E505" s="131"/>
      <c r="F505" s="131"/>
      <c r="G505" s="9"/>
      <c r="H505" s="132"/>
      <c r="I505" s="132"/>
      <c r="J505" s="131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69"/>
      <c r="B506" s="69"/>
      <c r="C506" s="9"/>
      <c r="D506" s="131"/>
      <c r="E506" s="131"/>
      <c r="F506" s="131"/>
      <c r="G506" s="9"/>
      <c r="H506" s="132"/>
      <c r="I506" s="132"/>
      <c r="J506" s="131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69"/>
      <c r="B507" s="69"/>
      <c r="C507" s="9"/>
      <c r="D507" s="131"/>
      <c r="E507" s="131"/>
      <c r="F507" s="131"/>
      <c r="G507" s="9"/>
      <c r="H507" s="132"/>
      <c r="I507" s="132"/>
      <c r="J507" s="131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69"/>
      <c r="B508" s="69"/>
      <c r="C508" s="9"/>
      <c r="D508" s="131"/>
      <c r="E508" s="131"/>
      <c r="F508" s="131"/>
      <c r="G508" s="9"/>
      <c r="H508" s="132"/>
      <c r="I508" s="132"/>
      <c r="J508" s="131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69"/>
      <c r="B509" s="69"/>
      <c r="C509" s="9"/>
      <c r="D509" s="131"/>
      <c r="E509" s="131"/>
      <c r="F509" s="131"/>
      <c r="G509" s="9"/>
      <c r="H509" s="132"/>
      <c r="I509" s="132"/>
      <c r="J509" s="131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69"/>
      <c r="B510" s="69"/>
      <c r="C510" s="9"/>
      <c r="D510" s="131"/>
      <c r="E510" s="131"/>
      <c r="F510" s="131"/>
      <c r="G510" s="9"/>
      <c r="H510" s="132"/>
      <c r="I510" s="132"/>
      <c r="J510" s="131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69"/>
      <c r="B511" s="69"/>
      <c r="C511" s="9"/>
      <c r="D511" s="131"/>
      <c r="E511" s="131"/>
      <c r="F511" s="131"/>
      <c r="G511" s="9"/>
      <c r="H511" s="132"/>
      <c r="I511" s="132"/>
      <c r="J511" s="131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69"/>
      <c r="B512" s="69"/>
      <c r="C512" s="9"/>
      <c r="D512" s="131"/>
      <c r="E512" s="131"/>
      <c r="F512" s="131"/>
      <c r="G512" s="9"/>
      <c r="H512" s="132"/>
      <c r="I512" s="132"/>
      <c r="J512" s="131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69"/>
      <c r="B513" s="69"/>
      <c r="C513" s="9"/>
      <c r="D513" s="131"/>
      <c r="E513" s="131"/>
      <c r="F513" s="131"/>
      <c r="G513" s="9"/>
      <c r="H513" s="132"/>
      <c r="I513" s="132"/>
      <c r="J513" s="131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69"/>
      <c r="B514" s="69"/>
      <c r="C514" s="9"/>
      <c r="D514" s="131"/>
      <c r="E514" s="131"/>
      <c r="F514" s="131"/>
      <c r="G514" s="9"/>
      <c r="H514" s="132"/>
      <c r="I514" s="132"/>
      <c r="J514" s="131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69"/>
      <c r="B515" s="69"/>
      <c r="C515" s="9"/>
      <c r="D515" s="131"/>
      <c r="E515" s="131"/>
      <c r="F515" s="131"/>
      <c r="G515" s="9"/>
      <c r="H515" s="132"/>
      <c r="I515" s="132"/>
      <c r="J515" s="131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69"/>
      <c r="B516" s="69"/>
      <c r="C516" s="9"/>
      <c r="D516" s="131"/>
      <c r="E516" s="131"/>
      <c r="F516" s="131"/>
      <c r="G516" s="9"/>
      <c r="H516" s="132"/>
      <c r="I516" s="132"/>
      <c r="J516" s="131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69"/>
      <c r="B517" s="69"/>
      <c r="C517" s="9"/>
      <c r="D517" s="131"/>
      <c r="E517" s="131"/>
      <c r="F517" s="131"/>
      <c r="G517" s="9"/>
      <c r="H517" s="132"/>
      <c r="I517" s="132"/>
      <c r="J517" s="131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69"/>
      <c r="B518" s="69"/>
      <c r="C518" s="9"/>
      <c r="D518" s="131"/>
      <c r="E518" s="131"/>
      <c r="F518" s="131"/>
      <c r="G518" s="9"/>
      <c r="H518" s="132"/>
      <c r="I518" s="132"/>
      <c r="J518" s="131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69"/>
      <c r="B519" s="69"/>
      <c r="C519" s="9"/>
      <c r="D519" s="131"/>
      <c r="E519" s="131"/>
      <c r="F519" s="131"/>
      <c r="G519" s="9"/>
      <c r="H519" s="132"/>
      <c r="I519" s="132"/>
      <c r="J519" s="131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69"/>
      <c r="B520" s="69"/>
      <c r="C520" s="9"/>
      <c r="D520" s="131"/>
      <c r="E520" s="131"/>
      <c r="F520" s="131"/>
      <c r="G520" s="9"/>
      <c r="H520" s="132"/>
      <c r="I520" s="132"/>
      <c r="J520" s="131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69"/>
      <c r="B521" s="69"/>
      <c r="C521" s="9"/>
      <c r="D521" s="131"/>
      <c r="E521" s="131"/>
      <c r="F521" s="131"/>
      <c r="G521" s="9"/>
      <c r="H521" s="132"/>
      <c r="I521" s="132"/>
      <c r="J521" s="131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69"/>
      <c r="B522" s="69"/>
      <c r="C522" s="9"/>
      <c r="D522" s="131"/>
      <c r="E522" s="131"/>
      <c r="F522" s="131"/>
      <c r="G522" s="9"/>
      <c r="H522" s="132"/>
      <c r="I522" s="132"/>
      <c r="J522" s="131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69"/>
      <c r="B523" s="69"/>
      <c r="C523" s="9"/>
      <c r="D523" s="131"/>
      <c r="E523" s="131"/>
      <c r="F523" s="131"/>
      <c r="G523" s="9"/>
      <c r="H523" s="132"/>
      <c r="I523" s="132"/>
      <c r="J523" s="131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69"/>
      <c r="B524" s="69"/>
      <c r="C524" s="9"/>
      <c r="D524" s="131"/>
      <c r="E524" s="131"/>
      <c r="F524" s="131"/>
      <c r="G524" s="9"/>
      <c r="H524" s="132"/>
      <c r="I524" s="132"/>
      <c r="J524" s="131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69"/>
      <c r="B525" s="69"/>
      <c r="C525" s="9"/>
      <c r="D525" s="131"/>
      <c r="E525" s="131"/>
      <c r="F525" s="131"/>
      <c r="G525" s="9"/>
      <c r="H525" s="132"/>
      <c r="I525" s="132"/>
      <c r="J525" s="131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69"/>
      <c r="B526" s="69"/>
      <c r="C526" s="9"/>
      <c r="D526" s="131"/>
      <c r="E526" s="131"/>
      <c r="F526" s="131"/>
      <c r="G526" s="9"/>
      <c r="H526" s="132"/>
      <c r="I526" s="132"/>
      <c r="J526" s="131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69"/>
      <c r="B527" s="69"/>
      <c r="C527" s="9"/>
      <c r="D527" s="131"/>
      <c r="E527" s="131"/>
      <c r="F527" s="131"/>
      <c r="G527" s="9"/>
      <c r="H527" s="132"/>
      <c r="I527" s="132"/>
      <c r="J527" s="131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69"/>
      <c r="B528" s="69"/>
      <c r="C528" s="9"/>
      <c r="D528" s="131"/>
      <c r="E528" s="131"/>
      <c r="F528" s="131"/>
      <c r="G528" s="9"/>
      <c r="H528" s="132"/>
      <c r="I528" s="132"/>
      <c r="J528" s="131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69"/>
      <c r="B529" s="69"/>
      <c r="C529" s="9"/>
      <c r="D529" s="131"/>
      <c r="E529" s="131"/>
      <c r="F529" s="131"/>
      <c r="G529" s="9"/>
      <c r="H529" s="132"/>
      <c r="I529" s="132"/>
      <c r="J529" s="131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69"/>
      <c r="B530" s="69"/>
      <c r="C530" s="9"/>
      <c r="D530" s="131"/>
      <c r="E530" s="131"/>
      <c r="F530" s="131"/>
      <c r="G530" s="9"/>
      <c r="H530" s="132"/>
      <c r="I530" s="132"/>
      <c r="J530" s="131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69"/>
      <c r="B531" s="69"/>
      <c r="C531" s="9"/>
      <c r="D531" s="131"/>
      <c r="E531" s="131"/>
      <c r="F531" s="131"/>
      <c r="G531" s="9"/>
      <c r="H531" s="132"/>
      <c r="I531" s="132"/>
      <c r="J531" s="131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69"/>
      <c r="B532" s="69"/>
      <c r="C532" s="9"/>
      <c r="D532" s="131"/>
      <c r="E532" s="131"/>
      <c r="F532" s="131"/>
      <c r="G532" s="9"/>
      <c r="H532" s="132"/>
      <c r="I532" s="132"/>
      <c r="J532" s="131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69"/>
      <c r="B533" s="69"/>
      <c r="C533" s="9"/>
      <c r="D533" s="131"/>
      <c r="E533" s="131"/>
      <c r="F533" s="131"/>
      <c r="G533" s="9"/>
      <c r="H533" s="132"/>
      <c r="I533" s="132"/>
      <c r="J533" s="131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69"/>
      <c r="B534" s="69"/>
      <c r="C534" s="9"/>
      <c r="D534" s="131"/>
      <c r="E534" s="131"/>
      <c r="F534" s="131"/>
      <c r="G534" s="9"/>
      <c r="H534" s="132"/>
      <c r="I534" s="132"/>
      <c r="J534" s="131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69"/>
      <c r="B535" s="69"/>
      <c r="C535" s="9"/>
      <c r="D535" s="131"/>
      <c r="E535" s="131"/>
      <c r="F535" s="131"/>
      <c r="G535" s="9"/>
      <c r="H535" s="132"/>
      <c r="I535" s="132"/>
      <c r="J535" s="131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69"/>
      <c r="B536" s="69"/>
      <c r="C536" s="9"/>
      <c r="D536" s="131"/>
      <c r="E536" s="131"/>
      <c r="F536" s="131"/>
      <c r="G536" s="9"/>
      <c r="H536" s="132"/>
      <c r="I536" s="132"/>
      <c r="J536" s="131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69"/>
      <c r="B537" s="69"/>
      <c r="C537" s="9"/>
      <c r="D537" s="131"/>
      <c r="E537" s="131"/>
      <c r="F537" s="131"/>
      <c r="G537" s="9"/>
      <c r="H537" s="132"/>
      <c r="I537" s="132"/>
      <c r="J537" s="131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69"/>
      <c r="B538" s="69"/>
      <c r="C538" s="9"/>
      <c r="D538" s="131"/>
      <c r="E538" s="131"/>
      <c r="F538" s="131"/>
      <c r="G538" s="9"/>
      <c r="H538" s="132"/>
      <c r="I538" s="132"/>
      <c r="J538" s="131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69"/>
      <c r="B539" s="69"/>
      <c r="C539" s="9"/>
      <c r="D539" s="131"/>
      <c r="E539" s="131"/>
      <c r="F539" s="131"/>
      <c r="G539" s="9"/>
      <c r="H539" s="132"/>
      <c r="I539" s="132"/>
      <c r="J539" s="131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69"/>
      <c r="B540" s="69"/>
      <c r="C540" s="9"/>
      <c r="D540" s="131"/>
      <c r="E540" s="131"/>
      <c r="F540" s="131"/>
      <c r="G540" s="9"/>
      <c r="H540" s="132"/>
      <c r="I540" s="132"/>
      <c r="J540" s="131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69"/>
      <c r="B541" s="69"/>
      <c r="C541" s="9"/>
      <c r="D541" s="131"/>
      <c r="E541" s="131"/>
      <c r="F541" s="131"/>
      <c r="G541" s="9"/>
      <c r="H541" s="132"/>
      <c r="I541" s="132"/>
      <c r="J541" s="131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69"/>
      <c r="B542" s="69"/>
      <c r="C542" s="9"/>
      <c r="D542" s="131"/>
      <c r="E542" s="131"/>
      <c r="F542" s="131"/>
      <c r="G542" s="9"/>
      <c r="H542" s="132"/>
      <c r="I542" s="132"/>
      <c r="J542" s="131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69"/>
      <c r="B543" s="69"/>
      <c r="C543" s="9"/>
      <c r="D543" s="131"/>
      <c r="E543" s="131"/>
      <c r="F543" s="131"/>
      <c r="G543" s="9"/>
      <c r="H543" s="132"/>
      <c r="I543" s="132"/>
      <c r="J543" s="131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69"/>
      <c r="B544" s="69"/>
      <c r="C544" s="9"/>
      <c r="D544" s="131"/>
      <c r="E544" s="131"/>
      <c r="F544" s="131"/>
      <c r="G544" s="9"/>
      <c r="H544" s="132"/>
      <c r="I544" s="132"/>
      <c r="J544" s="131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69"/>
      <c r="B545" s="69"/>
      <c r="C545" s="9"/>
      <c r="D545" s="131"/>
      <c r="E545" s="131"/>
      <c r="F545" s="131"/>
      <c r="G545" s="9"/>
      <c r="H545" s="132"/>
      <c r="I545" s="132"/>
      <c r="J545" s="131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69"/>
      <c r="B546" s="69"/>
      <c r="C546" s="9"/>
      <c r="D546" s="131"/>
      <c r="E546" s="131"/>
      <c r="F546" s="131"/>
      <c r="G546" s="9"/>
      <c r="H546" s="132"/>
      <c r="I546" s="132"/>
      <c r="J546" s="131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69"/>
      <c r="B547" s="69"/>
      <c r="C547" s="9"/>
      <c r="D547" s="131"/>
      <c r="E547" s="131"/>
      <c r="F547" s="131"/>
      <c r="G547" s="9"/>
      <c r="H547" s="132"/>
      <c r="I547" s="132"/>
      <c r="J547" s="131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69"/>
      <c r="B548" s="69"/>
      <c r="C548" s="9"/>
      <c r="D548" s="131"/>
      <c r="E548" s="131"/>
      <c r="F548" s="131"/>
      <c r="G548" s="9"/>
      <c r="H548" s="132"/>
      <c r="I548" s="132"/>
      <c r="J548" s="131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69"/>
      <c r="B549" s="69"/>
      <c r="C549" s="9"/>
      <c r="D549" s="131"/>
      <c r="E549" s="131"/>
      <c r="F549" s="131"/>
      <c r="G549" s="9"/>
      <c r="H549" s="132"/>
      <c r="I549" s="132"/>
      <c r="J549" s="131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69"/>
      <c r="B550" s="69"/>
      <c r="C550" s="9"/>
      <c r="D550" s="131"/>
      <c r="E550" s="131"/>
      <c r="F550" s="131"/>
      <c r="G550" s="9"/>
      <c r="H550" s="132"/>
      <c r="I550" s="132"/>
      <c r="J550" s="131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69"/>
      <c r="B551" s="69"/>
      <c r="C551" s="9"/>
      <c r="D551" s="131"/>
      <c r="E551" s="131"/>
      <c r="F551" s="131"/>
      <c r="G551" s="9"/>
      <c r="H551" s="132"/>
      <c r="I551" s="132"/>
      <c r="J551" s="131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69"/>
      <c r="B552" s="69"/>
      <c r="C552" s="9"/>
      <c r="D552" s="131"/>
      <c r="E552" s="131"/>
      <c r="F552" s="131"/>
      <c r="G552" s="9"/>
      <c r="H552" s="132"/>
      <c r="I552" s="132"/>
      <c r="J552" s="131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69"/>
      <c r="B553" s="69"/>
      <c r="C553" s="9"/>
      <c r="D553" s="131"/>
      <c r="E553" s="131"/>
      <c r="F553" s="131"/>
      <c r="G553" s="9"/>
      <c r="H553" s="132"/>
      <c r="I553" s="132"/>
      <c r="J553" s="131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69"/>
      <c r="B554" s="69"/>
      <c r="C554" s="9"/>
      <c r="D554" s="131"/>
      <c r="E554" s="131"/>
      <c r="F554" s="131"/>
      <c r="G554" s="9"/>
      <c r="H554" s="132"/>
      <c r="I554" s="132"/>
      <c r="J554" s="131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69"/>
      <c r="B555" s="69"/>
      <c r="C555" s="9"/>
      <c r="D555" s="131"/>
      <c r="E555" s="131"/>
      <c r="F555" s="131"/>
      <c r="G555" s="9"/>
      <c r="H555" s="132"/>
      <c r="I555" s="132"/>
      <c r="J555" s="131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69"/>
      <c r="B556" s="69"/>
      <c r="C556" s="9"/>
      <c r="D556" s="131"/>
      <c r="E556" s="131"/>
      <c r="F556" s="131"/>
      <c r="G556" s="9"/>
      <c r="H556" s="132"/>
      <c r="I556" s="132"/>
      <c r="J556" s="131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69"/>
      <c r="B557" s="69"/>
      <c r="C557" s="9"/>
      <c r="D557" s="131"/>
      <c r="E557" s="131"/>
      <c r="F557" s="131"/>
      <c r="G557" s="9"/>
      <c r="H557" s="132"/>
      <c r="I557" s="132"/>
      <c r="J557" s="131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69"/>
      <c r="B558" s="69"/>
      <c r="C558" s="9"/>
      <c r="D558" s="131"/>
      <c r="E558" s="131"/>
      <c r="F558" s="131"/>
      <c r="G558" s="9"/>
      <c r="H558" s="132"/>
      <c r="I558" s="132"/>
      <c r="J558" s="131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69"/>
      <c r="B559" s="69"/>
      <c r="C559" s="9"/>
      <c r="D559" s="131"/>
      <c r="E559" s="131"/>
      <c r="F559" s="131"/>
      <c r="G559" s="9"/>
      <c r="H559" s="132"/>
      <c r="I559" s="132"/>
      <c r="J559" s="131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69"/>
      <c r="B560" s="69"/>
      <c r="C560" s="9"/>
      <c r="D560" s="131"/>
      <c r="E560" s="131"/>
      <c r="F560" s="131"/>
      <c r="G560" s="9"/>
      <c r="H560" s="132"/>
      <c r="I560" s="132"/>
      <c r="J560" s="131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69"/>
      <c r="B561" s="69"/>
      <c r="C561" s="9"/>
      <c r="D561" s="131"/>
      <c r="E561" s="131"/>
      <c r="F561" s="131"/>
      <c r="G561" s="9"/>
      <c r="H561" s="132"/>
      <c r="I561" s="132"/>
      <c r="J561" s="131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69"/>
      <c r="B562" s="69"/>
      <c r="C562" s="9"/>
      <c r="D562" s="131"/>
      <c r="E562" s="131"/>
      <c r="F562" s="131"/>
      <c r="G562" s="9"/>
      <c r="H562" s="132"/>
      <c r="I562" s="132"/>
      <c r="J562" s="131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69"/>
      <c r="B563" s="69"/>
      <c r="C563" s="9"/>
      <c r="D563" s="131"/>
      <c r="E563" s="131"/>
      <c r="F563" s="131"/>
      <c r="G563" s="9"/>
      <c r="H563" s="132"/>
      <c r="I563" s="132"/>
      <c r="J563" s="131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69"/>
      <c r="B564" s="69"/>
      <c r="C564" s="9"/>
      <c r="D564" s="131"/>
      <c r="E564" s="131"/>
      <c r="F564" s="131"/>
      <c r="G564" s="9"/>
      <c r="H564" s="132"/>
      <c r="I564" s="132"/>
      <c r="J564" s="131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69"/>
      <c r="B565" s="69"/>
      <c r="C565" s="9"/>
      <c r="D565" s="131"/>
      <c r="E565" s="131"/>
      <c r="F565" s="131"/>
      <c r="G565" s="9"/>
      <c r="H565" s="132"/>
      <c r="I565" s="132"/>
      <c r="J565" s="131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69"/>
      <c r="B566" s="69"/>
      <c r="C566" s="9"/>
      <c r="D566" s="131"/>
      <c r="E566" s="131"/>
      <c r="F566" s="131"/>
      <c r="G566" s="9"/>
      <c r="H566" s="132"/>
      <c r="I566" s="132"/>
      <c r="J566" s="131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69"/>
      <c r="B567" s="69"/>
      <c r="C567" s="9"/>
      <c r="D567" s="131"/>
      <c r="E567" s="131"/>
      <c r="F567" s="131"/>
      <c r="G567" s="9"/>
      <c r="H567" s="132"/>
      <c r="I567" s="132"/>
      <c r="J567" s="131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69"/>
      <c r="B568" s="69"/>
      <c r="C568" s="9"/>
      <c r="D568" s="131"/>
      <c r="E568" s="131"/>
      <c r="F568" s="131"/>
      <c r="G568" s="9"/>
      <c r="H568" s="132"/>
      <c r="I568" s="132"/>
      <c r="J568" s="131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69"/>
      <c r="B569" s="69"/>
      <c r="C569" s="9"/>
      <c r="D569" s="131"/>
      <c r="E569" s="131"/>
      <c r="F569" s="131"/>
      <c r="G569" s="9"/>
      <c r="H569" s="132"/>
      <c r="I569" s="132"/>
      <c r="J569" s="131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69"/>
      <c r="B570" s="69"/>
      <c r="C570" s="9"/>
      <c r="D570" s="131"/>
      <c r="E570" s="131"/>
      <c r="F570" s="131"/>
      <c r="G570" s="9"/>
      <c r="H570" s="132"/>
      <c r="I570" s="132"/>
      <c r="J570" s="131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69"/>
      <c r="B571" s="69"/>
      <c r="C571" s="9"/>
      <c r="D571" s="131"/>
      <c r="E571" s="131"/>
      <c r="F571" s="131"/>
      <c r="G571" s="9"/>
      <c r="H571" s="132"/>
      <c r="I571" s="132"/>
      <c r="J571" s="131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69"/>
      <c r="B572" s="69"/>
      <c r="C572" s="9"/>
      <c r="D572" s="131"/>
      <c r="E572" s="131"/>
      <c r="F572" s="131"/>
      <c r="G572" s="9"/>
      <c r="H572" s="132"/>
      <c r="I572" s="132"/>
      <c r="J572" s="131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69"/>
      <c r="B573" s="69"/>
      <c r="C573" s="9"/>
      <c r="D573" s="131"/>
      <c r="E573" s="131"/>
      <c r="F573" s="131"/>
      <c r="G573" s="9"/>
      <c r="H573" s="132"/>
      <c r="I573" s="132"/>
      <c r="J573" s="131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69"/>
      <c r="B574" s="69"/>
      <c r="C574" s="9"/>
      <c r="D574" s="131"/>
      <c r="E574" s="131"/>
      <c r="F574" s="131"/>
      <c r="G574" s="9"/>
      <c r="H574" s="132"/>
      <c r="I574" s="132"/>
      <c r="J574" s="131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69"/>
      <c r="B575" s="69"/>
      <c r="C575" s="9"/>
      <c r="D575" s="131"/>
      <c r="E575" s="131"/>
      <c r="F575" s="131"/>
      <c r="G575" s="9"/>
      <c r="H575" s="132"/>
      <c r="I575" s="132"/>
      <c r="J575" s="131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69"/>
      <c r="B576" s="69"/>
      <c r="C576" s="9"/>
      <c r="D576" s="131"/>
      <c r="E576" s="131"/>
      <c r="F576" s="131"/>
      <c r="G576" s="9"/>
      <c r="H576" s="132"/>
      <c r="I576" s="132"/>
      <c r="J576" s="131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69"/>
      <c r="B577" s="69"/>
      <c r="C577" s="9"/>
      <c r="D577" s="131"/>
      <c r="E577" s="131"/>
      <c r="F577" s="131"/>
      <c r="G577" s="9"/>
      <c r="H577" s="132"/>
      <c r="I577" s="132"/>
      <c r="J577" s="131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69"/>
      <c r="B578" s="69"/>
      <c r="C578" s="9"/>
      <c r="D578" s="131"/>
      <c r="E578" s="131"/>
      <c r="F578" s="131"/>
      <c r="G578" s="9"/>
      <c r="H578" s="132"/>
      <c r="I578" s="132"/>
      <c r="J578" s="131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69"/>
      <c r="B579" s="69"/>
      <c r="C579" s="9"/>
      <c r="D579" s="131"/>
      <c r="E579" s="131"/>
      <c r="F579" s="131"/>
      <c r="G579" s="9"/>
      <c r="H579" s="132"/>
      <c r="I579" s="132"/>
      <c r="J579" s="131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69"/>
      <c r="B580" s="69"/>
      <c r="C580" s="9"/>
      <c r="D580" s="131"/>
      <c r="E580" s="131"/>
      <c r="F580" s="131"/>
      <c r="G580" s="9"/>
      <c r="H580" s="132"/>
      <c r="I580" s="132"/>
      <c r="J580" s="131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69"/>
      <c r="B581" s="69"/>
      <c r="C581" s="9"/>
      <c r="D581" s="131"/>
      <c r="E581" s="131"/>
      <c r="F581" s="131"/>
      <c r="G581" s="9"/>
      <c r="H581" s="132"/>
      <c r="I581" s="132"/>
      <c r="J581" s="131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69"/>
      <c r="B582" s="69"/>
      <c r="C582" s="9"/>
      <c r="D582" s="131"/>
      <c r="E582" s="131"/>
      <c r="F582" s="131"/>
      <c r="G582" s="9"/>
      <c r="H582" s="132"/>
      <c r="I582" s="132"/>
      <c r="J582" s="131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69"/>
      <c r="B583" s="69"/>
      <c r="C583" s="9"/>
      <c r="D583" s="131"/>
      <c r="E583" s="131"/>
      <c r="F583" s="131"/>
      <c r="G583" s="9"/>
      <c r="H583" s="132"/>
      <c r="I583" s="132"/>
      <c r="J583" s="131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69"/>
      <c r="B584" s="69"/>
      <c r="C584" s="9"/>
      <c r="D584" s="131"/>
      <c r="E584" s="131"/>
      <c r="F584" s="131"/>
      <c r="G584" s="9"/>
      <c r="H584" s="132"/>
      <c r="I584" s="132"/>
      <c r="J584" s="131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69"/>
      <c r="B585" s="69"/>
      <c r="C585" s="9"/>
      <c r="D585" s="131"/>
      <c r="E585" s="131"/>
      <c r="F585" s="131"/>
      <c r="G585" s="9"/>
      <c r="H585" s="132"/>
      <c r="I585" s="132"/>
      <c r="J585" s="131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69"/>
      <c r="B586" s="69"/>
      <c r="C586" s="9"/>
      <c r="D586" s="131"/>
      <c r="E586" s="131"/>
      <c r="F586" s="131"/>
      <c r="G586" s="9"/>
      <c r="H586" s="132"/>
      <c r="I586" s="132"/>
      <c r="J586" s="131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69"/>
      <c r="B587" s="69"/>
      <c r="C587" s="9"/>
      <c r="D587" s="131"/>
      <c r="E587" s="131"/>
      <c r="F587" s="131"/>
      <c r="G587" s="9"/>
      <c r="H587" s="132"/>
      <c r="I587" s="132"/>
      <c r="J587" s="131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69"/>
      <c r="B588" s="69"/>
      <c r="C588" s="9"/>
      <c r="D588" s="131"/>
      <c r="E588" s="131"/>
      <c r="F588" s="131"/>
      <c r="G588" s="9"/>
      <c r="H588" s="132"/>
      <c r="I588" s="132"/>
      <c r="J588" s="131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69"/>
      <c r="B589" s="69"/>
      <c r="C589" s="9"/>
      <c r="D589" s="131"/>
      <c r="E589" s="131"/>
      <c r="F589" s="131"/>
      <c r="G589" s="9"/>
      <c r="H589" s="132"/>
      <c r="I589" s="132"/>
      <c r="J589" s="131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69"/>
      <c r="B590" s="69"/>
      <c r="C590" s="9"/>
      <c r="D590" s="131"/>
      <c r="E590" s="131"/>
      <c r="F590" s="131"/>
      <c r="G590" s="9"/>
      <c r="H590" s="132"/>
      <c r="I590" s="132"/>
      <c r="J590" s="131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69"/>
      <c r="B591" s="69"/>
      <c r="C591" s="9"/>
      <c r="D591" s="131"/>
      <c r="E591" s="131"/>
      <c r="F591" s="131"/>
      <c r="G591" s="9"/>
      <c r="H591" s="132"/>
      <c r="I591" s="132"/>
      <c r="J591" s="131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69"/>
      <c r="B592" s="69"/>
      <c r="C592" s="9"/>
      <c r="D592" s="131"/>
      <c r="E592" s="131"/>
      <c r="F592" s="131"/>
      <c r="G592" s="9"/>
      <c r="H592" s="132"/>
      <c r="I592" s="132"/>
      <c r="J592" s="131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69"/>
      <c r="B593" s="69"/>
      <c r="C593" s="9"/>
      <c r="D593" s="131"/>
      <c r="E593" s="131"/>
      <c r="F593" s="131"/>
      <c r="G593" s="9"/>
      <c r="H593" s="132"/>
      <c r="I593" s="132"/>
      <c r="J593" s="131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69"/>
      <c r="B594" s="69"/>
      <c r="C594" s="9"/>
      <c r="D594" s="131"/>
      <c r="E594" s="131"/>
      <c r="F594" s="131"/>
      <c r="G594" s="9"/>
      <c r="H594" s="132"/>
      <c r="I594" s="132"/>
      <c r="J594" s="131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69"/>
      <c r="B595" s="69"/>
      <c r="C595" s="9"/>
      <c r="D595" s="131"/>
      <c r="E595" s="131"/>
      <c r="F595" s="131"/>
      <c r="G595" s="9"/>
      <c r="H595" s="132"/>
      <c r="I595" s="132"/>
      <c r="J595" s="131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69"/>
      <c r="B596" s="69"/>
      <c r="C596" s="9"/>
      <c r="D596" s="131"/>
      <c r="E596" s="131"/>
      <c r="F596" s="131"/>
      <c r="G596" s="9"/>
      <c r="H596" s="132"/>
      <c r="I596" s="132"/>
      <c r="J596" s="131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69"/>
      <c r="B597" s="69"/>
      <c r="C597" s="9"/>
      <c r="D597" s="131"/>
      <c r="E597" s="131"/>
      <c r="F597" s="131"/>
      <c r="G597" s="9"/>
      <c r="H597" s="132"/>
      <c r="I597" s="132"/>
      <c r="J597" s="131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69"/>
      <c r="B598" s="69"/>
      <c r="C598" s="9"/>
      <c r="D598" s="131"/>
      <c r="E598" s="131"/>
      <c r="F598" s="131"/>
      <c r="G598" s="9"/>
      <c r="H598" s="132"/>
      <c r="I598" s="132"/>
      <c r="J598" s="131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69"/>
      <c r="B599" s="69"/>
      <c r="C599" s="9"/>
      <c r="D599" s="131"/>
      <c r="E599" s="131"/>
      <c r="F599" s="131"/>
      <c r="G599" s="9"/>
      <c r="H599" s="132"/>
      <c r="I599" s="132"/>
      <c r="J599" s="131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69"/>
      <c r="B600" s="69"/>
      <c r="C600" s="9"/>
      <c r="D600" s="131"/>
      <c r="E600" s="131"/>
      <c r="F600" s="131"/>
      <c r="G600" s="9"/>
      <c r="H600" s="132"/>
      <c r="I600" s="132"/>
      <c r="J600" s="131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69"/>
      <c r="B601" s="69"/>
      <c r="C601" s="9"/>
      <c r="D601" s="131"/>
      <c r="E601" s="131"/>
      <c r="F601" s="131"/>
      <c r="G601" s="9"/>
      <c r="H601" s="132"/>
      <c r="I601" s="132"/>
      <c r="J601" s="131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69"/>
      <c r="B602" s="69"/>
      <c r="C602" s="9"/>
      <c r="D602" s="131"/>
      <c r="E602" s="131"/>
      <c r="F602" s="131"/>
      <c r="G602" s="9"/>
      <c r="H602" s="132"/>
      <c r="I602" s="132"/>
      <c r="J602" s="131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69"/>
      <c r="B603" s="69"/>
      <c r="C603" s="9"/>
      <c r="D603" s="131"/>
      <c r="E603" s="131"/>
      <c r="F603" s="131"/>
      <c r="G603" s="9"/>
      <c r="H603" s="132"/>
      <c r="I603" s="132"/>
      <c r="J603" s="131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69"/>
      <c r="B604" s="69"/>
      <c r="C604" s="9"/>
      <c r="D604" s="131"/>
      <c r="E604" s="131"/>
      <c r="F604" s="131"/>
      <c r="G604" s="9"/>
      <c r="H604" s="132"/>
      <c r="I604" s="132"/>
      <c r="J604" s="131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69"/>
      <c r="B605" s="69"/>
      <c r="C605" s="9"/>
      <c r="D605" s="131"/>
      <c r="E605" s="131"/>
      <c r="F605" s="131"/>
      <c r="G605" s="9"/>
      <c r="H605" s="132"/>
      <c r="I605" s="132"/>
      <c r="J605" s="131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69"/>
      <c r="B606" s="69"/>
      <c r="C606" s="9"/>
      <c r="D606" s="131"/>
      <c r="E606" s="131"/>
      <c r="F606" s="131"/>
      <c r="G606" s="9"/>
      <c r="H606" s="132"/>
      <c r="I606" s="132"/>
      <c r="J606" s="131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69"/>
      <c r="B607" s="69"/>
      <c r="C607" s="9"/>
      <c r="D607" s="131"/>
      <c r="E607" s="131"/>
      <c r="F607" s="131"/>
      <c r="G607" s="9"/>
      <c r="H607" s="132"/>
      <c r="I607" s="132"/>
      <c r="J607" s="131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69"/>
      <c r="B608" s="69"/>
      <c r="C608" s="9"/>
      <c r="D608" s="131"/>
      <c r="E608" s="131"/>
      <c r="F608" s="131"/>
      <c r="G608" s="9"/>
      <c r="H608" s="132"/>
      <c r="I608" s="132"/>
      <c r="J608" s="131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69"/>
      <c r="B609" s="69"/>
      <c r="C609" s="9"/>
      <c r="D609" s="131"/>
      <c r="E609" s="131"/>
      <c r="F609" s="131"/>
      <c r="G609" s="9"/>
      <c r="H609" s="132"/>
      <c r="I609" s="132"/>
      <c r="J609" s="131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69"/>
      <c r="B610" s="69"/>
      <c r="C610" s="9"/>
      <c r="D610" s="131"/>
      <c r="E610" s="131"/>
      <c r="F610" s="131"/>
      <c r="G610" s="9"/>
      <c r="H610" s="132"/>
      <c r="I610" s="132"/>
      <c r="J610" s="131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69"/>
      <c r="B611" s="69"/>
      <c r="C611" s="9"/>
      <c r="D611" s="131"/>
      <c r="E611" s="131"/>
      <c r="F611" s="131"/>
      <c r="G611" s="9"/>
      <c r="H611" s="132"/>
      <c r="I611" s="132"/>
      <c r="J611" s="131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69"/>
      <c r="B612" s="69"/>
      <c r="C612" s="9"/>
      <c r="D612" s="131"/>
      <c r="E612" s="131"/>
      <c r="F612" s="131"/>
      <c r="G612" s="9"/>
      <c r="H612" s="132"/>
      <c r="I612" s="132"/>
      <c r="J612" s="131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69"/>
      <c r="B613" s="69"/>
      <c r="C613" s="9"/>
      <c r="D613" s="131"/>
      <c r="E613" s="131"/>
      <c r="F613" s="131"/>
      <c r="G613" s="9"/>
      <c r="H613" s="132"/>
      <c r="I613" s="132"/>
      <c r="J613" s="131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69"/>
      <c r="B614" s="69"/>
      <c r="C614" s="9"/>
      <c r="D614" s="131"/>
      <c r="E614" s="131"/>
      <c r="F614" s="131"/>
      <c r="G614" s="9"/>
      <c r="H614" s="132"/>
      <c r="I614" s="132"/>
      <c r="J614" s="131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69"/>
      <c r="B615" s="69"/>
      <c r="C615" s="9"/>
      <c r="D615" s="131"/>
      <c r="E615" s="131"/>
      <c r="F615" s="131"/>
      <c r="G615" s="9"/>
      <c r="H615" s="132"/>
      <c r="I615" s="132"/>
      <c r="J615" s="131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69"/>
      <c r="B616" s="69"/>
      <c r="C616" s="9"/>
      <c r="D616" s="131"/>
      <c r="E616" s="131"/>
      <c r="F616" s="131"/>
      <c r="G616" s="9"/>
      <c r="H616" s="132"/>
      <c r="I616" s="132"/>
      <c r="J616" s="131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69"/>
      <c r="B617" s="69"/>
      <c r="C617" s="9"/>
      <c r="D617" s="131"/>
      <c r="E617" s="131"/>
      <c r="F617" s="131"/>
      <c r="G617" s="9"/>
      <c r="H617" s="132"/>
      <c r="I617" s="132"/>
      <c r="J617" s="131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69"/>
      <c r="B618" s="69"/>
      <c r="C618" s="9"/>
      <c r="D618" s="131"/>
      <c r="E618" s="131"/>
      <c r="F618" s="131"/>
      <c r="G618" s="9"/>
      <c r="H618" s="132"/>
      <c r="I618" s="132"/>
      <c r="J618" s="131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69"/>
      <c r="B619" s="69"/>
      <c r="C619" s="9"/>
      <c r="D619" s="131"/>
      <c r="E619" s="131"/>
      <c r="F619" s="131"/>
      <c r="G619" s="9"/>
      <c r="H619" s="132"/>
      <c r="I619" s="132"/>
      <c r="J619" s="131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69"/>
      <c r="B620" s="69"/>
      <c r="C620" s="9"/>
      <c r="D620" s="131"/>
      <c r="E620" s="131"/>
      <c r="F620" s="131"/>
      <c r="G620" s="9"/>
      <c r="H620" s="132"/>
      <c r="I620" s="132"/>
      <c r="J620" s="131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69"/>
      <c r="B621" s="69"/>
      <c r="C621" s="9"/>
      <c r="D621" s="131"/>
      <c r="E621" s="131"/>
      <c r="F621" s="131"/>
      <c r="G621" s="9"/>
      <c r="H621" s="132"/>
      <c r="I621" s="132"/>
      <c r="J621" s="131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69"/>
      <c r="B622" s="69"/>
      <c r="C622" s="9"/>
      <c r="D622" s="131"/>
      <c r="E622" s="131"/>
      <c r="F622" s="131"/>
      <c r="G622" s="9"/>
      <c r="H622" s="132"/>
      <c r="I622" s="132"/>
      <c r="J622" s="131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69"/>
      <c r="B623" s="69"/>
      <c r="C623" s="9"/>
      <c r="D623" s="131"/>
      <c r="E623" s="131"/>
      <c r="F623" s="131"/>
      <c r="G623" s="9"/>
      <c r="H623" s="132"/>
      <c r="I623" s="132"/>
      <c r="J623" s="131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69"/>
      <c r="B624" s="69"/>
      <c r="C624" s="9"/>
      <c r="D624" s="131"/>
      <c r="E624" s="131"/>
      <c r="F624" s="131"/>
      <c r="G624" s="9"/>
      <c r="H624" s="132"/>
      <c r="I624" s="132"/>
      <c r="J624" s="131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69"/>
      <c r="B625" s="69"/>
      <c r="C625" s="9"/>
      <c r="D625" s="131"/>
      <c r="E625" s="131"/>
      <c r="F625" s="131"/>
      <c r="G625" s="9"/>
      <c r="H625" s="132"/>
      <c r="I625" s="132"/>
      <c r="J625" s="131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69"/>
      <c r="B626" s="69"/>
      <c r="C626" s="9"/>
      <c r="D626" s="131"/>
      <c r="E626" s="131"/>
      <c r="F626" s="131"/>
      <c r="G626" s="9"/>
      <c r="H626" s="132"/>
      <c r="I626" s="132"/>
      <c r="J626" s="131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69"/>
      <c r="B627" s="69"/>
      <c r="C627" s="9"/>
      <c r="D627" s="131"/>
      <c r="E627" s="131"/>
      <c r="F627" s="131"/>
      <c r="G627" s="9"/>
      <c r="H627" s="132"/>
      <c r="I627" s="132"/>
      <c r="J627" s="131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69"/>
      <c r="B628" s="69"/>
      <c r="C628" s="9"/>
      <c r="D628" s="131"/>
      <c r="E628" s="131"/>
      <c r="F628" s="131"/>
      <c r="G628" s="9"/>
      <c r="H628" s="132"/>
      <c r="I628" s="132"/>
      <c r="J628" s="131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69"/>
      <c r="B629" s="69"/>
      <c r="C629" s="9"/>
      <c r="D629" s="131"/>
      <c r="E629" s="131"/>
      <c r="F629" s="131"/>
      <c r="G629" s="9"/>
      <c r="H629" s="132"/>
      <c r="I629" s="132"/>
      <c r="J629" s="131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69"/>
      <c r="B630" s="69"/>
      <c r="C630" s="9"/>
      <c r="D630" s="131"/>
      <c r="E630" s="131"/>
      <c r="F630" s="131"/>
      <c r="G630" s="9"/>
      <c r="H630" s="132"/>
      <c r="I630" s="132"/>
      <c r="J630" s="131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69"/>
      <c r="B631" s="69"/>
      <c r="C631" s="9"/>
      <c r="D631" s="131"/>
      <c r="E631" s="131"/>
      <c r="F631" s="131"/>
      <c r="G631" s="9"/>
      <c r="H631" s="132"/>
      <c r="I631" s="132"/>
      <c r="J631" s="131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69"/>
      <c r="B632" s="69"/>
      <c r="C632" s="9"/>
      <c r="D632" s="131"/>
      <c r="E632" s="131"/>
      <c r="F632" s="131"/>
      <c r="G632" s="9"/>
      <c r="H632" s="132"/>
      <c r="I632" s="132"/>
      <c r="J632" s="131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69"/>
      <c r="B633" s="69"/>
      <c r="C633" s="9"/>
      <c r="D633" s="131"/>
      <c r="E633" s="131"/>
      <c r="F633" s="131"/>
      <c r="G633" s="9"/>
      <c r="H633" s="132"/>
      <c r="I633" s="132"/>
      <c r="J633" s="131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69"/>
      <c r="B634" s="69"/>
      <c r="C634" s="9"/>
      <c r="D634" s="131"/>
      <c r="E634" s="131"/>
      <c r="F634" s="131"/>
      <c r="G634" s="9"/>
      <c r="H634" s="132"/>
      <c r="I634" s="132"/>
      <c r="J634" s="131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69"/>
      <c r="B635" s="69"/>
      <c r="C635" s="9"/>
      <c r="D635" s="131"/>
      <c r="E635" s="131"/>
      <c r="F635" s="131"/>
      <c r="G635" s="9"/>
      <c r="H635" s="132"/>
      <c r="I635" s="132"/>
      <c r="J635" s="131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69"/>
      <c r="B636" s="69"/>
      <c r="C636" s="9"/>
      <c r="D636" s="131"/>
      <c r="E636" s="131"/>
      <c r="F636" s="131"/>
      <c r="G636" s="9"/>
      <c r="H636" s="132"/>
      <c r="I636" s="132"/>
      <c r="J636" s="131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69"/>
      <c r="B637" s="69"/>
      <c r="C637" s="9"/>
      <c r="D637" s="131"/>
      <c r="E637" s="131"/>
      <c r="F637" s="131"/>
      <c r="G637" s="9"/>
      <c r="H637" s="132"/>
      <c r="I637" s="132"/>
      <c r="J637" s="131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69"/>
      <c r="B638" s="69"/>
      <c r="C638" s="9"/>
      <c r="D638" s="131"/>
      <c r="E638" s="131"/>
      <c r="F638" s="131"/>
      <c r="G638" s="9"/>
      <c r="H638" s="132"/>
      <c r="I638" s="132"/>
      <c r="J638" s="131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69"/>
      <c r="B639" s="69"/>
      <c r="C639" s="9"/>
      <c r="D639" s="131"/>
      <c r="E639" s="131"/>
      <c r="F639" s="131"/>
      <c r="G639" s="9"/>
      <c r="H639" s="132"/>
      <c r="I639" s="132"/>
      <c r="J639" s="131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69"/>
      <c r="B640" s="69"/>
      <c r="C640" s="9"/>
      <c r="D640" s="131"/>
      <c r="E640" s="131"/>
      <c r="F640" s="131"/>
      <c r="G640" s="9"/>
      <c r="H640" s="132"/>
      <c r="I640" s="132"/>
      <c r="J640" s="131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69"/>
      <c r="B641" s="69"/>
      <c r="C641" s="9"/>
      <c r="D641" s="131"/>
      <c r="E641" s="131"/>
      <c r="F641" s="131"/>
      <c r="G641" s="9"/>
      <c r="H641" s="132"/>
      <c r="I641" s="132"/>
      <c r="J641" s="131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69"/>
      <c r="B642" s="69"/>
      <c r="C642" s="9"/>
      <c r="D642" s="131"/>
      <c r="E642" s="131"/>
      <c r="F642" s="131"/>
      <c r="G642" s="9"/>
      <c r="H642" s="132"/>
      <c r="I642" s="132"/>
      <c r="J642" s="131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69"/>
      <c r="B643" s="69"/>
      <c r="C643" s="9"/>
      <c r="D643" s="131"/>
      <c r="E643" s="131"/>
      <c r="F643" s="131"/>
      <c r="G643" s="9"/>
      <c r="H643" s="132"/>
      <c r="I643" s="132"/>
      <c r="J643" s="131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69"/>
      <c r="B644" s="69"/>
      <c r="C644" s="9"/>
      <c r="D644" s="131"/>
      <c r="E644" s="131"/>
      <c r="F644" s="131"/>
      <c r="G644" s="9"/>
      <c r="H644" s="132"/>
      <c r="I644" s="132"/>
      <c r="J644" s="131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69"/>
      <c r="B645" s="69"/>
      <c r="C645" s="9"/>
      <c r="D645" s="131"/>
      <c r="E645" s="131"/>
      <c r="F645" s="131"/>
      <c r="G645" s="9"/>
      <c r="H645" s="132"/>
      <c r="I645" s="132"/>
      <c r="J645" s="131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69"/>
      <c r="B646" s="69"/>
      <c r="C646" s="9"/>
      <c r="D646" s="131"/>
      <c r="E646" s="131"/>
      <c r="F646" s="131"/>
      <c r="G646" s="9"/>
      <c r="H646" s="132"/>
      <c r="I646" s="132"/>
      <c r="J646" s="131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69"/>
      <c r="B647" s="69"/>
      <c r="C647" s="9"/>
      <c r="D647" s="131"/>
      <c r="E647" s="131"/>
      <c r="F647" s="131"/>
      <c r="G647" s="9"/>
      <c r="H647" s="132"/>
      <c r="I647" s="132"/>
      <c r="J647" s="131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69"/>
      <c r="B648" s="69"/>
      <c r="C648" s="9"/>
      <c r="D648" s="131"/>
      <c r="E648" s="131"/>
      <c r="F648" s="131"/>
      <c r="G648" s="9"/>
      <c r="H648" s="132"/>
      <c r="I648" s="132"/>
      <c r="J648" s="131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69"/>
      <c r="B649" s="69"/>
      <c r="C649" s="9"/>
      <c r="D649" s="131"/>
      <c r="E649" s="131"/>
      <c r="F649" s="131"/>
      <c r="G649" s="9"/>
      <c r="H649" s="132"/>
      <c r="I649" s="132"/>
      <c r="J649" s="131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69"/>
      <c r="B650" s="69"/>
      <c r="C650" s="9"/>
      <c r="D650" s="131"/>
      <c r="E650" s="131"/>
      <c r="F650" s="131"/>
      <c r="G650" s="9"/>
      <c r="H650" s="132"/>
      <c r="I650" s="132"/>
      <c r="J650" s="131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69"/>
      <c r="B651" s="69"/>
      <c r="C651" s="9"/>
      <c r="D651" s="131"/>
      <c r="E651" s="131"/>
      <c r="F651" s="131"/>
      <c r="G651" s="9"/>
      <c r="H651" s="132"/>
      <c r="I651" s="132"/>
      <c r="J651" s="131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69"/>
      <c r="B652" s="69"/>
      <c r="C652" s="9"/>
      <c r="D652" s="131"/>
      <c r="E652" s="131"/>
      <c r="F652" s="131"/>
      <c r="G652" s="9"/>
      <c r="H652" s="132"/>
      <c r="I652" s="132"/>
      <c r="J652" s="131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69"/>
      <c r="B653" s="69"/>
      <c r="C653" s="9"/>
      <c r="D653" s="131"/>
      <c r="E653" s="131"/>
      <c r="F653" s="131"/>
      <c r="G653" s="9"/>
      <c r="H653" s="132"/>
      <c r="I653" s="132"/>
      <c r="J653" s="131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69"/>
      <c r="B654" s="69"/>
      <c r="C654" s="9"/>
      <c r="D654" s="131"/>
      <c r="E654" s="131"/>
      <c r="F654" s="131"/>
      <c r="G654" s="9"/>
      <c r="H654" s="132"/>
      <c r="I654" s="132"/>
      <c r="J654" s="131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69"/>
      <c r="B655" s="69"/>
      <c r="C655" s="9"/>
      <c r="D655" s="131"/>
      <c r="E655" s="131"/>
      <c r="F655" s="131"/>
      <c r="G655" s="9"/>
      <c r="H655" s="132"/>
      <c r="I655" s="132"/>
      <c r="J655" s="131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69"/>
      <c r="B656" s="69"/>
      <c r="C656" s="9"/>
      <c r="D656" s="131"/>
      <c r="E656" s="131"/>
      <c r="F656" s="131"/>
      <c r="G656" s="9"/>
      <c r="H656" s="132"/>
      <c r="I656" s="132"/>
      <c r="J656" s="131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69"/>
      <c r="B657" s="69"/>
      <c r="C657" s="9"/>
      <c r="D657" s="131"/>
      <c r="E657" s="131"/>
      <c r="F657" s="131"/>
      <c r="G657" s="9"/>
      <c r="H657" s="132"/>
      <c r="I657" s="132"/>
      <c r="J657" s="131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69"/>
      <c r="B658" s="69"/>
      <c r="C658" s="9"/>
      <c r="D658" s="131"/>
      <c r="E658" s="131"/>
      <c r="F658" s="131"/>
      <c r="G658" s="9"/>
      <c r="H658" s="132"/>
      <c r="I658" s="132"/>
      <c r="J658" s="131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69"/>
      <c r="B659" s="69"/>
      <c r="C659" s="9"/>
      <c r="D659" s="131"/>
      <c r="E659" s="131"/>
      <c r="F659" s="131"/>
      <c r="G659" s="9"/>
      <c r="H659" s="132"/>
      <c r="I659" s="132"/>
      <c r="J659" s="131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69"/>
      <c r="B660" s="69"/>
      <c r="C660" s="9"/>
      <c r="D660" s="131"/>
      <c r="E660" s="131"/>
      <c r="F660" s="131"/>
      <c r="G660" s="9"/>
      <c r="H660" s="132"/>
      <c r="I660" s="132"/>
      <c r="J660" s="131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69"/>
      <c r="B661" s="69"/>
      <c r="C661" s="9"/>
      <c r="D661" s="131"/>
      <c r="E661" s="131"/>
      <c r="F661" s="131"/>
      <c r="G661" s="9"/>
      <c r="H661" s="132"/>
      <c r="I661" s="132"/>
      <c r="J661" s="131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69"/>
      <c r="B662" s="69"/>
      <c r="C662" s="9"/>
      <c r="D662" s="131"/>
      <c r="E662" s="131"/>
      <c r="F662" s="131"/>
      <c r="G662" s="9"/>
      <c r="H662" s="132"/>
      <c r="I662" s="132"/>
      <c r="J662" s="131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69"/>
      <c r="B663" s="69"/>
      <c r="C663" s="9"/>
      <c r="D663" s="131"/>
      <c r="E663" s="131"/>
      <c r="F663" s="131"/>
      <c r="G663" s="9"/>
      <c r="H663" s="132"/>
      <c r="I663" s="132"/>
      <c r="J663" s="131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69"/>
      <c r="B664" s="69"/>
      <c r="C664" s="9"/>
      <c r="D664" s="131"/>
      <c r="E664" s="131"/>
      <c r="F664" s="131"/>
      <c r="G664" s="9"/>
      <c r="H664" s="132"/>
      <c r="I664" s="132"/>
      <c r="J664" s="131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69"/>
      <c r="B665" s="69"/>
      <c r="C665" s="9"/>
      <c r="D665" s="131"/>
      <c r="E665" s="131"/>
      <c r="F665" s="131"/>
      <c r="G665" s="9"/>
      <c r="H665" s="132"/>
      <c r="I665" s="132"/>
      <c r="J665" s="131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69"/>
      <c r="B666" s="69"/>
      <c r="C666" s="9"/>
      <c r="D666" s="131"/>
      <c r="E666" s="131"/>
      <c r="F666" s="131"/>
      <c r="G666" s="9"/>
      <c r="H666" s="132"/>
      <c r="I666" s="132"/>
      <c r="J666" s="131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69"/>
      <c r="B667" s="69"/>
      <c r="C667" s="9"/>
      <c r="D667" s="131"/>
      <c r="E667" s="131"/>
      <c r="F667" s="131"/>
      <c r="G667" s="9"/>
      <c r="H667" s="132"/>
      <c r="I667" s="132"/>
      <c r="J667" s="131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69"/>
      <c r="B668" s="69"/>
      <c r="C668" s="9"/>
      <c r="D668" s="131"/>
      <c r="E668" s="131"/>
      <c r="F668" s="131"/>
      <c r="G668" s="9"/>
      <c r="H668" s="132"/>
      <c r="I668" s="132"/>
      <c r="J668" s="131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69"/>
      <c r="B669" s="69"/>
      <c r="C669" s="9"/>
      <c r="D669" s="131"/>
      <c r="E669" s="131"/>
      <c r="F669" s="131"/>
      <c r="G669" s="9"/>
      <c r="H669" s="132"/>
      <c r="I669" s="132"/>
      <c r="J669" s="131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69"/>
      <c r="B670" s="69"/>
      <c r="C670" s="9"/>
      <c r="D670" s="131"/>
      <c r="E670" s="131"/>
      <c r="F670" s="131"/>
      <c r="G670" s="9"/>
      <c r="H670" s="132"/>
      <c r="I670" s="132"/>
      <c r="J670" s="131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69"/>
      <c r="B671" s="69"/>
      <c r="C671" s="9"/>
      <c r="D671" s="131"/>
      <c r="E671" s="131"/>
      <c r="F671" s="131"/>
      <c r="G671" s="9"/>
      <c r="H671" s="132"/>
      <c r="I671" s="132"/>
      <c r="J671" s="131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69"/>
      <c r="B672" s="69"/>
      <c r="C672" s="9"/>
      <c r="D672" s="131"/>
      <c r="E672" s="131"/>
      <c r="F672" s="131"/>
      <c r="G672" s="9"/>
      <c r="H672" s="132"/>
      <c r="I672" s="132"/>
      <c r="J672" s="131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69"/>
      <c r="B673" s="69"/>
      <c r="C673" s="9"/>
      <c r="D673" s="131"/>
      <c r="E673" s="131"/>
      <c r="F673" s="131"/>
      <c r="G673" s="9"/>
      <c r="H673" s="132"/>
      <c r="I673" s="132"/>
      <c r="J673" s="131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69"/>
      <c r="B674" s="69"/>
      <c r="C674" s="9"/>
      <c r="D674" s="131"/>
      <c r="E674" s="131"/>
      <c r="F674" s="131"/>
      <c r="G674" s="9"/>
      <c r="H674" s="132"/>
      <c r="I674" s="132"/>
      <c r="J674" s="131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69"/>
      <c r="B675" s="69"/>
      <c r="C675" s="9"/>
      <c r="D675" s="131"/>
      <c r="E675" s="131"/>
      <c r="F675" s="131"/>
      <c r="G675" s="9"/>
      <c r="H675" s="132"/>
      <c r="I675" s="132"/>
      <c r="J675" s="131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69"/>
      <c r="B676" s="69"/>
      <c r="C676" s="9"/>
      <c r="D676" s="131"/>
      <c r="E676" s="131"/>
      <c r="F676" s="131"/>
      <c r="G676" s="9"/>
      <c r="H676" s="132"/>
      <c r="I676" s="132"/>
      <c r="J676" s="131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69"/>
      <c r="B677" s="69"/>
      <c r="C677" s="9"/>
      <c r="D677" s="131"/>
      <c r="E677" s="131"/>
      <c r="F677" s="131"/>
      <c r="G677" s="9"/>
      <c r="H677" s="132"/>
      <c r="I677" s="132"/>
      <c r="J677" s="131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69"/>
      <c r="B678" s="69"/>
      <c r="C678" s="9"/>
      <c r="D678" s="131"/>
      <c r="E678" s="131"/>
      <c r="F678" s="131"/>
      <c r="G678" s="9"/>
      <c r="H678" s="132"/>
      <c r="I678" s="132"/>
      <c r="J678" s="131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69"/>
      <c r="B679" s="69"/>
      <c r="C679" s="9"/>
      <c r="D679" s="131"/>
      <c r="E679" s="131"/>
      <c r="F679" s="131"/>
      <c r="G679" s="9"/>
      <c r="H679" s="132"/>
      <c r="I679" s="132"/>
      <c r="J679" s="131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69"/>
      <c r="B680" s="69"/>
      <c r="C680" s="9"/>
      <c r="D680" s="131"/>
      <c r="E680" s="131"/>
      <c r="F680" s="131"/>
      <c r="G680" s="9"/>
      <c r="H680" s="132"/>
      <c r="I680" s="132"/>
      <c r="J680" s="131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69"/>
      <c r="B681" s="69"/>
      <c r="C681" s="9"/>
      <c r="D681" s="131"/>
      <c r="E681" s="131"/>
      <c r="F681" s="131"/>
      <c r="G681" s="9"/>
      <c r="H681" s="132"/>
      <c r="I681" s="132"/>
      <c r="J681" s="131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69"/>
      <c r="B682" s="69"/>
      <c r="C682" s="9"/>
      <c r="D682" s="131"/>
      <c r="E682" s="131"/>
      <c r="F682" s="131"/>
      <c r="G682" s="9"/>
      <c r="H682" s="132"/>
      <c r="I682" s="132"/>
      <c r="J682" s="131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69"/>
      <c r="B683" s="69"/>
      <c r="C683" s="9"/>
      <c r="D683" s="131"/>
      <c r="E683" s="131"/>
      <c r="F683" s="131"/>
      <c r="G683" s="9"/>
      <c r="H683" s="132"/>
      <c r="I683" s="132"/>
      <c r="J683" s="131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69"/>
      <c r="B684" s="69"/>
      <c r="C684" s="9"/>
      <c r="D684" s="131"/>
      <c r="E684" s="131"/>
      <c r="F684" s="131"/>
      <c r="G684" s="9"/>
      <c r="H684" s="132"/>
      <c r="I684" s="132"/>
      <c r="J684" s="131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69"/>
      <c r="B685" s="69"/>
      <c r="C685" s="9"/>
      <c r="D685" s="131"/>
      <c r="E685" s="131"/>
      <c r="F685" s="131"/>
      <c r="G685" s="9"/>
      <c r="H685" s="132"/>
      <c r="I685" s="132"/>
      <c r="J685" s="131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69"/>
      <c r="B686" s="69"/>
      <c r="C686" s="9"/>
      <c r="D686" s="131"/>
      <c r="E686" s="131"/>
      <c r="F686" s="131"/>
      <c r="G686" s="9"/>
      <c r="H686" s="132"/>
      <c r="I686" s="132"/>
      <c r="J686" s="131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69"/>
      <c r="B687" s="69"/>
      <c r="C687" s="9"/>
      <c r="D687" s="131"/>
      <c r="E687" s="131"/>
      <c r="F687" s="131"/>
      <c r="G687" s="9"/>
      <c r="H687" s="132"/>
      <c r="I687" s="132"/>
      <c r="J687" s="131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69"/>
      <c r="B688" s="69"/>
      <c r="C688" s="9"/>
      <c r="D688" s="131"/>
      <c r="E688" s="131"/>
      <c r="F688" s="131"/>
      <c r="G688" s="9"/>
      <c r="H688" s="132"/>
      <c r="I688" s="132"/>
      <c r="J688" s="131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69"/>
      <c r="B689" s="69"/>
      <c r="C689" s="9"/>
      <c r="D689" s="131"/>
      <c r="E689" s="131"/>
      <c r="F689" s="131"/>
      <c r="G689" s="9"/>
      <c r="H689" s="132"/>
      <c r="I689" s="132"/>
      <c r="J689" s="131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69"/>
      <c r="B690" s="69"/>
      <c r="C690" s="9"/>
      <c r="D690" s="131"/>
      <c r="E690" s="131"/>
      <c r="F690" s="131"/>
      <c r="G690" s="9"/>
      <c r="H690" s="132"/>
      <c r="I690" s="132"/>
      <c r="J690" s="131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69"/>
      <c r="B691" s="69"/>
      <c r="C691" s="9"/>
      <c r="D691" s="131"/>
      <c r="E691" s="131"/>
      <c r="F691" s="131"/>
      <c r="G691" s="9"/>
      <c r="H691" s="132"/>
      <c r="I691" s="132"/>
      <c r="J691" s="131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69"/>
      <c r="B692" s="69"/>
      <c r="C692" s="9"/>
      <c r="D692" s="131"/>
      <c r="E692" s="131"/>
      <c r="F692" s="131"/>
      <c r="G692" s="9"/>
      <c r="H692" s="132"/>
      <c r="I692" s="132"/>
      <c r="J692" s="131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69"/>
      <c r="B693" s="69"/>
      <c r="C693" s="9"/>
      <c r="D693" s="131"/>
      <c r="E693" s="131"/>
      <c r="F693" s="131"/>
      <c r="G693" s="9"/>
      <c r="H693" s="132"/>
      <c r="I693" s="132"/>
      <c r="J693" s="131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69"/>
      <c r="B694" s="69"/>
      <c r="C694" s="9"/>
      <c r="D694" s="131"/>
      <c r="E694" s="131"/>
      <c r="F694" s="131"/>
      <c r="G694" s="9"/>
      <c r="H694" s="132"/>
      <c r="I694" s="132"/>
      <c r="J694" s="131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69"/>
      <c r="B695" s="69"/>
      <c r="C695" s="9"/>
      <c r="D695" s="131"/>
      <c r="E695" s="131"/>
      <c r="F695" s="131"/>
      <c r="G695" s="9"/>
      <c r="H695" s="132"/>
      <c r="I695" s="132"/>
      <c r="J695" s="131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69"/>
      <c r="B696" s="69"/>
      <c r="C696" s="9"/>
      <c r="D696" s="131"/>
      <c r="E696" s="131"/>
      <c r="F696" s="131"/>
      <c r="G696" s="9"/>
      <c r="H696" s="132"/>
      <c r="I696" s="132"/>
      <c r="J696" s="131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69"/>
      <c r="B697" s="69"/>
      <c r="C697" s="9"/>
      <c r="D697" s="131"/>
      <c r="E697" s="131"/>
      <c r="F697" s="131"/>
      <c r="G697" s="9"/>
      <c r="H697" s="132"/>
      <c r="I697" s="132"/>
      <c r="J697" s="131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69"/>
      <c r="B698" s="69"/>
      <c r="C698" s="9"/>
      <c r="D698" s="131"/>
      <c r="E698" s="131"/>
      <c r="F698" s="131"/>
      <c r="G698" s="9"/>
      <c r="H698" s="132"/>
      <c r="I698" s="132"/>
      <c r="J698" s="131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69"/>
      <c r="B699" s="69"/>
      <c r="C699" s="9"/>
      <c r="D699" s="131"/>
      <c r="E699" s="131"/>
      <c r="F699" s="131"/>
      <c r="G699" s="9"/>
      <c r="H699" s="132"/>
      <c r="I699" s="132"/>
      <c r="J699" s="131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69"/>
      <c r="B700" s="69"/>
      <c r="C700" s="9"/>
      <c r="D700" s="131"/>
      <c r="E700" s="131"/>
      <c r="F700" s="131"/>
      <c r="G700" s="9"/>
      <c r="H700" s="132"/>
      <c r="I700" s="132"/>
      <c r="J700" s="131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69"/>
      <c r="B701" s="69"/>
      <c r="C701" s="9"/>
      <c r="D701" s="131"/>
      <c r="E701" s="131"/>
      <c r="F701" s="131"/>
      <c r="G701" s="9"/>
      <c r="H701" s="132"/>
      <c r="I701" s="132"/>
      <c r="J701" s="131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69"/>
      <c r="B702" s="69"/>
      <c r="C702" s="9"/>
      <c r="D702" s="131"/>
      <c r="E702" s="131"/>
      <c r="F702" s="131"/>
      <c r="G702" s="9"/>
      <c r="H702" s="132"/>
      <c r="I702" s="132"/>
      <c r="J702" s="131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69"/>
      <c r="B703" s="69"/>
      <c r="C703" s="9"/>
      <c r="D703" s="131"/>
      <c r="E703" s="131"/>
      <c r="F703" s="131"/>
      <c r="G703" s="9"/>
      <c r="H703" s="132"/>
      <c r="I703" s="132"/>
      <c r="J703" s="131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69"/>
      <c r="B704" s="69"/>
      <c r="C704" s="9"/>
      <c r="D704" s="131"/>
      <c r="E704" s="131"/>
      <c r="F704" s="131"/>
      <c r="G704" s="9"/>
      <c r="H704" s="132"/>
      <c r="I704" s="132"/>
      <c r="J704" s="131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69"/>
      <c r="B705" s="69"/>
      <c r="C705" s="9"/>
      <c r="D705" s="131"/>
      <c r="E705" s="131"/>
      <c r="F705" s="131"/>
      <c r="G705" s="9"/>
      <c r="H705" s="132"/>
      <c r="I705" s="132"/>
      <c r="J705" s="131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69"/>
      <c r="B706" s="69"/>
      <c r="C706" s="9"/>
      <c r="D706" s="131"/>
      <c r="E706" s="131"/>
      <c r="F706" s="131"/>
      <c r="G706" s="9"/>
      <c r="H706" s="132"/>
      <c r="I706" s="132"/>
      <c r="J706" s="131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69"/>
      <c r="B707" s="69"/>
      <c r="C707" s="9"/>
      <c r="D707" s="131"/>
      <c r="E707" s="131"/>
      <c r="F707" s="131"/>
      <c r="G707" s="9"/>
      <c r="H707" s="132"/>
      <c r="I707" s="132"/>
      <c r="J707" s="131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69"/>
      <c r="B708" s="69"/>
      <c r="C708" s="9"/>
      <c r="D708" s="131"/>
      <c r="E708" s="131"/>
      <c r="F708" s="131"/>
      <c r="G708" s="9"/>
      <c r="H708" s="132"/>
      <c r="I708" s="132"/>
      <c r="J708" s="131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69"/>
      <c r="B709" s="69"/>
      <c r="C709" s="9"/>
      <c r="D709" s="131"/>
      <c r="E709" s="131"/>
      <c r="F709" s="131"/>
      <c r="G709" s="9"/>
      <c r="H709" s="132"/>
      <c r="I709" s="132"/>
      <c r="J709" s="131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69"/>
      <c r="B710" s="69"/>
      <c r="C710" s="9"/>
      <c r="D710" s="131"/>
      <c r="E710" s="131"/>
      <c r="F710" s="131"/>
      <c r="G710" s="9"/>
      <c r="H710" s="132"/>
      <c r="I710" s="132"/>
      <c r="J710" s="131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69"/>
      <c r="B711" s="69"/>
      <c r="C711" s="9"/>
      <c r="D711" s="131"/>
      <c r="E711" s="131"/>
      <c r="F711" s="131"/>
      <c r="G711" s="9"/>
      <c r="H711" s="132"/>
      <c r="I711" s="132"/>
      <c r="J711" s="131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69"/>
      <c r="B712" s="69"/>
      <c r="C712" s="9"/>
      <c r="D712" s="131"/>
      <c r="E712" s="131"/>
      <c r="F712" s="131"/>
      <c r="G712" s="9"/>
      <c r="H712" s="132"/>
      <c r="I712" s="132"/>
      <c r="J712" s="131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69"/>
      <c r="B713" s="69"/>
      <c r="C713" s="9"/>
      <c r="D713" s="131"/>
      <c r="E713" s="131"/>
      <c r="F713" s="131"/>
      <c r="G713" s="9"/>
      <c r="H713" s="132"/>
      <c r="I713" s="132"/>
      <c r="J713" s="131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69"/>
      <c r="B714" s="69"/>
      <c r="C714" s="9"/>
      <c r="D714" s="131"/>
      <c r="E714" s="131"/>
      <c r="F714" s="131"/>
      <c r="G714" s="9"/>
      <c r="H714" s="132"/>
      <c r="I714" s="132"/>
      <c r="J714" s="131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69"/>
      <c r="B715" s="69"/>
      <c r="C715" s="9"/>
      <c r="D715" s="131"/>
      <c r="E715" s="131"/>
      <c r="F715" s="131"/>
      <c r="G715" s="9"/>
      <c r="H715" s="132"/>
      <c r="I715" s="132"/>
      <c r="J715" s="131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69"/>
      <c r="B716" s="69"/>
      <c r="C716" s="9"/>
      <c r="D716" s="131"/>
      <c r="E716" s="131"/>
      <c r="F716" s="131"/>
      <c r="G716" s="9"/>
      <c r="H716" s="132"/>
      <c r="I716" s="132"/>
      <c r="J716" s="131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69"/>
      <c r="B717" s="69"/>
      <c r="C717" s="9"/>
      <c r="D717" s="131"/>
      <c r="E717" s="131"/>
      <c r="F717" s="131"/>
      <c r="G717" s="9"/>
      <c r="H717" s="132"/>
      <c r="I717" s="132"/>
      <c r="J717" s="131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69"/>
      <c r="B718" s="69"/>
      <c r="C718" s="9"/>
      <c r="D718" s="131"/>
      <c r="E718" s="131"/>
      <c r="F718" s="131"/>
      <c r="G718" s="9"/>
      <c r="H718" s="132"/>
      <c r="I718" s="132"/>
      <c r="J718" s="131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69"/>
      <c r="B719" s="69"/>
      <c r="C719" s="9"/>
      <c r="D719" s="131"/>
      <c r="E719" s="131"/>
      <c r="F719" s="131"/>
      <c r="G719" s="9"/>
      <c r="H719" s="132"/>
      <c r="I719" s="132"/>
      <c r="J719" s="131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69"/>
      <c r="B720" s="69"/>
      <c r="C720" s="9"/>
      <c r="D720" s="131"/>
      <c r="E720" s="131"/>
      <c r="F720" s="131"/>
      <c r="G720" s="9"/>
      <c r="H720" s="132"/>
      <c r="I720" s="132"/>
      <c r="J720" s="131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69"/>
      <c r="B721" s="69"/>
      <c r="C721" s="9"/>
      <c r="D721" s="131"/>
      <c r="E721" s="131"/>
      <c r="F721" s="131"/>
      <c r="G721" s="9"/>
      <c r="H721" s="132"/>
      <c r="I721" s="132"/>
      <c r="J721" s="131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69"/>
      <c r="B722" s="69"/>
      <c r="C722" s="9"/>
      <c r="D722" s="131"/>
      <c r="E722" s="131"/>
      <c r="F722" s="131"/>
      <c r="G722" s="9"/>
      <c r="H722" s="132"/>
      <c r="I722" s="132"/>
      <c r="J722" s="131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69"/>
      <c r="B723" s="69"/>
      <c r="C723" s="9"/>
      <c r="D723" s="131"/>
      <c r="E723" s="131"/>
      <c r="F723" s="131"/>
      <c r="G723" s="9"/>
      <c r="H723" s="132"/>
      <c r="I723" s="132"/>
      <c r="J723" s="131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69"/>
      <c r="B724" s="69"/>
      <c r="C724" s="9"/>
      <c r="D724" s="131"/>
      <c r="E724" s="131"/>
      <c r="F724" s="131"/>
      <c r="G724" s="9"/>
      <c r="H724" s="132"/>
      <c r="I724" s="132"/>
      <c r="J724" s="131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69"/>
      <c r="B725" s="69"/>
      <c r="C725" s="9"/>
      <c r="D725" s="131"/>
      <c r="E725" s="131"/>
      <c r="F725" s="131"/>
      <c r="G725" s="9"/>
      <c r="H725" s="132"/>
      <c r="I725" s="132"/>
      <c r="J725" s="131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69"/>
      <c r="B726" s="69"/>
      <c r="C726" s="9"/>
      <c r="D726" s="131"/>
      <c r="E726" s="131"/>
      <c r="F726" s="131"/>
      <c r="G726" s="9"/>
      <c r="H726" s="132"/>
      <c r="I726" s="132"/>
      <c r="J726" s="131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69"/>
      <c r="B727" s="69"/>
      <c r="C727" s="9"/>
      <c r="D727" s="131"/>
      <c r="E727" s="131"/>
      <c r="F727" s="131"/>
      <c r="G727" s="9"/>
      <c r="H727" s="132"/>
      <c r="I727" s="132"/>
      <c r="J727" s="131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69"/>
      <c r="B728" s="69"/>
      <c r="C728" s="9"/>
      <c r="D728" s="131"/>
      <c r="E728" s="131"/>
      <c r="F728" s="131"/>
      <c r="G728" s="9"/>
      <c r="H728" s="132"/>
      <c r="I728" s="132"/>
      <c r="J728" s="131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69"/>
      <c r="B729" s="69"/>
      <c r="C729" s="9"/>
      <c r="D729" s="131"/>
      <c r="E729" s="131"/>
      <c r="F729" s="131"/>
      <c r="G729" s="9"/>
      <c r="H729" s="132"/>
      <c r="I729" s="132"/>
      <c r="J729" s="131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69"/>
      <c r="B730" s="69"/>
      <c r="C730" s="9"/>
      <c r="D730" s="131"/>
      <c r="E730" s="131"/>
      <c r="F730" s="131"/>
      <c r="G730" s="9"/>
      <c r="H730" s="132"/>
      <c r="I730" s="132"/>
      <c r="J730" s="131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69"/>
      <c r="B731" s="69"/>
      <c r="C731" s="9"/>
      <c r="D731" s="131"/>
      <c r="E731" s="131"/>
      <c r="F731" s="131"/>
      <c r="G731" s="9"/>
      <c r="H731" s="132"/>
      <c r="I731" s="132"/>
      <c r="J731" s="131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69"/>
      <c r="B732" s="69"/>
      <c r="C732" s="9"/>
      <c r="D732" s="131"/>
      <c r="E732" s="131"/>
      <c r="F732" s="131"/>
      <c r="G732" s="9"/>
      <c r="H732" s="132"/>
      <c r="I732" s="132"/>
      <c r="J732" s="131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69"/>
      <c r="B733" s="69"/>
      <c r="C733" s="9"/>
      <c r="D733" s="131"/>
      <c r="E733" s="131"/>
      <c r="F733" s="131"/>
      <c r="G733" s="9"/>
      <c r="H733" s="132"/>
      <c r="I733" s="132"/>
      <c r="J733" s="131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69"/>
      <c r="B734" s="69"/>
      <c r="C734" s="9"/>
      <c r="D734" s="131"/>
      <c r="E734" s="131"/>
      <c r="F734" s="131"/>
      <c r="G734" s="9"/>
      <c r="H734" s="132"/>
      <c r="I734" s="132"/>
      <c r="J734" s="131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69"/>
      <c r="B735" s="69"/>
      <c r="C735" s="9"/>
      <c r="D735" s="131"/>
      <c r="E735" s="131"/>
      <c r="F735" s="131"/>
      <c r="G735" s="9"/>
      <c r="H735" s="132"/>
      <c r="I735" s="132"/>
      <c r="J735" s="131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69"/>
      <c r="B736" s="69"/>
      <c r="C736" s="9"/>
      <c r="D736" s="131"/>
      <c r="E736" s="131"/>
      <c r="F736" s="131"/>
      <c r="G736" s="9"/>
      <c r="H736" s="132"/>
      <c r="I736" s="132"/>
      <c r="J736" s="131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69"/>
      <c r="B737" s="69"/>
      <c r="C737" s="9"/>
      <c r="D737" s="131"/>
      <c r="E737" s="131"/>
      <c r="F737" s="131"/>
      <c r="G737" s="9"/>
      <c r="H737" s="132"/>
      <c r="I737" s="132"/>
      <c r="J737" s="131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69"/>
      <c r="B738" s="69"/>
      <c r="C738" s="9"/>
      <c r="D738" s="131"/>
      <c r="E738" s="131"/>
      <c r="F738" s="131"/>
      <c r="G738" s="9"/>
      <c r="H738" s="132"/>
      <c r="I738" s="132"/>
      <c r="J738" s="131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69"/>
      <c r="B739" s="69"/>
      <c r="C739" s="9"/>
      <c r="D739" s="131"/>
      <c r="E739" s="131"/>
      <c r="F739" s="131"/>
      <c r="G739" s="9"/>
      <c r="H739" s="132"/>
      <c r="I739" s="132"/>
      <c r="J739" s="131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69"/>
      <c r="B740" s="69"/>
      <c r="C740" s="9"/>
      <c r="D740" s="131"/>
      <c r="E740" s="131"/>
      <c r="F740" s="131"/>
      <c r="G740" s="9"/>
      <c r="H740" s="132"/>
      <c r="I740" s="132"/>
      <c r="J740" s="131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69"/>
      <c r="B741" s="69"/>
      <c r="C741" s="9"/>
      <c r="D741" s="131"/>
      <c r="E741" s="131"/>
      <c r="F741" s="131"/>
      <c r="G741" s="9"/>
      <c r="H741" s="132"/>
      <c r="I741" s="132"/>
      <c r="J741" s="131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69"/>
      <c r="B742" s="69"/>
      <c r="C742" s="9"/>
      <c r="D742" s="131"/>
      <c r="E742" s="131"/>
      <c r="F742" s="131"/>
      <c r="G742" s="9"/>
      <c r="H742" s="132"/>
      <c r="I742" s="132"/>
      <c r="J742" s="131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69"/>
      <c r="B743" s="69"/>
      <c r="C743" s="9"/>
      <c r="D743" s="131"/>
      <c r="E743" s="131"/>
      <c r="F743" s="131"/>
      <c r="G743" s="9"/>
      <c r="H743" s="132"/>
      <c r="I743" s="132"/>
      <c r="J743" s="131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69"/>
      <c r="B744" s="69"/>
      <c r="C744" s="9"/>
      <c r="D744" s="131"/>
      <c r="E744" s="131"/>
      <c r="F744" s="131"/>
      <c r="G744" s="9"/>
      <c r="H744" s="132"/>
      <c r="I744" s="132"/>
      <c r="J744" s="131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69"/>
      <c r="B745" s="69"/>
      <c r="C745" s="9"/>
      <c r="D745" s="131"/>
      <c r="E745" s="131"/>
      <c r="F745" s="131"/>
      <c r="G745" s="9"/>
      <c r="H745" s="132"/>
      <c r="I745" s="132"/>
      <c r="J745" s="131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69"/>
      <c r="B746" s="69"/>
      <c r="C746" s="9"/>
      <c r="D746" s="131"/>
      <c r="E746" s="131"/>
      <c r="F746" s="131"/>
      <c r="G746" s="9"/>
      <c r="H746" s="132"/>
      <c r="I746" s="132"/>
      <c r="J746" s="131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69"/>
      <c r="B747" s="69"/>
      <c r="C747" s="9"/>
      <c r="D747" s="131"/>
      <c r="E747" s="131"/>
      <c r="F747" s="131"/>
      <c r="G747" s="9"/>
      <c r="H747" s="132"/>
      <c r="I747" s="132"/>
      <c r="J747" s="131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69"/>
      <c r="B748" s="69"/>
      <c r="C748" s="9"/>
      <c r="D748" s="131"/>
      <c r="E748" s="131"/>
      <c r="F748" s="131"/>
      <c r="G748" s="9"/>
      <c r="H748" s="132"/>
      <c r="I748" s="132"/>
      <c r="J748" s="131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69"/>
      <c r="B749" s="69"/>
      <c r="C749" s="9"/>
      <c r="D749" s="131"/>
      <c r="E749" s="131"/>
      <c r="F749" s="131"/>
      <c r="G749" s="9"/>
      <c r="H749" s="132"/>
      <c r="I749" s="132"/>
      <c r="J749" s="131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69"/>
      <c r="B750" s="69"/>
      <c r="C750" s="9"/>
      <c r="D750" s="131"/>
      <c r="E750" s="131"/>
      <c r="F750" s="131"/>
      <c r="G750" s="9"/>
      <c r="H750" s="132"/>
      <c r="I750" s="132"/>
      <c r="J750" s="131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69"/>
      <c r="B751" s="69"/>
      <c r="C751" s="9"/>
      <c r="D751" s="131"/>
      <c r="E751" s="131"/>
      <c r="F751" s="131"/>
      <c r="G751" s="9"/>
      <c r="H751" s="132"/>
      <c r="I751" s="132"/>
      <c r="J751" s="131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69"/>
      <c r="B752" s="69"/>
      <c r="C752" s="9"/>
      <c r="D752" s="131"/>
      <c r="E752" s="131"/>
      <c r="F752" s="131"/>
      <c r="G752" s="9"/>
      <c r="H752" s="132"/>
      <c r="I752" s="132"/>
      <c r="J752" s="131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69"/>
      <c r="B753" s="69"/>
      <c r="C753" s="9"/>
      <c r="D753" s="131"/>
      <c r="E753" s="131"/>
      <c r="F753" s="131"/>
      <c r="G753" s="9"/>
      <c r="H753" s="132"/>
      <c r="I753" s="132"/>
      <c r="J753" s="131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69"/>
      <c r="B754" s="69"/>
      <c r="C754" s="9"/>
      <c r="D754" s="131"/>
      <c r="E754" s="131"/>
      <c r="F754" s="131"/>
      <c r="G754" s="9"/>
      <c r="H754" s="132"/>
      <c r="I754" s="132"/>
      <c r="J754" s="131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69"/>
      <c r="B755" s="69"/>
      <c r="C755" s="9"/>
      <c r="D755" s="131"/>
      <c r="E755" s="131"/>
      <c r="F755" s="131"/>
      <c r="G755" s="9"/>
      <c r="H755" s="132"/>
      <c r="I755" s="132"/>
      <c r="J755" s="131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69"/>
      <c r="B756" s="69"/>
      <c r="C756" s="9"/>
      <c r="D756" s="131"/>
      <c r="E756" s="131"/>
      <c r="F756" s="131"/>
      <c r="G756" s="9"/>
      <c r="H756" s="132"/>
      <c r="I756" s="132"/>
      <c r="J756" s="131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69"/>
      <c r="B757" s="69"/>
      <c r="C757" s="9"/>
      <c r="D757" s="131"/>
      <c r="E757" s="131"/>
      <c r="F757" s="131"/>
      <c r="G757" s="9"/>
      <c r="H757" s="132"/>
      <c r="I757" s="132"/>
      <c r="J757" s="131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69"/>
      <c r="B758" s="69"/>
      <c r="C758" s="9"/>
      <c r="D758" s="131"/>
      <c r="E758" s="131"/>
      <c r="F758" s="131"/>
      <c r="G758" s="9"/>
      <c r="H758" s="132"/>
      <c r="I758" s="132"/>
      <c r="J758" s="131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69"/>
      <c r="B759" s="69"/>
      <c r="C759" s="9"/>
      <c r="D759" s="131"/>
      <c r="E759" s="131"/>
      <c r="F759" s="131"/>
      <c r="G759" s="9"/>
      <c r="H759" s="132"/>
      <c r="I759" s="132"/>
      <c r="J759" s="131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69"/>
      <c r="B760" s="69"/>
      <c r="C760" s="9"/>
      <c r="D760" s="131"/>
      <c r="E760" s="131"/>
      <c r="F760" s="131"/>
      <c r="G760" s="9"/>
      <c r="H760" s="132"/>
      <c r="I760" s="132"/>
      <c r="J760" s="131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69"/>
      <c r="B761" s="69"/>
      <c r="C761" s="9"/>
      <c r="D761" s="131"/>
      <c r="E761" s="131"/>
      <c r="F761" s="131"/>
      <c r="G761" s="9"/>
      <c r="H761" s="132"/>
      <c r="I761" s="132"/>
      <c r="J761" s="131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69"/>
      <c r="B762" s="69"/>
      <c r="C762" s="9"/>
      <c r="D762" s="131"/>
      <c r="E762" s="131"/>
      <c r="F762" s="131"/>
      <c r="G762" s="9"/>
      <c r="H762" s="132"/>
      <c r="I762" s="132"/>
      <c r="J762" s="131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69"/>
      <c r="B763" s="69"/>
      <c r="C763" s="9"/>
      <c r="D763" s="131"/>
      <c r="E763" s="131"/>
      <c r="F763" s="131"/>
      <c r="G763" s="9"/>
      <c r="H763" s="132"/>
      <c r="I763" s="132"/>
      <c r="J763" s="131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69"/>
      <c r="B764" s="69"/>
      <c r="C764" s="9"/>
      <c r="D764" s="131"/>
      <c r="E764" s="131"/>
      <c r="F764" s="131"/>
      <c r="G764" s="9"/>
      <c r="H764" s="132"/>
      <c r="I764" s="132"/>
      <c r="J764" s="131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69"/>
      <c r="B765" s="69"/>
      <c r="C765" s="9"/>
      <c r="D765" s="131"/>
      <c r="E765" s="131"/>
      <c r="F765" s="131"/>
      <c r="G765" s="9"/>
      <c r="H765" s="132"/>
      <c r="I765" s="132"/>
      <c r="J765" s="131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69"/>
      <c r="B766" s="69"/>
      <c r="C766" s="9"/>
      <c r="D766" s="131"/>
      <c r="E766" s="131"/>
      <c r="F766" s="131"/>
      <c r="G766" s="9"/>
      <c r="H766" s="132"/>
      <c r="I766" s="132"/>
      <c r="J766" s="131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69"/>
      <c r="B767" s="69"/>
      <c r="C767" s="9"/>
      <c r="D767" s="131"/>
      <c r="E767" s="131"/>
      <c r="F767" s="131"/>
      <c r="G767" s="9"/>
      <c r="H767" s="132"/>
      <c r="I767" s="132"/>
      <c r="J767" s="131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69"/>
      <c r="B768" s="69"/>
      <c r="C768" s="9"/>
      <c r="D768" s="131"/>
      <c r="E768" s="131"/>
      <c r="F768" s="131"/>
      <c r="G768" s="9"/>
      <c r="H768" s="132"/>
      <c r="I768" s="132"/>
      <c r="J768" s="131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69"/>
      <c r="B769" s="69"/>
      <c r="C769" s="9"/>
      <c r="D769" s="131"/>
      <c r="E769" s="131"/>
      <c r="F769" s="131"/>
      <c r="G769" s="9"/>
      <c r="H769" s="132"/>
      <c r="I769" s="132"/>
      <c r="J769" s="131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69"/>
      <c r="B770" s="69"/>
      <c r="C770" s="9"/>
      <c r="D770" s="131"/>
      <c r="E770" s="131"/>
      <c r="F770" s="131"/>
      <c r="G770" s="9"/>
      <c r="H770" s="132"/>
      <c r="I770" s="132"/>
      <c r="J770" s="131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69"/>
      <c r="B771" s="69"/>
      <c r="C771" s="9"/>
      <c r="D771" s="131"/>
      <c r="E771" s="131"/>
      <c r="F771" s="131"/>
      <c r="G771" s="9"/>
      <c r="H771" s="132"/>
      <c r="I771" s="132"/>
      <c r="J771" s="131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69"/>
      <c r="B772" s="69"/>
      <c r="C772" s="9"/>
      <c r="D772" s="131"/>
      <c r="E772" s="131"/>
      <c r="F772" s="131"/>
      <c r="G772" s="9"/>
      <c r="H772" s="132"/>
      <c r="I772" s="132"/>
      <c r="J772" s="131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69"/>
      <c r="B773" s="69"/>
      <c r="C773" s="9"/>
      <c r="D773" s="131"/>
      <c r="E773" s="131"/>
      <c r="F773" s="131"/>
      <c r="G773" s="9"/>
      <c r="H773" s="132"/>
      <c r="I773" s="132"/>
      <c r="J773" s="131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69"/>
      <c r="B774" s="69"/>
      <c r="C774" s="9"/>
      <c r="D774" s="131"/>
      <c r="E774" s="131"/>
      <c r="F774" s="131"/>
      <c r="G774" s="9"/>
      <c r="H774" s="132"/>
      <c r="I774" s="132"/>
      <c r="J774" s="131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69"/>
      <c r="B775" s="69"/>
      <c r="C775" s="9"/>
      <c r="D775" s="131"/>
      <c r="E775" s="131"/>
      <c r="F775" s="131"/>
      <c r="G775" s="9"/>
      <c r="H775" s="132"/>
      <c r="I775" s="132"/>
      <c r="J775" s="131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69"/>
      <c r="B776" s="69"/>
      <c r="C776" s="9"/>
      <c r="D776" s="131"/>
      <c r="E776" s="131"/>
      <c r="F776" s="131"/>
      <c r="G776" s="9"/>
      <c r="H776" s="132"/>
      <c r="I776" s="132"/>
      <c r="J776" s="131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69"/>
      <c r="B777" s="69"/>
      <c r="C777" s="9"/>
      <c r="D777" s="131"/>
      <c r="E777" s="131"/>
      <c r="F777" s="131"/>
      <c r="G777" s="9"/>
      <c r="H777" s="132"/>
      <c r="I777" s="132"/>
      <c r="J777" s="131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69"/>
      <c r="B778" s="69"/>
      <c r="C778" s="9"/>
      <c r="D778" s="131"/>
      <c r="E778" s="131"/>
      <c r="F778" s="131"/>
      <c r="G778" s="9"/>
      <c r="H778" s="132"/>
      <c r="I778" s="132"/>
      <c r="J778" s="131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69"/>
      <c r="B779" s="69"/>
      <c r="C779" s="9"/>
      <c r="D779" s="131"/>
      <c r="E779" s="131"/>
      <c r="F779" s="131"/>
      <c r="G779" s="9"/>
      <c r="H779" s="132"/>
      <c r="I779" s="132"/>
      <c r="J779" s="131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69"/>
      <c r="B780" s="69"/>
      <c r="C780" s="9"/>
      <c r="D780" s="131"/>
      <c r="E780" s="131"/>
      <c r="F780" s="131"/>
      <c r="G780" s="9"/>
      <c r="H780" s="132"/>
      <c r="I780" s="132"/>
      <c r="J780" s="131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69"/>
      <c r="B781" s="69"/>
      <c r="C781" s="9"/>
      <c r="D781" s="131"/>
      <c r="E781" s="131"/>
      <c r="F781" s="131"/>
      <c r="G781" s="9"/>
      <c r="H781" s="132"/>
      <c r="I781" s="132"/>
      <c r="J781" s="131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69"/>
      <c r="B782" s="69"/>
      <c r="C782" s="9"/>
      <c r="D782" s="131"/>
      <c r="E782" s="131"/>
      <c r="F782" s="131"/>
      <c r="G782" s="9"/>
      <c r="H782" s="132"/>
      <c r="I782" s="132"/>
      <c r="J782" s="131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69"/>
      <c r="B783" s="69"/>
      <c r="C783" s="9"/>
      <c r="D783" s="131"/>
      <c r="E783" s="131"/>
      <c r="F783" s="131"/>
      <c r="G783" s="9"/>
      <c r="H783" s="132"/>
      <c r="I783" s="132"/>
      <c r="J783" s="131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69"/>
      <c r="B784" s="69"/>
      <c r="C784" s="9"/>
      <c r="D784" s="131"/>
      <c r="E784" s="131"/>
      <c r="F784" s="131"/>
      <c r="G784" s="9"/>
      <c r="H784" s="132"/>
      <c r="I784" s="132"/>
      <c r="J784" s="131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69"/>
      <c r="B785" s="69"/>
      <c r="C785" s="9"/>
      <c r="D785" s="131"/>
      <c r="E785" s="131"/>
      <c r="F785" s="131"/>
      <c r="G785" s="9"/>
      <c r="H785" s="132"/>
      <c r="I785" s="132"/>
      <c r="J785" s="131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69"/>
      <c r="B786" s="69"/>
      <c r="C786" s="9"/>
      <c r="D786" s="131"/>
      <c r="E786" s="131"/>
      <c r="F786" s="131"/>
      <c r="G786" s="9"/>
      <c r="H786" s="132"/>
      <c r="I786" s="132"/>
      <c r="J786" s="131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69"/>
      <c r="B787" s="69"/>
      <c r="C787" s="9"/>
      <c r="D787" s="131"/>
      <c r="E787" s="131"/>
      <c r="F787" s="131"/>
      <c r="G787" s="9"/>
      <c r="H787" s="132"/>
      <c r="I787" s="132"/>
      <c r="J787" s="131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69"/>
      <c r="B788" s="69"/>
      <c r="C788" s="9"/>
      <c r="D788" s="131"/>
      <c r="E788" s="131"/>
      <c r="F788" s="131"/>
      <c r="G788" s="9"/>
      <c r="H788" s="132"/>
      <c r="I788" s="132"/>
      <c r="J788" s="131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69"/>
      <c r="B789" s="69"/>
      <c r="C789" s="9"/>
      <c r="D789" s="131"/>
      <c r="E789" s="131"/>
      <c r="F789" s="131"/>
      <c r="G789" s="9"/>
      <c r="H789" s="132"/>
      <c r="I789" s="132"/>
      <c r="J789" s="131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69"/>
      <c r="B790" s="69"/>
      <c r="C790" s="9"/>
      <c r="D790" s="131"/>
      <c r="E790" s="131"/>
      <c r="F790" s="131"/>
      <c r="G790" s="9"/>
      <c r="H790" s="132"/>
      <c r="I790" s="132"/>
      <c r="J790" s="131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69"/>
      <c r="B791" s="69"/>
      <c r="C791" s="9"/>
      <c r="D791" s="131"/>
      <c r="E791" s="131"/>
      <c r="F791" s="131"/>
      <c r="G791" s="9"/>
      <c r="H791" s="132"/>
      <c r="I791" s="132"/>
      <c r="J791" s="131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69"/>
      <c r="B792" s="69"/>
      <c r="C792" s="9"/>
      <c r="D792" s="131"/>
      <c r="E792" s="131"/>
      <c r="F792" s="131"/>
      <c r="G792" s="9"/>
      <c r="H792" s="132"/>
      <c r="I792" s="132"/>
      <c r="J792" s="131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69"/>
      <c r="B793" s="69"/>
      <c r="C793" s="9"/>
      <c r="D793" s="131"/>
      <c r="E793" s="131"/>
      <c r="F793" s="131"/>
      <c r="G793" s="9"/>
      <c r="H793" s="132"/>
      <c r="I793" s="132"/>
      <c r="J793" s="131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69"/>
      <c r="B794" s="69"/>
      <c r="C794" s="9"/>
      <c r="D794" s="131"/>
      <c r="E794" s="131"/>
      <c r="F794" s="131"/>
      <c r="G794" s="9"/>
      <c r="H794" s="132"/>
      <c r="I794" s="132"/>
      <c r="J794" s="131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69"/>
      <c r="B795" s="69"/>
      <c r="C795" s="9"/>
      <c r="D795" s="131"/>
      <c r="E795" s="131"/>
      <c r="F795" s="131"/>
      <c r="G795" s="9"/>
      <c r="H795" s="132"/>
      <c r="I795" s="132"/>
      <c r="J795" s="131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69"/>
      <c r="B796" s="69"/>
      <c r="C796" s="9"/>
      <c r="D796" s="131"/>
      <c r="E796" s="131"/>
      <c r="F796" s="131"/>
      <c r="G796" s="9"/>
      <c r="H796" s="132"/>
      <c r="I796" s="132"/>
      <c r="J796" s="131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69"/>
      <c r="B797" s="69"/>
      <c r="C797" s="9"/>
      <c r="D797" s="131"/>
      <c r="E797" s="131"/>
      <c r="F797" s="131"/>
      <c r="G797" s="9"/>
      <c r="H797" s="132"/>
      <c r="I797" s="132"/>
      <c r="J797" s="131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69"/>
      <c r="B798" s="69"/>
      <c r="C798" s="9"/>
      <c r="D798" s="131"/>
      <c r="E798" s="131"/>
      <c r="F798" s="131"/>
      <c r="G798" s="9"/>
      <c r="H798" s="132"/>
      <c r="I798" s="132"/>
      <c r="J798" s="131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69"/>
      <c r="B799" s="69"/>
      <c r="C799" s="9"/>
      <c r="D799" s="131"/>
      <c r="E799" s="131"/>
      <c r="F799" s="131"/>
      <c r="G799" s="9"/>
      <c r="H799" s="132"/>
      <c r="I799" s="132"/>
      <c r="J799" s="131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69"/>
      <c r="B800" s="69"/>
      <c r="C800" s="9"/>
      <c r="D800" s="131"/>
      <c r="E800" s="131"/>
      <c r="F800" s="131"/>
      <c r="G800" s="9"/>
      <c r="H800" s="132"/>
      <c r="I800" s="132"/>
      <c r="J800" s="131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69"/>
      <c r="B801" s="69"/>
      <c r="C801" s="9"/>
      <c r="D801" s="131"/>
      <c r="E801" s="131"/>
      <c r="F801" s="131"/>
      <c r="G801" s="9"/>
      <c r="H801" s="132"/>
      <c r="I801" s="132"/>
      <c r="J801" s="131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69"/>
      <c r="B802" s="69"/>
      <c r="C802" s="9"/>
      <c r="D802" s="131"/>
      <c r="E802" s="131"/>
      <c r="F802" s="131"/>
      <c r="G802" s="9"/>
      <c r="H802" s="132"/>
      <c r="I802" s="132"/>
      <c r="J802" s="131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69"/>
      <c r="B803" s="69"/>
      <c r="C803" s="9"/>
      <c r="D803" s="131"/>
      <c r="E803" s="131"/>
      <c r="F803" s="131"/>
      <c r="G803" s="9"/>
      <c r="H803" s="132"/>
      <c r="I803" s="132"/>
      <c r="J803" s="131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69"/>
      <c r="B804" s="69"/>
      <c r="C804" s="9"/>
      <c r="D804" s="131"/>
      <c r="E804" s="131"/>
      <c r="F804" s="131"/>
      <c r="G804" s="9"/>
      <c r="H804" s="132"/>
      <c r="I804" s="132"/>
      <c r="J804" s="131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69"/>
      <c r="B805" s="69"/>
      <c r="C805" s="9"/>
      <c r="D805" s="131"/>
      <c r="E805" s="131"/>
      <c r="F805" s="131"/>
      <c r="G805" s="9"/>
      <c r="H805" s="132"/>
      <c r="I805" s="132"/>
      <c r="J805" s="131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69"/>
      <c r="B806" s="69"/>
      <c r="C806" s="9"/>
      <c r="D806" s="131"/>
      <c r="E806" s="131"/>
      <c r="F806" s="131"/>
      <c r="G806" s="9"/>
      <c r="H806" s="132"/>
      <c r="I806" s="132"/>
      <c r="J806" s="131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69"/>
      <c r="B807" s="69"/>
      <c r="C807" s="9"/>
      <c r="D807" s="131"/>
      <c r="E807" s="131"/>
      <c r="F807" s="131"/>
      <c r="G807" s="9"/>
      <c r="H807" s="132"/>
      <c r="I807" s="132"/>
      <c r="J807" s="131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69"/>
      <c r="B808" s="69"/>
      <c r="C808" s="9"/>
      <c r="D808" s="131"/>
      <c r="E808" s="131"/>
      <c r="F808" s="131"/>
      <c r="G808" s="9"/>
      <c r="H808" s="132"/>
      <c r="I808" s="132"/>
      <c r="J808" s="131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69"/>
      <c r="B809" s="69"/>
      <c r="C809" s="9"/>
      <c r="D809" s="131"/>
      <c r="E809" s="131"/>
      <c r="F809" s="131"/>
      <c r="G809" s="9"/>
      <c r="H809" s="132"/>
      <c r="I809" s="132"/>
      <c r="J809" s="131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69"/>
      <c r="B810" s="69"/>
      <c r="C810" s="9"/>
      <c r="D810" s="131"/>
      <c r="E810" s="131"/>
      <c r="F810" s="131"/>
      <c r="G810" s="9"/>
      <c r="H810" s="132"/>
      <c r="I810" s="132"/>
      <c r="J810" s="131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69"/>
      <c r="B811" s="69"/>
      <c r="C811" s="9"/>
      <c r="D811" s="131"/>
      <c r="E811" s="131"/>
      <c r="F811" s="131"/>
      <c r="G811" s="9"/>
      <c r="H811" s="132"/>
      <c r="I811" s="132"/>
      <c r="J811" s="131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69"/>
      <c r="B812" s="69"/>
      <c r="C812" s="9"/>
      <c r="D812" s="131"/>
      <c r="E812" s="131"/>
      <c r="F812" s="131"/>
      <c r="G812" s="9"/>
      <c r="H812" s="132"/>
      <c r="I812" s="132"/>
      <c r="J812" s="131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69"/>
      <c r="B813" s="69"/>
      <c r="C813" s="9"/>
      <c r="D813" s="131"/>
      <c r="E813" s="131"/>
      <c r="F813" s="131"/>
      <c r="G813" s="9"/>
      <c r="H813" s="132"/>
      <c r="I813" s="132"/>
      <c r="J813" s="131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69"/>
      <c r="B814" s="69"/>
      <c r="C814" s="9"/>
      <c r="D814" s="131"/>
      <c r="E814" s="131"/>
      <c r="F814" s="131"/>
      <c r="G814" s="9"/>
      <c r="H814" s="132"/>
      <c r="I814" s="132"/>
      <c r="J814" s="131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69"/>
      <c r="B815" s="69"/>
      <c r="C815" s="9"/>
      <c r="D815" s="131"/>
      <c r="E815" s="131"/>
      <c r="F815" s="131"/>
      <c r="G815" s="9"/>
      <c r="H815" s="132"/>
      <c r="I815" s="132"/>
      <c r="J815" s="131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69"/>
      <c r="B816" s="69"/>
      <c r="C816" s="9"/>
      <c r="D816" s="131"/>
      <c r="E816" s="131"/>
      <c r="F816" s="131"/>
      <c r="G816" s="9"/>
      <c r="H816" s="132"/>
      <c r="I816" s="132"/>
      <c r="J816" s="131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69"/>
      <c r="B817" s="69"/>
      <c r="C817" s="9"/>
      <c r="D817" s="131"/>
      <c r="E817" s="131"/>
      <c r="F817" s="131"/>
      <c r="G817" s="9"/>
      <c r="H817" s="132"/>
      <c r="I817" s="132"/>
      <c r="J817" s="131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69"/>
      <c r="B818" s="69"/>
      <c r="C818" s="9"/>
      <c r="D818" s="131"/>
      <c r="E818" s="131"/>
      <c r="F818" s="131"/>
      <c r="G818" s="9"/>
      <c r="H818" s="132"/>
      <c r="I818" s="132"/>
      <c r="J818" s="131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69"/>
      <c r="B819" s="69"/>
      <c r="C819" s="9"/>
      <c r="D819" s="131"/>
      <c r="E819" s="131"/>
      <c r="F819" s="131"/>
      <c r="G819" s="9"/>
      <c r="H819" s="132"/>
      <c r="I819" s="132"/>
      <c r="J819" s="131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69"/>
      <c r="B820" s="69"/>
      <c r="C820" s="9"/>
      <c r="D820" s="131"/>
      <c r="E820" s="131"/>
      <c r="F820" s="131"/>
      <c r="G820" s="9"/>
      <c r="H820" s="132"/>
      <c r="I820" s="132"/>
      <c r="J820" s="131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69"/>
      <c r="B821" s="69"/>
      <c r="C821" s="9"/>
      <c r="D821" s="131"/>
      <c r="E821" s="131"/>
      <c r="F821" s="131"/>
      <c r="G821" s="9"/>
      <c r="H821" s="132"/>
      <c r="I821" s="132"/>
      <c r="J821" s="131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69"/>
      <c r="B822" s="69"/>
      <c r="C822" s="9"/>
      <c r="D822" s="131"/>
      <c r="E822" s="131"/>
      <c r="F822" s="131"/>
      <c r="G822" s="9"/>
      <c r="H822" s="132"/>
      <c r="I822" s="132"/>
      <c r="J822" s="131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69"/>
      <c r="B823" s="69"/>
      <c r="C823" s="9"/>
      <c r="D823" s="131"/>
      <c r="E823" s="131"/>
      <c r="F823" s="131"/>
      <c r="G823" s="9"/>
      <c r="H823" s="132"/>
      <c r="I823" s="132"/>
      <c r="J823" s="131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69"/>
      <c r="B824" s="69"/>
      <c r="C824" s="9"/>
      <c r="D824" s="131"/>
      <c r="E824" s="131"/>
      <c r="F824" s="131"/>
      <c r="G824" s="9"/>
      <c r="H824" s="132"/>
      <c r="I824" s="132"/>
      <c r="J824" s="131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69"/>
      <c r="B825" s="69"/>
      <c r="C825" s="9"/>
      <c r="D825" s="131"/>
      <c r="E825" s="131"/>
      <c r="F825" s="131"/>
      <c r="G825" s="9"/>
      <c r="H825" s="132"/>
      <c r="I825" s="132"/>
      <c r="J825" s="131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69"/>
      <c r="B826" s="69"/>
      <c r="C826" s="9"/>
      <c r="D826" s="131"/>
      <c r="E826" s="131"/>
      <c r="F826" s="131"/>
      <c r="G826" s="9"/>
      <c r="H826" s="132"/>
      <c r="I826" s="132"/>
      <c r="J826" s="131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69"/>
      <c r="B827" s="69"/>
      <c r="C827" s="9"/>
      <c r="D827" s="131"/>
      <c r="E827" s="131"/>
      <c r="F827" s="131"/>
      <c r="G827" s="9"/>
      <c r="H827" s="132"/>
      <c r="I827" s="132"/>
      <c r="J827" s="131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69"/>
      <c r="B828" s="69"/>
      <c r="C828" s="9"/>
      <c r="D828" s="131"/>
      <c r="E828" s="131"/>
      <c r="F828" s="131"/>
      <c r="G828" s="9"/>
      <c r="H828" s="132"/>
      <c r="I828" s="132"/>
      <c r="J828" s="131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69"/>
      <c r="B829" s="69"/>
      <c r="C829" s="9"/>
      <c r="D829" s="131"/>
      <c r="E829" s="131"/>
      <c r="F829" s="131"/>
      <c r="G829" s="9"/>
      <c r="H829" s="132"/>
      <c r="I829" s="132"/>
      <c r="J829" s="131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69"/>
      <c r="B830" s="69"/>
      <c r="C830" s="9"/>
      <c r="D830" s="131"/>
      <c r="E830" s="131"/>
      <c r="F830" s="131"/>
      <c r="G830" s="9"/>
      <c r="H830" s="132"/>
      <c r="I830" s="132"/>
      <c r="J830" s="131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69"/>
      <c r="B831" s="69"/>
      <c r="C831" s="9"/>
      <c r="D831" s="131"/>
      <c r="E831" s="131"/>
      <c r="F831" s="131"/>
      <c r="G831" s="9"/>
      <c r="H831" s="132"/>
      <c r="I831" s="132"/>
      <c r="J831" s="131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69"/>
      <c r="B832" s="69"/>
      <c r="C832" s="9"/>
      <c r="D832" s="131"/>
      <c r="E832" s="131"/>
      <c r="F832" s="131"/>
      <c r="G832" s="9"/>
      <c r="H832" s="132"/>
      <c r="I832" s="132"/>
      <c r="J832" s="131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69"/>
      <c r="B833" s="69"/>
      <c r="C833" s="9"/>
      <c r="D833" s="131"/>
      <c r="E833" s="131"/>
      <c r="F833" s="131"/>
      <c r="G833" s="9"/>
      <c r="H833" s="132"/>
      <c r="I833" s="132"/>
      <c r="J833" s="131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69"/>
      <c r="B834" s="69"/>
      <c r="C834" s="9"/>
      <c r="D834" s="131"/>
      <c r="E834" s="131"/>
      <c r="F834" s="131"/>
      <c r="G834" s="9"/>
      <c r="H834" s="132"/>
      <c r="I834" s="132"/>
      <c r="J834" s="131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69"/>
      <c r="B835" s="69"/>
      <c r="C835" s="9"/>
      <c r="D835" s="131"/>
      <c r="E835" s="131"/>
      <c r="F835" s="131"/>
      <c r="G835" s="9"/>
      <c r="H835" s="132"/>
      <c r="I835" s="132"/>
      <c r="J835" s="131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69"/>
      <c r="B836" s="69"/>
      <c r="C836" s="9"/>
      <c r="D836" s="131"/>
      <c r="E836" s="131"/>
      <c r="F836" s="131"/>
      <c r="G836" s="9"/>
      <c r="H836" s="132"/>
      <c r="I836" s="132"/>
      <c r="J836" s="131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69"/>
      <c r="B837" s="69"/>
      <c r="C837" s="9"/>
      <c r="D837" s="131"/>
      <c r="E837" s="131"/>
      <c r="F837" s="131"/>
      <c r="G837" s="9"/>
      <c r="H837" s="132"/>
      <c r="I837" s="132"/>
      <c r="J837" s="131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69"/>
      <c r="B838" s="69"/>
      <c r="C838" s="9"/>
      <c r="D838" s="131"/>
      <c r="E838" s="131"/>
      <c r="F838" s="131"/>
      <c r="G838" s="9"/>
      <c r="H838" s="132"/>
      <c r="I838" s="132"/>
      <c r="J838" s="131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69"/>
      <c r="B839" s="69"/>
      <c r="C839" s="9"/>
      <c r="D839" s="131"/>
      <c r="E839" s="131"/>
      <c r="F839" s="131"/>
      <c r="G839" s="9"/>
      <c r="H839" s="132"/>
      <c r="I839" s="132"/>
      <c r="J839" s="131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69"/>
      <c r="B840" s="69"/>
      <c r="C840" s="9"/>
      <c r="D840" s="131"/>
      <c r="E840" s="131"/>
      <c r="F840" s="131"/>
      <c r="G840" s="9"/>
      <c r="H840" s="132"/>
      <c r="I840" s="132"/>
      <c r="J840" s="131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69"/>
      <c r="B841" s="69"/>
      <c r="C841" s="9"/>
      <c r="D841" s="131"/>
      <c r="E841" s="131"/>
      <c r="F841" s="131"/>
      <c r="G841" s="9"/>
      <c r="H841" s="132"/>
      <c r="I841" s="132"/>
      <c r="J841" s="131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69"/>
      <c r="B842" s="69"/>
      <c r="C842" s="9"/>
      <c r="D842" s="131"/>
      <c r="E842" s="131"/>
      <c r="F842" s="131"/>
      <c r="G842" s="9"/>
      <c r="H842" s="132"/>
      <c r="I842" s="132"/>
      <c r="J842" s="131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69"/>
      <c r="B843" s="69"/>
      <c r="C843" s="9"/>
      <c r="D843" s="131"/>
      <c r="E843" s="131"/>
      <c r="F843" s="131"/>
      <c r="G843" s="9"/>
      <c r="H843" s="132"/>
      <c r="I843" s="132"/>
      <c r="J843" s="131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69"/>
      <c r="B844" s="69"/>
      <c r="C844" s="9"/>
      <c r="D844" s="131"/>
      <c r="E844" s="131"/>
      <c r="F844" s="131"/>
      <c r="G844" s="9"/>
      <c r="H844" s="132"/>
      <c r="I844" s="132"/>
      <c r="J844" s="131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69"/>
      <c r="B845" s="69"/>
      <c r="C845" s="9"/>
      <c r="D845" s="131"/>
      <c r="E845" s="131"/>
      <c r="F845" s="131"/>
      <c r="G845" s="9"/>
      <c r="H845" s="132"/>
      <c r="I845" s="132"/>
      <c r="J845" s="131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69"/>
      <c r="B846" s="69"/>
      <c r="C846" s="9"/>
      <c r="D846" s="131"/>
      <c r="E846" s="131"/>
      <c r="F846" s="131"/>
      <c r="G846" s="9"/>
      <c r="H846" s="132"/>
      <c r="I846" s="132"/>
      <c r="J846" s="131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69"/>
      <c r="B847" s="69"/>
      <c r="C847" s="9"/>
      <c r="D847" s="131"/>
      <c r="E847" s="131"/>
      <c r="F847" s="131"/>
      <c r="G847" s="9"/>
      <c r="H847" s="132"/>
      <c r="I847" s="132"/>
      <c r="J847" s="131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69"/>
      <c r="B848" s="69"/>
      <c r="C848" s="9"/>
      <c r="D848" s="131"/>
      <c r="E848" s="131"/>
      <c r="F848" s="131"/>
      <c r="G848" s="9"/>
      <c r="H848" s="132"/>
      <c r="I848" s="132"/>
      <c r="J848" s="131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69"/>
      <c r="B849" s="69"/>
      <c r="C849" s="9"/>
      <c r="D849" s="131"/>
      <c r="E849" s="131"/>
      <c r="F849" s="131"/>
      <c r="G849" s="9"/>
      <c r="H849" s="132"/>
      <c r="I849" s="132"/>
      <c r="J849" s="131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69"/>
      <c r="B850" s="69"/>
      <c r="C850" s="9"/>
      <c r="D850" s="131"/>
      <c r="E850" s="131"/>
      <c r="F850" s="131"/>
      <c r="G850" s="9"/>
      <c r="H850" s="132"/>
      <c r="I850" s="132"/>
      <c r="J850" s="131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69"/>
      <c r="B851" s="69"/>
      <c r="C851" s="9"/>
      <c r="D851" s="131"/>
      <c r="E851" s="131"/>
      <c r="F851" s="131"/>
      <c r="G851" s="9"/>
      <c r="H851" s="132"/>
      <c r="I851" s="132"/>
      <c r="J851" s="131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69"/>
      <c r="B852" s="69"/>
      <c r="C852" s="9"/>
      <c r="D852" s="131"/>
      <c r="E852" s="131"/>
      <c r="F852" s="131"/>
      <c r="G852" s="9"/>
      <c r="H852" s="132"/>
      <c r="I852" s="132"/>
      <c r="J852" s="131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69"/>
      <c r="B853" s="69"/>
      <c r="C853" s="9"/>
      <c r="D853" s="131"/>
      <c r="E853" s="131"/>
      <c r="F853" s="131"/>
      <c r="G853" s="9"/>
      <c r="H853" s="132"/>
      <c r="I853" s="132"/>
      <c r="J853" s="131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69"/>
      <c r="B854" s="69"/>
      <c r="C854" s="9"/>
      <c r="D854" s="131"/>
      <c r="E854" s="131"/>
      <c r="F854" s="131"/>
      <c r="G854" s="9"/>
      <c r="H854" s="132"/>
      <c r="I854" s="132"/>
      <c r="J854" s="131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69"/>
      <c r="B855" s="69"/>
      <c r="C855" s="9"/>
      <c r="D855" s="131"/>
      <c r="E855" s="131"/>
      <c r="F855" s="131"/>
      <c r="G855" s="9"/>
      <c r="H855" s="132"/>
      <c r="I855" s="132"/>
      <c r="J855" s="131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69"/>
      <c r="B856" s="69"/>
      <c r="C856" s="9"/>
      <c r="D856" s="131"/>
      <c r="E856" s="131"/>
      <c r="F856" s="131"/>
      <c r="G856" s="9"/>
      <c r="H856" s="132"/>
      <c r="I856" s="132"/>
      <c r="J856" s="131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69"/>
      <c r="B857" s="69"/>
      <c r="C857" s="9"/>
      <c r="D857" s="131"/>
      <c r="E857" s="131"/>
      <c r="F857" s="131"/>
      <c r="G857" s="9"/>
      <c r="H857" s="132"/>
      <c r="I857" s="132"/>
      <c r="J857" s="131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69"/>
      <c r="B858" s="69"/>
      <c r="C858" s="9"/>
      <c r="D858" s="131"/>
      <c r="E858" s="131"/>
      <c r="F858" s="131"/>
      <c r="G858" s="9"/>
      <c r="H858" s="132"/>
      <c r="I858" s="132"/>
      <c r="J858" s="131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69"/>
      <c r="B859" s="69"/>
      <c r="C859" s="9"/>
      <c r="D859" s="131"/>
      <c r="E859" s="131"/>
      <c r="F859" s="131"/>
      <c r="G859" s="9"/>
      <c r="H859" s="132"/>
      <c r="I859" s="132"/>
      <c r="J859" s="131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69"/>
      <c r="B860" s="69"/>
      <c r="C860" s="9"/>
      <c r="D860" s="131"/>
      <c r="E860" s="131"/>
      <c r="F860" s="131"/>
      <c r="G860" s="9"/>
      <c r="H860" s="132"/>
      <c r="I860" s="132"/>
      <c r="J860" s="131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69"/>
      <c r="B861" s="69"/>
      <c r="C861" s="9"/>
      <c r="D861" s="131"/>
      <c r="E861" s="131"/>
      <c r="F861" s="131"/>
      <c r="G861" s="9"/>
      <c r="H861" s="132"/>
      <c r="I861" s="132"/>
      <c r="J861" s="131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69"/>
      <c r="B862" s="69"/>
      <c r="C862" s="9"/>
      <c r="D862" s="131"/>
      <c r="E862" s="131"/>
      <c r="F862" s="131"/>
      <c r="G862" s="9"/>
      <c r="H862" s="132"/>
      <c r="I862" s="132"/>
      <c r="J862" s="131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69"/>
      <c r="B863" s="69"/>
      <c r="C863" s="9"/>
      <c r="D863" s="131"/>
      <c r="E863" s="131"/>
      <c r="F863" s="131"/>
      <c r="G863" s="9"/>
      <c r="H863" s="132"/>
      <c r="I863" s="132"/>
      <c r="J863" s="131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69"/>
      <c r="B864" s="69"/>
      <c r="C864" s="9"/>
      <c r="D864" s="131"/>
      <c r="E864" s="131"/>
      <c r="F864" s="131"/>
      <c r="G864" s="9"/>
      <c r="H864" s="132"/>
      <c r="I864" s="132"/>
      <c r="J864" s="131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69"/>
      <c r="B865" s="69"/>
      <c r="C865" s="9"/>
      <c r="D865" s="131"/>
      <c r="E865" s="131"/>
      <c r="F865" s="131"/>
      <c r="G865" s="9"/>
      <c r="H865" s="132"/>
      <c r="I865" s="132"/>
      <c r="J865" s="131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69"/>
      <c r="B866" s="69"/>
      <c r="C866" s="9"/>
      <c r="D866" s="131"/>
      <c r="E866" s="131"/>
      <c r="F866" s="131"/>
      <c r="G866" s="9"/>
      <c r="H866" s="132"/>
      <c r="I866" s="132"/>
      <c r="J866" s="131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69"/>
      <c r="B867" s="69"/>
      <c r="C867" s="9"/>
      <c r="D867" s="131"/>
      <c r="E867" s="131"/>
      <c r="F867" s="131"/>
      <c r="G867" s="9"/>
      <c r="H867" s="132"/>
      <c r="I867" s="132"/>
      <c r="J867" s="131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69"/>
      <c r="B868" s="69"/>
      <c r="C868" s="9"/>
      <c r="D868" s="131"/>
      <c r="E868" s="131"/>
      <c r="F868" s="131"/>
      <c r="G868" s="9"/>
      <c r="H868" s="132"/>
      <c r="I868" s="132"/>
      <c r="J868" s="131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69"/>
      <c r="B869" s="69"/>
      <c r="C869" s="9"/>
      <c r="D869" s="131"/>
      <c r="E869" s="131"/>
      <c r="F869" s="131"/>
      <c r="G869" s="9"/>
      <c r="H869" s="132"/>
      <c r="I869" s="132"/>
      <c r="J869" s="131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69"/>
      <c r="B870" s="69"/>
      <c r="C870" s="9"/>
      <c r="D870" s="131"/>
      <c r="E870" s="131"/>
      <c r="F870" s="131"/>
      <c r="G870" s="9"/>
      <c r="H870" s="132"/>
      <c r="I870" s="132"/>
      <c r="J870" s="131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69"/>
      <c r="B871" s="69"/>
      <c r="C871" s="9"/>
      <c r="D871" s="131"/>
      <c r="E871" s="131"/>
      <c r="F871" s="131"/>
      <c r="G871" s="9"/>
      <c r="H871" s="132"/>
      <c r="I871" s="132"/>
      <c r="J871" s="131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69"/>
      <c r="B872" s="69"/>
      <c r="C872" s="9"/>
      <c r="D872" s="131"/>
      <c r="E872" s="131"/>
      <c r="F872" s="131"/>
      <c r="G872" s="9"/>
      <c r="H872" s="132"/>
      <c r="I872" s="132"/>
      <c r="J872" s="131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69"/>
      <c r="B873" s="69"/>
      <c r="C873" s="9"/>
      <c r="D873" s="131"/>
      <c r="E873" s="131"/>
      <c r="F873" s="131"/>
      <c r="G873" s="9"/>
      <c r="H873" s="132"/>
      <c r="I873" s="132"/>
      <c r="J873" s="131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69"/>
      <c r="B874" s="69"/>
      <c r="C874" s="9"/>
      <c r="D874" s="131"/>
      <c r="E874" s="131"/>
      <c r="F874" s="131"/>
      <c r="G874" s="9"/>
      <c r="H874" s="132"/>
      <c r="I874" s="132"/>
      <c r="J874" s="131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69"/>
      <c r="B875" s="69"/>
      <c r="C875" s="9"/>
      <c r="D875" s="131"/>
      <c r="E875" s="131"/>
      <c r="F875" s="131"/>
      <c r="G875" s="9"/>
      <c r="H875" s="132"/>
      <c r="I875" s="132"/>
      <c r="J875" s="131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69"/>
      <c r="B876" s="69"/>
      <c r="C876" s="9"/>
      <c r="D876" s="131"/>
      <c r="E876" s="131"/>
      <c r="F876" s="131"/>
      <c r="G876" s="9"/>
      <c r="H876" s="132"/>
      <c r="I876" s="132"/>
      <c r="J876" s="131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69"/>
      <c r="B877" s="69"/>
      <c r="C877" s="9"/>
      <c r="D877" s="131"/>
      <c r="E877" s="131"/>
      <c r="F877" s="131"/>
      <c r="G877" s="9"/>
      <c r="H877" s="132"/>
      <c r="I877" s="132"/>
      <c r="J877" s="131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69"/>
      <c r="B878" s="69"/>
      <c r="C878" s="9"/>
      <c r="D878" s="131"/>
      <c r="E878" s="131"/>
      <c r="F878" s="131"/>
      <c r="G878" s="9"/>
      <c r="H878" s="132"/>
      <c r="I878" s="132"/>
      <c r="J878" s="131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69"/>
      <c r="B879" s="69"/>
      <c r="C879" s="9"/>
      <c r="D879" s="131"/>
      <c r="E879" s="131"/>
      <c r="F879" s="131"/>
      <c r="G879" s="9"/>
      <c r="H879" s="132"/>
      <c r="I879" s="132"/>
      <c r="J879" s="131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69"/>
      <c r="B880" s="69"/>
      <c r="C880" s="9"/>
      <c r="D880" s="131"/>
      <c r="E880" s="131"/>
      <c r="F880" s="131"/>
      <c r="G880" s="9"/>
      <c r="H880" s="132"/>
      <c r="I880" s="132"/>
      <c r="J880" s="131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69"/>
      <c r="B881" s="69"/>
      <c r="C881" s="9"/>
      <c r="D881" s="131"/>
      <c r="E881" s="131"/>
      <c r="F881" s="131"/>
      <c r="G881" s="9"/>
      <c r="H881" s="132"/>
      <c r="I881" s="132"/>
      <c r="J881" s="131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69"/>
      <c r="B882" s="69"/>
      <c r="C882" s="9"/>
      <c r="D882" s="131"/>
      <c r="E882" s="131"/>
      <c r="F882" s="131"/>
      <c r="G882" s="9"/>
      <c r="H882" s="132"/>
      <c r="I882" s="132"/>
      <c r="J882" s="131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69"/>
      <c r="B883" s="69"/>
      <c r="C883" s="9"/>
      <c r="D883" s="131"/>
      <c r="E883" s="131"/>
      <c r="F883" s="131"/>
      <c r="G883" s="9"/>
      <c r="H883" s="132"/>
      <c r="I883" s="132"/>
      <c r="J883" s="131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69"/>
      <c r="B884" s="69"/>
      <c r="C884" s="9"/>
      <c r="D884" s="131"/>
      <c r="E884" s="131"/>
      <c r="F884" s="131"/>
      <c r="G884" s="9"/>
      <c r="H884" s="132"/>
      <c r="I884" s="132"/>
      <c r="J884" s="131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69"/>
      <c r="B885" s="69"/>
      <c r="C885" s="9"/>
      <c r="D885" s="131"/>
      <c r="E885" s="131"/>
      <c r="F885" s="131"/>
      <c r="G885" s="9"/>
      <c r="H885" s="132"/>
      <c r="I885" s="132"/>
      <c r="J885" s="131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69"/>
      <c r="B886" s="69"/>
      <c r="C886" s="9"/>
      <c r="D886" s="131"/>
      <c r="E886" s="131"/>
      <c r="F886" s="131"/>
      <c r="G886" s="9"/>
      <c r="H886" s="132"/>
      <c r="I886" s="132"/>
      <c r="J886" s="131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69"/>
      <c r="B887" s="69"/>
      <c r="C887" s="9"/>
      <c r="D887" s="131"/>
      <c r="E887" s="131"/>
      <c r="F887" s="131"/>
      <c r="G887" s="9"/>
      <c r="H887" s="132"/>
      <c r="I887" s="132"/>
      <c r="J887" s="131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69"/>
      <c r="B888" s="69"/>
      <c r="C888" s="9"/>
      <c r="D888" s="131"/>
      <c r="E888" s="131"/>
      <c r="F888" s="131"/>
      <c r="G888" s="9"/>
      <c r="H888" s="132"/>
      <c r="I888" s="132"/>
      <c r="J888" s="131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69"/>
      <c r="B889" s="69"/>
      <c r="C889" s="9"/>
      <c r="D889" s="131"/>
      <c r="E889" s="131"/>
      <c r="F889" s="131"/>
      <c r="G889" s="9"/>
      <c r="H889" s="132"/>
      <c r="I889" s="132"/>
      <c r="J889" s="131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69"/>
      <c r="B890" s="69"/>
      <c r="C890" s="9"/>
      <c r="D890" s="131"/>
      <c r="E890" s="131"/>
      <c r="F890" s="131"/>
      <c r="G890" s="9"/>
      <c r="H890" s="132"/>
      <c r="I890" s="132"/>
      <c r="J890" s="131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69"/>
      <c r="B891" s="69"/>
      <c r="C891" s="9"/>
      <c r="D891" s="131"/>
      <c r="E891" s="131"/>
      <c r="F891" s="131"/>
      <c r="G891" s="9"/>
      <c r="H891" s="132"/>
      <c r="I891" s="132"/>
      <c r="J891" s="131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69"/>
      <c r="B892" s="69"/>
      <c r="C892" s="9"/>
      <c r="D892" s="131"/>
      <c r="E892" s="131"/>
      <c r="F892" s="131"/>
      <c r="G892" s="9"/>
      <c r="H892" s="132"/>
      <c r="I892" s="132"/>
      <c r="J892" s="131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69"/>
      <c r="B893" s="69"/>
      <c r="C893" s="9"/>
      <c r="D893" s="131"/>
      <c r="E893" s="131"/>
      <c r="F893" s="131"/>
      <c r="G893" s="9"/>
      <c r="H893" s="132"/>
      <c r="I893" s="132"/>
      <c r="J893" s="131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69"/>
      <c r="B894" s="69"/>
      <c r="C894" s="9"/>
      <c r="D894" s="131"/>
      <c r="E894" s="131"/>
      <c r="F894" s="131"/>
      <c r="G894" s="9"/>
      <c r="H894" s="132"/>
      <c r="I894" s="132"/>
      <c r="J894" s="131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69"/>
      <c r="B895" s="69"/>
      <c r="C895" s="9"/>
      <c r="D895" s="131"/>
      <c r="E895" s="131"/>
      <c r="F895" s="131"/>
      <c r="G895" s="9"/>
      <c r="H895" s="132"/>
      <c r="I895" s="132"/>
      <c r="J895" s="131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69"/>
      <c r="B896" s="69"/>
      <c r="C896" s="9"/>
      <c r="D896" s="131"/>
      <c r="E896" s="131"/>
      <c r="F896" s="131"/>
      <c r="G896" s="9"/>
      <c r="H896" s="132"/>
      <c r="I896" s="132"/>
      <c r="J896" s="131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69"/>
      <c r="B897" s="69"/>
      <c r="C897" s="9"/>
      <c r="D897" s="131"/>
      <c r="E897" s="131"/>
      <c r="F897" s="131"/>
      <c r="G897" s="9"/>
      <c r="H897" s="132"/>
      <c r="I897" s="132"/>
      <c r="J897" s="131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69"/>
      <c r="B898" s="69"/>
      <c r="C898" s="9"/>
      <c r="D898" s="131"/>
      <c r="E898" s="131"/>
      <c r="F898" s="131"/>
      <c r="G898" s="9"/>
      <c r="H898" s="132"/>
      <c r="I898" s="132"/>
      <c r="J898" s="131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69"/>
      <c r="B899" s="69"/>
      <c r="C899" s="9"/>
      <c r="D899" s="131"/>
      <c r="E899" s="131"/>
      <c r="F899" s="131"/>
      <c r="G899" s="9"/>
      <c r="H899" s="132"/>
      <c r="I899" s="132"/>
      <c r="J899" s="131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69"/>
      <c r="B900" s="69"/>
      <c r="C900" s="9"/>
      <c r="D900" s="131"/>
      <c r="E900" s="131"/>
      <c r="F900" s="131"/>
      <c r="G900" s="9"/>
      <c r="H900" s="132"/>
      <c r="I900" s="132"/>
      <c r="J900" s="131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69"/>
      <c r="B901" s="69"/>
      <c r="C901" s="9"/>
      <c r="D901" s="131"/>
      <c r="E901" s="131"/>
      <c r="F901" s="131"/>
      <c r="G901" s="9"/>
      <c r="H901" s="132"/>
      <c r="I901" s="132"/>
      <c r="J901" s="131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69"/>
      <c r="B902" s="69"/>
      <c r="C902" s="9"/>
      <c r="D902" s="131"/>
      <c r="E902" s="131"/>
      <c r="F902" s="131"/>
      <c r="G902" s="9"/>
      <c r="H902" s="132"/>
      <c r="I902" s="132"/>
      <c r="J902" s="131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69"/>
      <c r="B903" s="69"/>
      <c r="C903" s="9"/>
      <c r="D903" s="131"/>
      <c r="E903" s="131"/>
      <c r="F903" s="131"/>
      <c r="G903" s="9"/>
      <c r="H903" s="132"/>
      <c r="I903" s="132"/>
      <c r="J903" s="131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69"/>
      <c r="B904" s="69"/>
      <c r="C904" s="9"/>
      <c r="D904" s="131"/>
      <c r="E904" s="131"/>
      <c r="F904" s="131"/>
      <c r="G904" s="9"/>
      <c r="H904" s="132"/>
      <c r="I904" s="132"/>
      <c r="J904" s="131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69"/>
      <c r="B905" s="69"/>
      <c r="C905" s="9"/>
      <c r="D905" s="131"/>
      <c r="E905" s="131"/>
      <c r="F905" s="131"/>
      <c r="G905" s="9"/>
      <c r="H905" s="132"/>
      <c r="I905" s="132"/>
      <c r="J905" s="131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69"/>
      <c r="B906" s="69"/>
      <c r="C906" s="9"/>
      <c r="D906" s="131"/>
      <c r="E906" s="131"/>
      <c r="F906" s="131"/>
      <c r="G906" s="9"/>
      <c r="H906" s="132"/>
      <c r="I906" s="132"/>
      <c r="J906" s="131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69"/>
      <c r="B907" s="69"/>
      <c r="C907" s="9"/>
      <c r="D907" s="131"/>
      <c r="E907" s="131"/>
      <c r="F907" s="131"/>
      <c r="G907" s="9"/>
      <c r="H907" s="132"/>
      <c r="I907" s="132"/>
      <c r="J907" s="131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69"/>
      <c r="B908" s="69"/>
      <c r="C908" s="9"/>
      <c r="D908" s="131"/>
      <c r="E908" s="131"/>
      <c r="F908" s="131"/>
      <c r="G908" s="9"/>
      <c r="H908" s="132"/>
      <c r="I908" s="132"/>
      <c r="J908" s="131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69"/>
      <c r="B909" s="69"/>
      <c r="C909" s="9"/>
      <c r="D909" s="131"/>
      <c r="E909" s="131"/>
      <c r="F909" s="131"/>
      <c r="G909" s="9"/>
      <c r="H909" s="132"/>
      <c r="I909" s="132"/>
      <c r="J909" s="131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69"/>
      <c r="B910" s="69"/>
      <c r="C910" s="9"/>
      <c r="D910" s="131"/>
      <c r="E910" s="131"/>
      <c r="F910" s="131"/>
      <c r="G910" s="9"/>
      <c r="H910" s="132"/>
      <c r="I910" s="132"/>
      <c r="J910" s="131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69"/>
      <c r="B911" s="69"/>
      <c r="C911" s="9"/>
      <c r="D911" s="131"/>
      <c r="E911" s="131"/>
      <c r="F911" s="131"/>
      <c r="G911" s="9"/>
      <c r="H911" s="132"/>
      <c r="I911" s="132"/>
      <c r="J911" s="131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69"/>
      <c r="B912" s="69"/>
      <c r="C912" s="9"/>
      <c r="D912" s="131"/>
      <c r="E912" s="131"/>
      <c r="F912" s="131"/>
      <c r="G912" s="9"/>
      <c r="H912" s="132"/>
      <c r="I912" s="132"/>
      <c r="J912" s="131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69"/>
      <c r="B913" s="69"/>
      <c r="C913" s="9"/>
      <c r="D913" s="131"/>
      <c r="E913" s="131"/>
      <c r="F913" s="131"/>
      <c r="G913" s="9"/>
      <c r="H913" s="132"/>
      <c r="I913" s="132"/>
      <c r="J913" s="131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69"/>
      <c r="B914" s="69"/>
      <c r="C914" s="9"/>
      <c r="D914" s="131"/>
      <c r="E914" s="131"/>
      <c r="F914" s="131"/>
      <c r="G914" s="9"/>
      <c r="H914" s="132"/>
      <c r="I914" s="132"/>
      <c r="J914" s="131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69"/>
      <c r="B915" s="69"/>
      <c r="C915" s="9"/>
      <c r="D915" s="131"/>
      <c r="E915" s="131"/>
      <c r="F915" s="131"/>
      <c r="G915" s="9"/>
      <c r="H915" s="132"/>
      <c r="I915" s="132"/>
      <c r="J915" s="131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69"/>
      <c r="B916" s="69"/>
      <c r="C916" s="9"/>
      <c r="D916" s="131"/>
      <c r="E916" s="131"/>
      <c r="F916" s="131"/>
      <c r="G916" s="9"/>
      <c r="H916" s="132"/>
      <c r="I916" s="132"/>
      <c r="J916" s="131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69"/>
      <c r="B917" s="69"/>
      <c r="C917" s="9"/>
      <c r="D917" s="131"/>
      <c r="E917" s="131"/>
      <c r="F917" s="131"/>
      <c r="G917" s="9"/>
      <c r="H917" s="132"/>
      <c r="I917" s="132"/>
      <c r="J917" s="131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69"/>
      <c r="B918" s="69"/>
      <c r="C918" s="9"/>
      <c r="D918" s="131"/>
      <c r="E918" s="131"/>
      <c r="F918" s="131"/>
      <c r="G918" s="9"/>
      <c r="H918" s="132"/>
      <c r="I918" s="132"/>
      <c r="J918" s="131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69"/>
      <c r="B919" s="69"/>
      <c r="C919" s="9"/>
      <c r="D919" s="131"/>
      <c r="E919" s="131"/>
      <c r="F919" s="131"/>
      <c r="G919" s="9"/>
      <c r="H919" s="132"/>
      <c r="I919" s="132"/>
      <c r="J919" s="131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69"/>
      <c r="B920" s="69"/>
      <c r="C920" s="9"/>
      <c r="D920" s="131"/>
      <c r="E920" s="131"/>
      <c r="F920" s="131"/>
      <c r="G920" s="9"/>
      <c r="H920" s="132"/>
      <c r="I920" s="132"/>
      <c r="J920" s="131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69"/>
      <c r="B921" s="69"/>
      <c r="C921" s="9"/>
      <c r="D921" s="131"/>
      <c r="E921" s="131"/>
      <c r="F921" s="131"/>
      <c r="G921" s="9"/>
      <c r="H921" s="132"/>
      <c r="I921" s="132"/>
      <c r="J921" s="131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69"/>
      <c r="B922" s="69"/>
      <c r="C922" s="9"/>
      <c r="D922" s="131"/>
      <c r="E922" s="131"/>
      <c r="F922" s="131"/>
      <c r="G922" s="9"/>
      <c r="H922" s="132"/>
      <c r="I922" s="132"/>
      <c r="J922" s="131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69"/>
      <c r="B923" s="69"/>
      <c r="C923" s="9"/>
      <c r="D923" s="131"/>
      <c r="E923" s="131"/>
      <c r="F923" s="131"/>
      <c r="G923" s="9"/>
      <c r="H923" s="132"/>
      <c r="I923" s="132"/>
      <c r="J923" s="131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69"/>
      <c r="B924" s="69"/>
      <c r="C924" s="9"/>
      <c r="D924" s="131"/>
      <c r="E924" s="131"/>
      <c r="F924" s="131"/>
      <c r="G924" s="9"/>
      <c r="H924" s="132"/>
      <c r="I924" s="132"/>
      <c r="J924" s="131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69"/>
      <c r="B925" s="69"/>
      <c r="C925" s="9"/>
      <c r="D925" s="131"/>
      <c r="E925" s="131"/>
      <c r="F925" s="131"/>
      <c r="G925" s="9"/>
      <c r="H925" s="132"/>
      <c r="I925" s="132"/>
      <c r="J925" s="131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69"/>
      <c r="B926" s="69"/>
      <c r="C926" s="9"/>
      <c r="D926" s="131"/>
      <c r="E926" s="131"/>
      <c r="F926" s="131"/>
      <c r="G926" s="9"/>
      <c r="H926" s="132"/>
      <c r="I926" s="132"/>
      <c r="J926" s="131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69"/>
      <c r="B927" s="69"/>
      <c r="C927" s="9"/>
      <c r="D927" s="131"/>
      <c r="E927" s="131"/>
      <c r="F927" s="131"/>
      <c r="G927" s="9"/>
      <c r="H927" s="132"/>
      <c r="I927" s="132"/>
      <c r="J927" s="131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69"/>
      <c r="B928" s="69"/>
      <c r="C928" s="9"/>
      <c r="D928" s="131"/>
      <c r="E928" s="131"/>
      <c r="F928" s="131"/>
      <c r="G928" s="9"/>
      <c r="H928" s="132"/>
      <c r="I928" s="132"/>
      <c r="J928" s="131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69"/>
      <c r="B929" s="69"/>
      <c r="C929" s="9"/>
      <c r="D929" s="131"/>
      <c r="E929" s="131"/>
      <c r="F929" s="131"/>
      <c r="G929" s="9"/>
      <c r="H929" s="132"/>
      <c r="I929" s="132"/>
      <c r="J929" s="131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69"/>
      <c r="B930" s="69"/>
      <c r="C930" s="9"/>
      <c r="D930" s="131"/>
      <c r="E930" s="131"/>
      <c r="F930" s="131"/>
      <c r="G930" s="9"/>
      <c r="H930" s="132"/>
      <c r="I930" s="132"/>
      <c r="J930" s="131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69"/>
      <c r="B931" s="69"/>
      <c r="C931" s="9"/>
      <c r="D931" s="131"/>
      <c r="E931" s="131"/>
      <c r="F931" s="131"/>
      <c r="G931" s="9"/>
      <c r="H931" s="132"/>
      <c r="I931" s="132"/>
      <c r="J931" s="131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69"/>
      <c r="B932" s="69"/>
      <c r="C932" s="9"/>
      <c r="D932" s="131"/>
      <c r="E932" s="131"/>
      <c r="F932" s="131"/>
      <c r="G932" s="9"/>
      <c r="H932" s="132"/>
      <c r="I932" s="132"/>
      <c r="J932" s="131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69"/>
      <c r="B933" s="69"/>
      <c r="C933" s="9"/>
      <c r="D933" s="131"/>
      <c r="E933" s="131"/>
      <c r="F933" s="131"/>
      <c r="G933" s="9"/>
      <c r="H933" s="132"/>
      <c r="I933" s="132"/>
      <c r="J933" s="131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69"/>
      <c r="B934" s="69"/>
      <c r="C934" s="9"/>
      <c r="D934" s="131"/>
      <c r="E934" s="131"/>
      <c r="F934" s="131"/>
      <c r="G934" s="9"/>
      <c r="H934" s="132"/>
      <c r="I934" s="132"/>
      <c r="J934" s="131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69"/>
      <c r="B935" s="69"/>
      <c r="C935" s="9"/>
      <c r="D935" s="131"/>
      <c r="E935" s="131"/>
      <c r="F935" s="131"/>
      <c r="G935" s="9"/>
      <c r="H935" s="132"/>
      <c r="I935" s="132"/>
      <c r="J935" s="131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69"/>
      <c r="B936" s="69"/>
      <c r="C936" s="9"/>
      <c r="D936" s="131"/>
      <c r="E936" s="131"/>
      <c r="F936" s="131"/>
      <c r="G936" s="9"/>
      <c r="H936" s="132"/>
      <c r="I936" s="132"/>
      <c r="J936" s="131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69"/>
      <c r="B937" s="69"/>
      <c r="C937" s="9"/>
      <c r="D937" s="131"/>
      <c r="E937" s="131"/>
      <c r="F937" s="131"/>
      <c r="G937" s="9"/>
      <c r="H937" s="132"/>
      <c r="I937" s="132"/>
      <c r="J937" s="131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69"/>
      <c r="B938" s="69"/>
      <c r="C938" s="9"/>
      <c r="D938" s="131"/>
      <c r="E938" s="131"/>
      <c r="F938" s="131"/>
      <c r="G938" s="9"/>
      <c r="H938" s="132"/>
      <c r="I938" s="132"/>
      <c r="J938" s="131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69"/>
      <c r="B939" s="69"/>
      <c r="C939" s="9"/>
      <c r="D939" s="131"/>
      <c r="E939" s="131"/>
      <c r="F939" s="131"/>
      <c r="G939" s="9"/>
      <c r="H939" s="132"/>
      <c r="I939" s="132"/>
      <c r="J939" s="131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69"/>
      <c r="B940" s="69"/>
      <c r="C940" s="9"/>
      <c r="D940" s="131"/>
      <c r="E940" s="131"/>
      <c r="F940" s="131"/>
      <c r="G940" s="9"/>
      <c r="H940" s="132"/>
      <c r="I940" s="132"/>
      <c r="J940" s="131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69"/>
      <c r="B941" s="69"/>
      <c r="C941" s="9"/>
      <c r="D941" s="131"/>
      <c r="E941" s="131"/>
      <c r="F941" s="131"/>
      <c r="G941" s="9"/>
      <c r="H941" s="132"/>
      <c r="I941" s="132"/>
      <c r="J941" s="131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69"/>
      <c r="B942" s="69"/>
      <c r="C942" s="9"/>
      <c r="D942" s="131"/>
      <c r="E942" s="131"/>
      <c r="F942" s="131"/>
      <c r="G942" s="9"/>
      <c r="H942" s="132"/>
      <c r="I942" s="132"/>
      <c r="J942" s="131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69"/>
      <c r="B943" s="69"/>
      <c r="C943" s="9"/>
      <c r="D943" s="131"/>
      <c r="E943" s="131"/>
      <c r="F943" s="131"/>
      <c r="G943" s="9"/>
      <c r="H943" s="132"/>
      <c r="I943" s="132"/>
      <c r="J943" s="131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69"/>
      <c r="B944" s="69"/>
      <c r="C944" s="9"/>
      <c r="D944" s="131"/>
      <c r="E944" s="131"/>
      <c r="F944" s="131"/>
      <c r="G944" s="9"/>
      <c r="H944" s="132"/>
      <c r="I944" s="132"/>
      <c r="J944" s="131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69"/>
      <c r="B945" s="69"/>
      <c r="C945" s="9"/>
      <c r="D945" s="131"/>
      <c r="E945" s="131"/>
      <c r="F945" s="131"/>
      <c r="G945" s="9"/>
      <c r="H945" s="132"/>
      <c r="I945" s="132"/>
      <c r="J945" s="131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69"/>
      <c r="B946" s="69"/>
      <c r="C946" s="9"/>
      <c r="D946" s="131"/>
      <c r="E946" s="131"/>
      <c r="F946" s="131"/>
      <c r="G946" s="9"/>
      <c r="H946" s="132"/>
      <c r="I946" s="132"/>
      <c r="J946" s="131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69"/>
      <c r="B947" s="69"/>
      <c r="C947" s="9"/>
      <c r="D947" s="131"/>
      <c r="E947" s="131"/>
      <c r="F947" s="131"/>
      <c r="G947" s="9"/>
      <c r="H947" s="132"/>
      <c r="I947" s="132"/>
      <c r="J947" s="131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69"/>
      <c r="B948" s="69"/>
      <c r="C948" s="9"/>
      <c r="D948" s="131"/>
      <c r="E948" s="131"/>
      <c r="F948" s="131"/>
      <c r="G948" s="9"/>
      <c r="H948" s="132"/>
      <c r="I948" s="132"/>
      <c r="J948" s="131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69"/>
      <c r="B949" s="69"/>
      <c r="C949" s="9"/>
      <c r="D949" s="131"/>
      <c r="E949" s="131"/>
      <c r="F949" s="131"/>
      <c r="G949" s="9"/>
      <c r="H949" s="132"/>
      <c r="I949" s="132"/>
      <c r="J949" s="131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69"/>
      <c r="B950" s="69"/>
      <c r="C950" s="9"/>
      <c r="D950" s="131"/>
      <c r="E950" s="131"/>
      <c r="F950" s="131"/>
      <c r="G950" s="9"/>
      <c r="H950" s="132"/>
      <c r="I950" s="132"/>
      <c r="J950" s="131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69"/>
      <c r="B951" s="69"/>
      <c r="C951" s="9"/>
      <c r="D951" s="131"/>
      <c r="E951" s="131"/>
      <c r="F951" s="131"/>
      <c r="G951" s="9"/>
      <c r="H951" s="132"/>
      <c r="I951" s="132"/>
      <c r="J951" s="131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69"/>
      <c r="B952" s="69"/>
      <c r="C952" s="9"/>
      <c r="D952" s="131"/>
      <c r="E952" s="131"/>
      <c r="F952" s="131"/>
      <c r="G952" s="9"/>
      <c r="H952" s="132"/>
      <c r="I952" s="132"/>
      <c r="J952" s="131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69"/>
      <c r="B953" s="69"/>
      <c r="C953" s="9"/>
      <c r="D953" s="131"/>
      <c r="E953" s="131"/>
      <c r="F953" s="131"/>
      <c r="G953" s="9"/>
      <c r="H953" s="132"/>
      <c r="I953" s="132"/>
      <c r="J953" s="131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69"/>
      <c r="B954" s="69"/>
      <c r="C954" s="9"/>
      <c r="D954" s="131"/>
      <c r="E954" s="131"/>
      <c r="F954" s="131"/>
      <c r="G954" s="9"/>
      <c r="H954" s="132"/>
      <c r="I954" s="132"/>
      <c r="J954" s="131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69"/>
      <c r="B955" s="69"/>
      <c r="C955" s="9"/>
      <c r="D955" s="131"/>
      <c r="E955" s="131"/>
      <c r="F955" s="131"/>
      <c r="G955" s="9"/>
      <c r="H955" s="132"/>
      <c r="I955" s="132"/>
      <c r="J955" s="131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69"/>
      <c r="B956" s="69"/>
      <c r="C956" s="9"/>
      <c r="D956" s="131"/>
      <c r="E956" s="131"/>
      <c r="F956" s="131"/>
      <c r="G956" s="9"/>
      <c r="H956" s="132"/>
      <c r="I956" s="132"/>
      <c r="J956" s="131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69"/>
      <c r="B957" s="69"/>
      <c r="C957" s="9"/>
      <c r="D957" s="131"/>
      <c r="E957" s="131"/>
      <c r="F957" s="131"/>
      <c r="G957" s="9"/>
      <c r="H957" s="132"/>
      <c r="I957" s="132"/>
      <c r="J957" s="131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69"/>
      <c r="B958" s="69"/>
      <c r="C958" s="9"/>
      <c r="D958" s="131"/>
      <c r="E958" s="131"/>
      <c r="F958" s="131"/>
      <c r="G958" s="9"/>
      <c r="H958" s="132"/>
      <c r="I958" s="132"/>
      <c r="J958" s="131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69"/>
      <c r="B959" s="69"/>
      <c r="C959" s="9"/>
      <c r="D959" s="131"/>
      <c r="E959" s="131"/>
      <c r="F959" s="131"/>
      <c r="G959" s="9"/>
      <c r="H959" s="132"/>
      <c r="I959" s="132"/>
      <c r="J959" s="131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69"/>
      <c r="B960" s="69"/>
      <c r="C960" s="9"/>
      <c r="D960" s="131"/>
      <c r="E960" s="131"/>
      <c r="F960" s="131"/>
      <c r="G960" s="9"/>
      <c r="H960" s="132"/>
      <c r="I960" s="132"/>
      <c r="J960" s="131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69"/>
      <c r="B961" s="69"/>
      <c r="C961" s="9"/>
      <c r="D961" s="131"/>
      <c r="E961" s="131"/>
      <c r="F961" s="131"/>
      <c r="G961" s="9"/>
      <c r="H961" s="132"/>
      <c r="I961" s="132"/>
      <c r="J961" s="131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69"/>
      <c r="B962" s="69"/>
      <c r="C962" s="9"/>
      <c r="D962" s="131"/>
      <c r="E962" s="131"/>
      <c r="F962" s="131"/>
      <c r="G962" s="9"/>
      <c r="H962" s="132"/>
      <c r="I962" s="132"/>
      <c r="J962" s="131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69"/>
      <c r="B963" s="69"/>
      <c r="C963" s="9"/>
      <c r="D963" s="131"/>
      <c r="E963" s="131"/>
      <c r="F963" s="131"/>
      <c r="G963" s="9"/>
      <c r="H963" s="132"/>
      <c r="I963" s="132"/>
      <c r="J963" s="131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69"/>
      <c r="B964" s="69"/>
      <c r="C964" s="9"/>
      <c r="D964" s="131"/>
      <c r="E964" s="131"/>
      <c r="F964" s="131"/>
      <c r="G964" s="9"/>
      <c r="H964" s="132"/>
      <c r="I964" s="132"/>
      <c r="J964" s="131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69"/>
      <c r="B965" s="69"/>
      <c r="C965" s="9"/>
      <c r="D965" s="131"/>
      <c r="E965" s="131"/>
      <c r="F965" s="131"/>
      <c r="G965" s="9"/>
      <c r="H965" s="132"/>
      <c r="I965" s="132"/>
      <c r="J965" s="131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69"/>
      <c r="B966" s="69"/>
      <c r="C966" s="9"/>
      <c r="D966" s="131"/>
      <c r="E966" s="131"/>
      <c r="F966" s="131"/>
      <c r="G966" s="9"/>
      <c r="H966" s="132"/>
      <c r="I966" s="132"/>
      <c r="J966" s="131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69"/>
      <c r="B967" s="69"/>
      <c r="C967" s="9"/>
      <c r="D967" s="131"/>
      <c r="E967" s="131"/>
      <c r="F967" s="131"/>
      <c r="G967" s="9"/>
      <c r="H967" s="132"/>
      <c r="I967" s="132"/>
      <c r="J967" s="131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69"/>
      <c r="B968" s="69"/>
      <c r="C968" s="9"/>
      <c r="D968" s="131"/>
      <c r="E968" s="131"/>
      <c r="F968" s="131"/>
      <c r="G968" s="9"/>
      <c r="H968" s="132"/>
      <c r="I968" s="132"/>
      <c r="J968" s="131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69"/>
      <c r="B969" s="69"/>
      <c r="C969" s="9"/>
      <c r="D969" s="131"/>
      <c r="E969" s="131"/>
      <c r="F969" s="131"/>
      <c r="G969" s="9"/>
      <c r="H969" s="132"/>
      <c r="I969" s="132"/>
      <c r="J969" s="131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69"/>
      <c r="B970" s="69"/>
      <c r="C970" s="9"/>
      <c r="D970" s="131"/>
      <c r="E970" s="131"/>
      <c r="F970" s="131"/>
      <c r="G970" s="9"/>
      <c r="H970" s="132"/>
      <c r="I970" s="132"/>
      <c r="J970" s="131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69"/>
      <c r="B971" s="69"/>
      <c r="C971" s="9"/>
      <c r="D971" s="131"/>
      <c r="E971" s="131"/>
      <c r="F971" s="131"/>
      <c r="G971" s="9"/>
      <c r="H971" s="132"/>
      <c r="I971" s="132"/>
      <c r="J971" s="131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69"/>
      <c r="B972" s="69"/>
      <c r="C972" s="9"/>
      <c r="D972" s="131"/>
      <c r="E972" s="131"/>
      <c r="F972" s="131"/>
      <c r="G972" s="9"/>
      <c r="H972" s="132"/>
      <c r="I972" s="132"/>
      <c r="J972" s="131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69"/>
      <c r="B973" s="69"/>
      <c r="C973" s="9"/>
      <c r="D973" s="131"/>
      <c r="E973" s="131"/>
      <c r="F973" s="131"/>
      <c r="G973" s="9"/>
      <c r="H973" s="132"/>
      <c r="I973" s="132"/>
      <c r="J973" s="131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69"/>
      <c r="B974" s="69"/>
      <c r="C974" s="9"/>
      <c r="D974" s="131"/>
      <c r="E974" s="131"/>
      <c r="F974" s="131"/>
      <c r="G974" s="9"/>
      <c r="H974" s="132"/>
      <c r="I974" s="132"/>
      <c r="J974" s="131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69"/>
      <c r="B975" s="69"/>
      <c r="C975" s="9"/>
      <c r="D975" s="131"/>
      <c r="E975" s="131"/>
      <c r="F975" s="131"/>
      <c r="G975" s="9"/>
      <c r="H975" s="132"/>
      <c r="I975" s="132"/>
      <c r="J975" s="131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69"/>
      <c r="B976" s="69"/>
      <c r="C976" s="9"/>
      <c r="D976" s="131"/>
      <c r="E976" s="131"/>
      <c r="F976" s="131"/>
      <c r="G976" s="9"/>
      <c r="H976" s="132"/>
      <c r="I976" s="132"/>
      <c r="J976" s="131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69"/>
      <c r="B977" s="69"/>
      <c r="C977" s="9"/>
      <c r="D977" s="131"/>
      <c r="E977" s="131"/>
      <c r="F977" s="131"/>
      <c r="G977" s="9"/>
      <c r="H977" s="132"/>
      <c r="I977" s="132"/>
      <c r="J977" s="131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69"/>
      <c r="B978" s="69"/>
      <c r="C978" s="9"/>
      <c r="D978" s="131"/>
      <c r="E978" s="131"/>
      <c r="F978" s="131"/>
      <c r="G978" s="9"/>
      <c r="H978" s="132"/>
      <c r="I978" s="132"/>
      <c r="J978" s="131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69"/>
      <c r="B979" s="69"/>
      <c r="C979" s="9"/>
      <c r="D979" s="131"/>
      <c r="E979" s="131"/>
      <c r="F979" s="131"/>
      <c r="G979" s="9"/>
      <c r="H979" s="132"/>
      <c r="I979" s="132"/>
      <c r="J979" s="131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69"/>
      <c r="B980" s="69"/>
      <c r="C980" s="9"/>
      <c r="D980" s="131"/>
      <c r="E980" s="131"/>
      <c r="F980" s="131"/>
      <c r="G980" s="9"/>
      <c r="H980" s="132"/>
      <c r="I980" s="132"/>
      <c r="J980" s="131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69"/>
      <c r="B981" s="69"/>
      <c r="C981" s="9"/>
      <c r="D981" s="131"/>
      <c r="E981" s="131"/>
      <c r="F981" s="131"/>
      <c r="G981" s="9"/>
      <c r="H981" s="132"/>
      <c r="I981" s="132"/>
      <c r="J981" s="131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69"/>
      <c r="B982" s="69"/>
      <c r="C982" s="9"/>
      <c r="D982" s="131"/>
      <c r="E982" s="131"/>
      <c r="F982" s="131"/>
      <c r="G982" s="9"/>
      <c r="H982" s="132"/>
      <c r="I982" s="132"/>
      <c r="J982" s="131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69"/>
      <c r="B983" s="69"/>
      <c r="C983" s="9"/>
      <c r="D983" s="131"/>
      <c r="E983" s="131"/>
      <c r="F983" s="131"/>
      <c r="G983" s="9"/>
      <c r="H983" s="132"/>
      <c r="I983" s="132"/>
      <c r="J983" s="131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69"/>
      <c r="B984" s="69"/>
      <c r="C984" s="9"/>
      <c r="D984" s="131"/>
      <c r="E984" s="131"/>
      <c r="F984" s="131"/>
      <c r="G984" s="9"/>
      <c r="H984" s="132"/>
      <c r="I984" s="132"/>
      <c r="J984" s="131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69"/>
      <c r="B985" s="69"/>
      <c r="C985" s="9"/>
      <c r="D985" s="131"/>
      <c r="E985" s="131"/>
      <c r="F985" s="131"/>
      <c r="G985" s="9"/>
      <c r="H985" s="132"/>
      <c r="I985" s="132"/>
      <c r="J985" s="131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69"/>
      <c r="B986" s="69"/>
      <c r="C986" s="9"/>
      <c r="D986" s="131"/>
      <c r="E986" s="131"/>
      <c r="F986" s="131"/>
      <c r="G986" s="9"/>
      <c r="H986" s="132"/>
      <c r="I986" s="132"/>
      <c r="J986" s="131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69"/>
      <c r="B987" s="69"/>
      <c r="C987" s="9"/>
      <c r="D987" s="131"/>
      <c r="E987" s="131"/>
      <c r="F987" s="131"/>
      <c r="G987" s="9"/>
      <c r="H987" s="132"/>
      <c r="I987" s="132"/>
      <c r="J987" s="131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69"/>
      <c r="B988" s="69"/>
      <c r="C988" s="9"/>
      <c r="D988" s="131"/>
      <c r="E988" s="131"/>
      <c r="F988" s="131"/>
      <c r="G988" s="9"/>
      <c r="H988" s="132"/>
      <c r="I988" s="132"/>
      <c r="J988" s="131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69"/>
      <c r="B989" s="69"/>
      <c r="C989" s="9"/>
      <c r="D989" s="131"/>
      <c r="E989" s="131"/>
      <c r="F989" s="131"/>
      <c r="G989" s="9"/>
      <c r="H989" s="132"/>
      <c r="I989" s="132"/>
      <c r="J989" s="131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69"/>
      <c r="B990" s="69"/>
      <c r="C990" s="9"/>
      <c r="D990" s="131"/>
      <c r="E990" s="131"/>
      <c r="F990" s="131"/>
      <c r="G990" s="9"/>
      <c r="H990" s="132"/>
      <c r="I990" s="132"/>
      <c r="J990" s="131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69"/>
      <c r="B991" s="69"/>
      <c r="C991" s="9"/>
      <c r="D991" s="131"/>
      <c r="E991" s="131"/>
      <c r="F991" s="131"/>
      <c r="G991" s="9"/>
      <c r="H991" s="132"/>
      <c r="I991" s="132"/>
      <c r="J991" s="131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69"/>
      <c r="B992" s="69"/>
      <c r="C992" s="9"/>
      <c r="D992" s="131"/>
      <c r="E992" s="131"/>
      <c r="F992" s="131"/>
      <c r="G992" s="9"/>
      <c r="H992" s="132"/>
      <c r="I992" s="132"/>
      <c r="J992" s="131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69"/>
      <c r="B993" s="69"/>
      <c r="C993" s="9"/>
      <c r="D993" s="131"/>
      <c r="E993" s="131"/>
      <c r="F993" s="131"/>
      <c r="G993" s="9"/>
      <c r="H993" s="132"/>
      <c r="I993" s="132"/>
      <c r="J993" s="131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69"/>
      <c r="B994" s="69"/>
      <c r="C994" s="9"/>
      <c r="D994" s="131"/>
      <c r="E994" s="131"/>
      <c r="F994" s="131"/>
      <c r="G994" s="9"/>
      <c r="H994" s="132"/>
      <c r="I994" s="132"/>
      <c r="J994" s="131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69"/>
      <c r="B995" s="69"/>
      <c r="C995" s="9"/>
      <c r="D995" s="131"/>
      <c r="E995" s="131"/>
      <c r="F995" s="131"/>
      <c r="G995" s="9"/>
      <c r="H995" s="132"/>
      <c r="I995" s="132"/>
      <c r="J995" s="131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69"/>
      <c r="B996" s="69"/>
      <c r="C996" s="9"/>
      <c r="D996" s="131"/>
      <c r="E996" s="131"/>
      <c r="F996" s="131"/>
      <c r="G996" s="9"/>
      <c r="H996" s="132"/>
      <c r="I996" s="132"/>
      <c r="J996" s="131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69"/>
      <c r="B997" s="69"/>
      <c r="C997" s="9"/>
      <c r="D997" s="131"/>
      <c r="E997" s="131"/>
      <c r="F997" s="131"/>
      <c r="G997" s="9"/>
      <c r="H997" s="132"/>
      <c r="I997" s="132"/>
      <c r="J997" s="131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69"/>
      <c r="B998" s="69"/>
      <c r="C998" s="9"/>
      <c r="D998" s="131"/>
      <c r="E998" s="131"/>
      <c r="F998" s="131"/>
      <c r="G998" s="9"/>
      <c r="H998" s="132"/>
      <c r="I998" s="132"/>
      <c r="J998" s="131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69"/>
      <c r="B999" s="69"/>
      <c r="C999" s="9"/>
      <c r="D999" s="131"/>
      <c r="E999" s="131"/>
      <c r="F999" s="131"/>
      <c r="G999" s="9"/>
      <c r="H999" s="132"/>
      <c r="I999" s="132"/>
      <c r="J999" s="131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69"/>
      <c r="B1000" s="69"/>
      <c r="C1000" s="9"/>
      <c r="D1000" s="131"/>
      <c r="E1000" s="131"/>
      <c r="F1000" s="131"/>
      <c r="G1000" s="9"/>
      <c r="H1000" s="132"/>
      <c r="I1000" s="132"/>
      <c r="J1000" s="131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autoFilter ref="A1:K199" xr:uid="{00000000-0009-0000-0000-00000B000000}"/>
  <dataValidations count="1">
    <dataValidation type="list" allowBlank="1" showErrorMessage="1" sqref="D2:F1000" xr:uid="{00000000-0002-0000-0B00-000000000000}">
      <formula1>EgyediTermekKod_list</formula1>
    </dataValidation>
  </dataValidations>
  <pageMargins left="0.7" right="0.7" top="0.75" bottom="0.75" header="0" footer="0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Z1000"/>
  <sheetViews>
    <sheetView workbookViewId="0"/>
  </sheetViews>
  <sheetFormatPr defaultColWidth="14.44140625" defaultRowHeight="15" customHeight="1" x14ac:dyDescent="0.3"/>
  <cols>
    <col min="1" max="1" width="14.33203125" customWidth="1"/>
    <col min="2" max="2" width="18.6640625" customWidth="1"/>
    <col min="3" max="3" width="12.109375" customWidth="1"/>
    <col min="4" max="5" width="12.88671875" customWidth="1"/>
    <col min="6" max="6" width="16.88671875" customWidth="1"/>
    <col min="7" max="26" width="9.109375" customWidth="1"/>
  </cols>
  <sheetData>
    <row r="1" spans="1:26" ht="32.25" customHeight="1" x14ac:dyDescent="0.3">
      <c r="A1" s="133" t="s">
        <v>75</v>
      </c>
      <c r="B1" s="133" t="s">
        <v>77</v>
      </c>
      <c r="C1" s="134" t="s">
        <v>89</v>
      </c>
      <c r="D1" s="135" t="s">
        <v>91</v>
      </c>
      <c r="E1" s="135" t="s">
        <v>750</v>
      </c>
      <c r="F1" s="136" t="s">
        <v>751</v>
      </c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</row>
    <row r="2" spans="1:26" ht="18" customHeight="1" x14ac:dyDescent="0.3">
      <c r="A2" s="138" t="s">
        <v>347</v>
      </c>
      <c r="B2" s="139" t="s">
        <v>752</v>
      </c>
      <c r="C2" s="140">
        <v>94</v>
      </c>
      <c r="D2" s="141">
        <v>80</v>
      </c>
      <c r="E2" s="141" t="s">
        <v>753</v>
      </c>
      <c r="F2" s="142">
        <v>44846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8" customHeight="1" x14ac:dyDescent="0.3">
      <c r="A3" s="138" t="s">
        <v>644</v>
      </c>
      <c r="B3" s="139" t="s">
        <v>754</v>
      </c>
      <c r="C3" s="140">
        <v>162</v>
      </c>
      <c r="D3" s="141">
        <v>138</v>
      </c>
      <c r="E3" s="141" t="s">
        <v>753</v>
      </c>
      <c r="F3" s="142">
        <v>44846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8" customHeight="1" x14ac:dyDescent="0.3">
      <c r="A4" s="138" t="s">
        <v>421</v>
      </c>
      <c r="B4" s="139" t="s">
        <v>755</v>
      </c>
      <c r="C4" s="140">
        <v>119</v>
      </c>
      <c r="D4" s="141">
        <v>102</v>
      </c>
      <c r="E4" s="141" t="s">
        <v>753</v>
      </c>
      <c r="F4" s="142">
        <v>44846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8" customHeight="1" x14ac:dyDescent="0.3">
      <c r="A5" s="138" t="s">
        <v>435</v>
      </c>
      <c r="B5" s="139" t="s">
        <v>435</v>
      </c>
      <c r="C5" s="140">
        <v>154</v>
      </c>
      <c r="D5" s="141">
        <v>131</v>
      </c>
      <c r="E5" s="141" t="s">
        <v>753</v>
      </c>
      <c r="F5" s="142">
        <v>44846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8" customHeight="1" x14ac:dyDescent="0.3">
      <c r="A6" s="138" t="s">
        <v>364</v>
      </c>
      <c r="B6" s="139" t="s">
        <v>756</v>
      </c>
      <c r="C6" s="140">
        <v>154</v>
      </c>
      <c r="D6" s="141">
        <v>131</v>
      </c>
      <c r="E6" s="141" t="s">
        <v>753</v>
      </c>
      <c r="F6" s="142">
        <v>44846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8" customHeight="1" x14ac:dyDescent="0.3">
      <c r="A7" s="138" t="s">
        <v>439</v>
      </c>
      <c r="B7" s="139" t="s">
        <v>757</v>
      </c>
      <c r="C7" s="140">
        <v>154</v>
      </c>
      <c r="D7" s="141">
        <v>131</v>
      </c>
      <c r="E7" s="141" t="s">
        <v>753</v>
      </c>
      <c r="F7" s="142">
        <v>44846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8" customHeight="1" x14ac:dyDescent="0.3">
      <c r="A8" s="138" t="s">
        <v>497</v>
      </c>
      <c r="B8" s="139" t="s">
        <v>758</v>
      </c>
      <c r="C8" s="140">
        <v>192</v>
      </c>
      <c r="D8" s="141">
        <v>164</v>
      </c>
      <c r="E8" s="141" t="s">
        <v>753</v>
      </c>
      <c r="F8" s="142">
        <v>44846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8" customHeight="1" x14ac:dyDescent="0.3">
      <c r="A9" s="138" t="s">
        <v>571</v>
      </c>
      <c r="B9" s="139" t="s">
        <v>759</v>
      </c>
      <c r="C9" s="140">
        <v>192</v>
      </c>
      <c r="D9" s="141">
        <v>164</v>
      </c>
      <c r="E9" s="141" t="s">
        <v>753</v>
      </c>
      <c r="F9" s="142">
        <v>44846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8" customHeight="1" x14ac:dyDescent="0.3">
      <c r="A10" s="138" t="s">
        <v>473</v>
      </c>
      <c r="B10" s="139" t="s">
        <v>760</v>
      </c>
      <c r="C10" s="140">
        <v>192</v>
      </c>
      <c r="D10" s="141">
        <v>164</v>
      </c>
      <c r="E10" s="141" t="s">
        <v>753</v>
      </c>
      <c r="F10" s="142">
        <v>44846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8" customHeight="1" x14ac:dyDescent="0.3">
      <c r="A11" s="138" t="s">
        <v>370</v>
      </c>
      <c r="B11" s="139" t="s">
        <v>761</v>
      </c>
      <c r="C11" s="140">
        <v>192</v>
      </c>
      <c r="D11" s="141">
        <v>164</v>
      </c>
      <c r="E11" s="141" t="s">
        <v>753</v>
      </c>
      <c r="F11" s="142">
        <v>44846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8" customHeight="1" x14ac:dyDescent="0.3">
      <c r="A12" s="138" t="s">
        <v>358</v>
      </c>
      <c r="B12" s="139" t="s">
        <v>762</v>
      </c>
      <c r="C12" s="140">
        <v>119</v>
      </c>
      <c r="D12" s="141">
        <v>102</v>
      </c>
      <c r="E12" s="141" t="s">
        <v>753</v>
      </c>
      <c r="F12" s="142">
        <v>44846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8" customHeight="1" x14ac:dyDescent="0.3">
      <c r="A13" s="138" t="s">
        <v>386</v>
      </c>
      <c r="B13" s="139" t="s">
        <v>763</v>
      </c>
      <c r="C13" s="140">
        <v>133</v>
      </c>
      <c r="D13" s="141">
        <v>114</v>
      </c>
      <c r="E13" s="141" t="s">
        <v>753</v>
      </c>
      <c r="F13" s="142">
        <v>44846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8" customHeight="1" x14ac:dyDescent="0.3">
      <c r="A14" s="138" t="s">
        <v>648</v>
      </c>
      <c r="B14" s="139" t="s">
        <v>764</v>
      </c>
      <c r="C14" s="140">
        <v>450</v>
      </c>
      <c r="D14" s="141">
        <v>383</v>
      </c>
      <c r="E14" s="141" t="s">
        <v>753</v>
      </c>
      <c r="F14" s="142">
        <v>44846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8" customHeight="1" x14ac:dyDescent="0.3">
      <c r="A15" s="138" t="s">
        <v>765</v>
      </c>
      <c r="B15" s="139" t="s">
        <v>766</v>
      </c>
      <c r="C15" s="140">
        <v>222</v>
      </c>
      <c r="D15" s="141">
        <v>189</v>
      </c>
      <c r="E15" s="141" t="s">
        <v>753</v>
      </c>
      <c r="F15" s="142">
        <v>44846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8" customHeight="1" x14ac:dyDescent="0.3">
      <c r="A16" s="138" t="s">
        <v>767</v>
      </c>
      <c r="B16" s="139" t="s">
        <v>768</v>
      </c>
      <c r="C16" s="140">
        <v>72</v>
      </c>
      <c r="D16" s="141">
        <v>62</v>
      </c>
      <c r="E16" s="141" t="s">
        <v>753</v>
      </c>
      <c r="F16" s="142">
        <v>44846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8" customHeight="1" x14ac:dyDescent="0.3">
      <c r="A17" s="138" t="s">
        <v>715</v>
      </c>
      <c r="B17" s="139" t="s">
        <v>769</v>
      </c>
      <c r="C17" s="140">
        <v>76</v>
      </c>
      <c r="D17" s="141">
        <v>65</v>
      </c>
      <c r="E17" s="141" t="s">
        <v>753</v>
      </c>
      <c r="F17" s="142">
        <v>44846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8" customHeight="1" x14ac:dyDescent="0.3">
      <c r="A18" s="138" t="s">
        <v>339</v>
      </c>
      <c r="B18" s="139" t="s">
        <v>770</v>
      </c>
      <c r="C18" s="140">
        <v>78</v>
      </c>
      <c r="D18" s="141">
        <v>67</v>
      </c>
      <c r="E18" s="141" t="s">
        <v>753</v>
      </c>
      <c r="F18" s="142">
        <v>44846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8" customHeight="1" x14ac:dyDescent="0.3">
      <c r="A19" s="138" t="s">
        <v>350</v>
      </c>
      <c r="B19" s="139" t="s">
        <v>771</v>
      </c>
      <c r="C19" s="140">
        <v>84</v>
      </c>
      <c r="D19" s="141">
        <v>72</v>
      </c>
      <c r="E19" s="141" t="s">
        <v>753</v>
      </c>
      <c r="F19" s="142">
        <v>44846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8" customHeight="1" x14ac:dyDescent="0.3">
      <c r="A20" s="138" t="s">
        <v>444</v>
      </c>
      <c r="B20" s="139" t="s">
        <v>772</v>
      </c>
      <c r="C20" s="140">
        <v>122</v>
      </c>
      <c r="D20" s="141">
        <v>104</v>
      </c>
      <c r="E20" s="141" t="s">
        <v>753</v>
      </c>
      <c r="F20" s="142">
        <v>44846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8" customHeight="1" x14ac:dyDescent="0.3">
      <c r="A21" s="138" t="s">
        <v>362</v>
      </c>
      <c r="B21" s="139" t="s">
        <v>773</v>
      </c>
      <c r="C21" s="140">
        <v>119</v>
      </c>
      <c r="D21" s="141">
        <v>102</v>
      </c>
      <c r="E21" s="141" t="s">
        <v>753</v>
      </c>
      <c r="F21" s="142">
        <v>44846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8" customHeight="1" x14ac:dyDescent="0.3">
      <c r="A22" s="138" t="s">
        <v>433</v>
      </c>
      <c r="B22" s="139" t="s">
        <v>774</v>
      </c>
      <c r="C22" s="140">
        <v>119</v>
      </c>
      <c r="D22" s="141">
        <v>102</v>
      </c>
      <c r="E22" s="141" t="s">
        <v>753</v>
      </c>
      <c r="F22" s="142">
        <v>44846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8" customHeight="1" x14ac:dyDescent="0.3">
      <c r="A23" s="138" t="s">
        <v>354</v>
      </c>
      <c r="B23" s="139" t="s">
        <v>775</v>
      </c>
      <c r="C23" s="140">
        <v>142</v>
      </c>
      <c r="D23" s="141">
        <v>121</v>
      </c>
      <c r="E23" s="141" t="s">
        <v>753</v>
      </c>
      <c r="F23" s="142">
        <v>44846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8" customHeight="1" x14ac:dyDescent="0.3">
      <c r="A24" s="138" t="s">
        <v>526</v>
      </c>
      <c r="B24" s="139" t="s">
        <v>526</v>
      </c>
      <c r="C24" s="140">
        <v>142</v>
      </c>
      <c r="D24" s="141">
        <v>121</v>
      </c>
      <c r="E24" s="141" t="s">
        <v>753</v>
      </c>
      <c r="F24" s="142">
        <v>44846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8" customHeight="1" x14ac:dyDescent="0.3">
      <c r="A25" s="138" t="s">
        <v>448</v>
      </c>
      <c r="B25" s="139" t="s">
        <v>776</v>
      </c>
      <c r="C25" s="140">
        <v>112</v>
      </c>
      <c r="D25" s="141">
        <v>96</v>
      </c>
      <c r="E25" s="141" t="s">
        <v>753</v>
      </c>
      <c r="F25" s="142">
        <v>44846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8" customHeight="1" x14ac:dyDescent="0.3">
      <c r="A26" s="138" t="s">
        <v>475</v>
      </c>
      <c r="B26" s="139" t="s">
        <v>777</v>
      </c>
      <c r="C26" s="140">
        <v>142</v>
      </c>
      <c r="D26" s="141">
        <v>121</v>
      </c>
      <c r="E26" s="141" t="s">
        <v>753</v>
      </c>
      <c r="F26" s="142">
        <v>44846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8" customHeight="1" x14ac:dyDescent="0.3">
      <c r="A27" s="138" t="s">
        <v>368</v>
      </c>
      <c r="B27" s="139" t="s">
        <v>778</v>
      </c>
      <c r="C27" s="140">
        <v>142</v>
      </c>
      <c r="D27" s="141">
        <v>121</v>
      </c>
      <c r="E27" s="141" t="s">
        <v>753</v>
      </c>
      <c r="F27" s="142">
        <v>44846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8" customHeight="1" x14ac:dyDescent="0.3">
      <c r="A28" s="138" t="s">
        <v>382</v>
      </c>
      <c r="B28" s="139" t="s">
        <v>779</v>
      </c>
      <c r="C28" s="140">
        <v>132</v>
      </c>
      <c r="D28" s="141">
        <v>113</v>
      </c>
      <c r="E28" s="141" t="s">
        <v>753</v>
      </c>
      <c r="F28" s="142">
        <v>44846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8" customHeight="1" x14ac:dyDescent="0.3">
      <c r="A29" s="138" t="s">
        <v>780</v>
      </c>
      <c r="B29" s="139" t="s">
        <v>781</v>
      </c>
      <c r="C29" s="140">
        <v>208</v>
      </c>
      <c r="D29" s="141">
        <v>177</v>
      </c>
      <c r="E29" s="141" t="s">
        <v>753</v>
      </c>
      <c r="F29" s="142">
        <v>44846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8" customHeight="1" x14ac:dyDescent="0.3">
      <c r="A30" s="138" t="s">
        <v>374</v>
      </c>
      <c r="B30" s="139" t="s">
        <v>782</v>
      </c>
      <c r="C30" s="140">
        <v>124</v>
      </c>
      <c r="D30" s="141">
        <v>106</v>
      </c>
      <c r="E30" s="141" t="s">
        <v>753</v>
      </c>
      <c r="F30" s="142">
        <v>44846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8" customHeight="1" x14ac:dyDescent="0.3">
      <c r="A31" s="138" t="s">
        <v>596</v>
      </c>
      <c r="B31" s="139" t="s">
        <v>783</v>
      </c>
      <c r="C31" s="140">
        <v>199</v>
      </c>
      <c r="D31" s="141">
        <v>170</v>
      </c>
      <c r="E31" s="141" t="s">
        <v>753</v>
      </c>
      <c r="F31" s="142">
        <v>44846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8" customHeight="1" x14ac:dyDescent="0.3">
      <c r="A32" s="138" t="s">
        <v>343</v>
      </c>
      <c r="B32" s="139" t="s">
        <v>784</v>
      </c>
      <c r="C32" s="140">
        <v>100</v>
      </c>
      <c r="D32" s="141">
        <v>85</v>
      </c>
      <c r="E32" s="141" t="s">
        <v>753</v>
      </c>
      <c r="F32" s="142">
        <v>44846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8" customHeight="1" x14ac:dyDescent="0.3">
      <c r="A33" s="138" t="s">
        <v>785</v>
      </c>
      <c r="B33" s="139" t="s">
        <v>786</v>
      </c>
      <c r="C33" s="140">
        <v>230</v>
      </c>
      <c r="D33" s="141">
        <v>196</v>
      </c>
      <c r="E33" s="141" t="s">
        <v>753</v>
      </c>
      <c r="F33" s="142">
        <v>44846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8" customHeight="1" x14ac:dyDescent="0.3">
      <c r="A34" s="138" t="s">
        <v>787</v>
      </c>
      <c r="B34" s="139" t="s">
        <v>788</v>
      </c>
      <c r="C34" s="140">
        <v>340</v>
      </c>
      <c r="D34" s="141">
        <v>289</v>
      </c>
      <c r="E34" s="141" t="s">
        <v>753</v>
      </c>
      <c r="F34" s="142">
        <v>44846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8" customHeight="1" x14ac:dyDescent="0.3">
      <c r="A35" s="138" t="s">
        <v>390</v>
      </c>
      <c r="B35" s="139" t="s">
        <v>789</v>
      </c>
      <c r="C35" s="140">
        <v>141</v>
      </c>
      <c r="D35" s="141">
        <v>120</v>
      </c>
      <c r="E35" s="141" t="s">
        <v>753</v>
      </c>
      <c r="F35" s="142">
        <v>44846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8" customHeight="1" x14ac:dyDescent="0.3">
      <c r="A36" s="138" t="s">
        <v>378</v>
      </c>
      <c r="B36" s="139" t="s">
        <v>378</v>
      </c>
      <c r="C36" s="140">
        <v>125</v>
      </c>
      <c r="D36" s="141">
        <v>107</v>
      </c>
      <c r="E36" s="141" t="s">
        <v>753</v>
      </c>
      <c r="F36" s="142">
        <v>44846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8" customHeight="1" x14ac:dyDescent="0.3">
      <c r="A37" s="143" t="s">
        <v>394</v>
      </c>
      <c r="B37" s="144" t="s">
        <v>790</v>
      </c>
      <c r="C37" s="145">
        <v>150</v>
      </c>
      <c r="D37" s="146">
        <v>128</v>
      </c>
      <c r="E37" s="146" t="s">
        <v>753</v>
      </c>
      <c r="F37" s="142">
        <v>44846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8" customHeight="1" x14ac:dyDescent="0.3">
      <c r="A38" s="143" t="s">
        <v>631</v>
      </c>
      <c r="B38" s="144" t="s">
        <v>791</v>
      </c>
      <c r="C38" s="145">
        <v>3</v>
      </c>
      <c r="D38" s="146">
        <v>2550</v>
      </c>
      <c r="E38" s="146" t="s">
        <v>753</v>
      </c>
      <c r="F38" s="142">
        <v>44846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8" customHeight="1" x14ac:dyDescent="0.3">
      <c r="A39" s="143" t="s">
        <v>667</v>
      </c>
      <c r="B39" s="144" t="s">
        <v>792</v>
      </c>
      <c r="C39" s="145">
        <v>252</v>
      </c>
      <c r="D39" s="146">
        <v>215</v>
      </c>
      <c r="E39" s="146" t="s">
        <v>793</v>
      </c>
      <c r="F39" s="142">
        <v>44846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8" customHeight="1" x14ac:dyDescent="0.3">
      <c r="A40" s="143" t="s">
        <v>717</v>
      </c>
      <c r="B40" s="144" t="s">
        <v>794</v>
      </c>
      <c r="C40" s="145">
        <v>300</v>
      </c>
      <c r="D40" s="146">
        <v>255</v>
      </c>
      <c r="E40" s="146" t="s">
        <v>753</v>
      </c>
      <c r="F40" s="142">
        <v>44846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8" customHeight="1" x14ac:dyDescent="0.3">
      <c r="A41" s="143" t="s">
        <v>730</v>
      </c>
      <c r="B41" s="144" t="s">
        <v>795</v>
      </c>
      <c r="C41" s="145">
        <v>234</v>
      </c>
      <c r="D41" s="146">
        <v>199</v>
      </c>
      <c r="E41" s="146" t="s">
        <v>753</v>
      </c>
      <c r="F41" s="142">
        <v>44846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8" customHeight="1" x14ac:dyDescent="0.3">
      <c r="A42" s="147" t="s">
        <v>796</v>
      </c>
      <c r="B42" s="148" t="s">
        <v>797</v>
      </c>
      <c r="C42" s="149">
        <v>233</v>
      </c>
      <c r="D42" s="150">
        <v>199</v>
      </c>
      <c r="E42" s="150" t="s">
        <v>753</v>
      </c>
      <c r="F42" s="142">
        <v>44846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8" customHeight="1" x14ac:dyDescent="0.3">
      <c r="A43" s="151"/>
      <c r="B43" s="151"/>
      <c r="C43" s="152"/>
      <c r="D43" s="153"/>
      <c r="E43" s="154"/>
      <c r="F43" s="142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8" customHeight="1" x14ac:dyDescent="0.3">
      <c r="A44" s="151"/>
      <c r="B44" s="151"/>
      <c r="C44" s="152"/>
      <c r="D44" s="155"/>
      <c r="E44" s="154"/>
      <c r="F44" s="156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8" customHeight="1" x14ac:dyDescent="0.3">
      <c r="A45" s="151"/>
      <c r="B45" s="151"/>
      <c r="C45" s="152"/>
      <c r="D45" s="153"/>
      <c r="E45" s="154"/>
      <c r="F45" s="142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8" customHeight="1" x14ac:dyDescent="0.3">
      <c r="A46" s="151"/>
      <c r="B46" s="151"/>
      <c r="C46" s="152"/>
      <c r="D46" s="153"/>
      <c r="E46" s="154"/>
      <c r="F46" s="142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8" customHeight="1" x14ac:dyDescent="0.3">
      <c r="A47" s="151"/>
      <c r="B47" s="151"/>
      <c r="C47" s="152"/>
      <c r="D47" s="153"/>
      <c r="E47" s="154"/>
      <c r="F47" s="142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8" customHeight="1" x14ac:dyDescent="0.3">
      <c r="A48" s="151"/>
      <c r="B48" s="151"/>
      <c r="C48" s="152"/>
      <c r="D48" s="153"/>
      <c r="E48" s="154"/>
      <c r="F48" s="142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8" customHeight="1" x14ac:dyDescent="0.3">
      <c r="A49" s="131"/>
      <c r="B49" s="131"/>
      <c r="C49" s="157"/>
      <c r="D49" s="158"/>
      <c r="E49" s="158"/>
      <c r="F49" s="15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8" customHeight="1" x14ac:dyDescent="0.3">
      <c r="A50" s="131"/>
      <c r="B50" s="131"/>
      <c r="C50" s="157"/>
      <c r="D50" s="158"/>
      <c r="E50" s="158"/>
      <c r="F50" s="15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8" customHeight="1" x14ac:dyDescent="0.3">
      <c r="A51" s="131"/>
      <c r="B51" s="131"/>
      <c r="C51" s="157"/>
      <c r="D51" s="158"/>
      <c r="E51" s="158"/>
      <c r="F51" s="15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8" customHeight="1" x14ac:dyDescent="0.3">
      <c r="A52" s="131"/>
      <c r="B52" s="131"/>
      <c r="C52" s="157"/>
      <c r="D52" s="158"/>
      <c r="E52" s="158"/>
      <c r="F52" s="15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8" customHeight="1" x14ac:dyDescent="0.3">
      <c r="A53" s="131"/>
      <c r="B53" s="131"/>
      <c r="C53" s="157"/>
      <c r="D53" s="158"/>
      <c r="E53" s="158"/>
      <c r="F53" s="15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8" customHeight="1" x14ac:dyDescent="0.3">
      <c r="A54" s="131"/>
      <c r="B54" s="131"/>
      <c r="C54" s="157"/>
      <c r="D54" s="158"/>
      <c r="E54" s="158"/>
      <c r="F54" s="15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8" customHeight="1" x14ac:dyDescent="0.3">
      <c r="A55" s="131"/>
      <c r="B55" s="131"/>
      <c r="C55" s="157"/>
      <c r="D55" s="158"/>
      <c r="E55" s="158"/>
      <c r="F55" s="15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8" customHeight="1" x14ac:dyDescent="0.3">
      <c r="A56" s="131"/>
      <c r="B56" s="131"/>
      <c r="C56" s="157"/>
      <c r="D56" s="158"/>
      <c r="E56" s="158"/>
      <c r="F56" s="15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8" customHeight="1" x14ac:dyDescent="0.3">
      <c r="A57" s="131"/>
      <c r="B57" s="131"/>
      <c r="C57" s="157"/>
      <c r="D57" s="158"/>
      <c r="E57" s="158"/>
      <c r="F57" s="15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8" customHeight="1" x14ac:dyDescent="0.3">
      <c r="A58" s="131"/>
      <c r="B58" s="131"/>
      <c r="C58" s="157"/>
      <c r="D58" s="158"/>
      <c r="E58" s="158"/>
      <c r="F58" s="15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8" customHeight="1" x14ac:dyDescent="0.3">
      <c r="A59" s="131"/>
      <c r="B59" s="131"/>
      <c r="C59" s="157"/>
      <c r="D59" s="158"/>
      <c r="E59" s="158"/>
      <c r="F59" s="15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8" customHeight="1" x14ac:dyDescent="0.3">
      <c r="A60" s="131"/>
      <c r="B60" s="131"/>
      <c r="C60" s="157"/>
      <c r="D60" s="158"/>
      <c r="E60" s="158"/>
      <c r="F60" s="15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8" customHeight="1" x14ac:dyDescent="0.3">
      <c r="A61" s="131"/>
      <c r="B61" s="131"/>
      <c r="C61" s="157"/>
      <c r="D61" s="158"/>
      <c r="E61" s="158"/>
      <c r="F61" s="15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8" customHeight="1" x14ac:dyDescent="0.3">
      <c r="A62" s="131"/>
      <c r="B62" s="131"/>
      <c r="C62" s="157"/>
      <c r="D62" s="158"/>
      <c r="E62" s="158"/>
      <c r="F62" s="15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8" customHeight="1" x14ac:dyDescent="0.3">
      <c r="A63" s="131"/>
      <c r="B63" s="131"/>
      <c r="C63" s="157"/>
      <c r="D63" s="158"/>
      <c r="E63" s="158"/>
      <c r="F63" s="15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8" customHeight="1" x14ac:dyDescent="0.3">
      <c r="A64" s="131"/>
      <c r="B64" s="131"/>
      <c r="C64" s="157"/>
      <c r="D64" s="158"/>
      <c r="E64" s="158"/>
      <c r="F64" s="15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8" customHeight="1" x14ac:dyDescent="0.3">
      <c r="A65" s="131"/>
      <c r="B65" s="131"/>
      <c r="C65" s="157"/>
      <c r="D65" s="158"/>
      <c r="E65" s="158"/>
      <c r="F65" s="15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8" customHeight="1" x14ac:dyDescent="0.3">
      <c r="A66" s="131"/>
      <c r="B66" s="131"/>
      <c r="C66" s="157"/>
      <c r="D66" s="158"/>
      <c r="E66" s="158"/>
      <c r="F66" s="15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8" customHeight="1" x14ac:dyDescent="0.3">
      <c r="A67" s="131"/>
      <c r="B67" s="131"/>
      <c r="C67" s="157"/>
      <c r="D67" s="158"/>
      <c r="E67" s="158"/>
      <c r="F67" s="15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8" customHeight="1" x14ac:dyDescent="0.3">
      <c r="A68" s="131"/>
      <c r="B68" s="131"/>
      <c r="C68" s="157"/>
      <c r="D68" s="158"/>
      <c r="E68" s="158"/>
      <c r="F68" s="15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8" customHeight="1" x14ac:dyDescent="0.3">
      <c r="A69" s="131"/>
      <c r="B69" s="131"/>
      <c r="C69" s="157"/>
      <c r="D69" s="158"/>
      <c r="E69" s="158"/>
      <c r="F69" s="15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8" customHeight="1" x14ac:dyDescent="0.3">
      <c r="A70" s="131"/>
      <c r="B70" s="131"/>
      <c r="C70" s="157"/>
      <c r="D70" s="158"/>
      <c r="E70" s="158"/>
      <c r="F70" s="15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8" customHeight="1" x14ac:dyDescent="0.3">
      <c r="A71" s="131"/>
      <c r="B71" s="131"/>
      <c r="C71" s="157"/>
      <c r="D71" s="158"/>
      <c r="E71" s="158"/>
      <c r="F71" s="15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8" customHeight="1" x14ac:dyDescent="0.3">
      <c r="A72" s="131"/>
      <c r="B72" s="131"/>
      <c r="C72" s="157"/>
      <c r="D72" s="158"/>
      <c r="E72" s="158"/>
      <c r="F72" s="15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8" customHeight="1" x14ac:dyDescent="0.3">
      <c r="A73" s="131"/>
      <c r="B73" s="131"/>
      <c r="C73" s="157"/>
      <c r="D73" s="158"/>
      <c r="E73" s="158"/>
      <c r="F73" s="15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8" customHeight="1" x14ac:dyDescent="0.3">
      <c r="A74" s="131"/>
      <c r="B74" s="131"/>
      <c r="C74" s="157"/>
      <c r="D74" s="158"/>
      <c r="E74" s="158"/>
      <c r="F74" s="15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8" customHeight="1" x14ac:dyDescent="0.3">
      <c r="A75" s="131"/>
      <c r="B75" s="131"/>
      <c r="C75" s="157"/>
      <c r="D75" s="158"/>
      <c r="E75" s="158"/>
      <c r="F75" s="15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8" customHeight="1" x14ac:dyDescent="0.3">
      <c r="A76" s="131"/>
      <c r="B76" s="131"/>
      <c r="C76" s="157"/>
      <c r="D76" s="158"/>
      <c r="E76" s="158"/>
      <c r="F76" s="15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8" customHeight="1" x14ac:dyDescent="0.3">
      <c r="A77" s="131"/>
      <c r="B77" s="131"/>
      <c r="C77" s="157"/>
      <c r="D77" s="158"/>
      <c r="E77" s="158"/>
      <c r="F77" s="15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8" customHeight="1" x14ac:dyDescent="0.3">
      <c r="A78" s="131"/>
      <c r="B78" s="131"/>
      <c r="C78" s="157"/>
      <c r="D78" s="158"/>
      <c r="E78" s="158"/>
      <c r="F78" s="15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8" customHeight="1" x14ac:dyDescent="0.3">
      <c r="A79" s="131"/>
      <c r="B79" s="131"/>
      <c r="C79" s="157"/>
      <c r="D79" s="158"/>
      <c r="E79" s="158"/>
      <c r="F79" s="15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8" customHeight="1" x14ac:dyDescent="0.3">
      <c r="A80" s="131"/>
      <c r="B80" s="131"/>
      <c r="C80" s="157"/>
      <c r="D80" s="158"/>
      <c r="E80" s="158"/>
      <c r="F80" s="15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8" customHeight="1" x14ac:dyDescent="0.3">
      <c r="A81" s="131"/>
      <c r="B81" s="131"/>
      <c r="C81" s="157"/>
      <c r="D81" s="158"/>
      <c r="E81" s="158"/>
      <c r="F81" s="15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8" customHeight="1" x14ac:dyDescent="0.3">
      <c r="A82" s="131"/>
      <c r="B82" s="131"/>
      <c r="C82" s="157"/>
      <c r="D82" s="158"/>
      <c r="E82" s="158"/>
      <c r="F82" s="15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8" customHeight="1" x14ac:dyDescent="0.3">
      <c r="A83" s="131"/>
      <c r="B83" s="131"/>
      <c r="C83" s="157"/>
      <c r="D83" s="158"/>
      <c r="E83" s="158"/>
      <c r="F83" s="15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8" customHeight="1" x14ac:dyDescent="0.3">
      <c r="A84" s="131"/>
      <c r="B84" s="131"/>
      <c r="C84" s="157"/>
      <c r="D84" s="158"/>
      <c r="E84" s="158"/>
      <c r="F84" s="15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8" customHeight="1" x14ac:dyDescent="0.3">
      <c r="A85" s="131"/>
      <c r="B85" s="131"/>
      <c r="C85" s="157"/>
      <c r="D85" s="158"/>
      <c r="E85" s="158"/>
      <c r="F85" s="15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8" customHeight="1" x14ac:dyDescent="0.3">
      <c r="A86" s="131"/>
      <c r="B86" s="131"/>
      <c r="C86" s="157"/>
      <c r="D86" s="158"/>
      <c r="E86" s="158"/>
      <c r="F86" s="15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8" customHeight="1" x14ac:dyDescent="0.3">
      <c r="A87" s="131"/>
      <c r="B87" s="131"/>
      <c r="C87" s="157"/>
      <c r="D87" s="158"/>
      <c r="E87" s="158"/>
      <c r="F87" s="15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8" customHeight="1" x14ac:dyDescent="0.3">
      <c r="A88" s="131"/>
      <c r="B88" s="131"/>
      <c r="C88" s="157"/>
      <c r="D88" s="158"/>
      <c r="E88" s="158"/>
      <c r="F88" s="15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8" customHeight="1" x14ac:dyDescent="0.3">
      <c r="A89" s="131"/>
      <c r="B89" s="131"/>
      <c r="C89" s="157"/>
      <c r="D89" s="158"/>
      <c r="E89" s="158"/>
      <c r="F89" s="15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8" customHeight="1" x14ac:dyDescent="0.3">
      <c r="A90" s="131"/>
      <c r="B90" s="131"/>
      <c r="C90" s="157"/>
      <c r="D90" s="158"/>
      <c r="E90" s="158"/>
      <c r="F90" s="15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8" customHeight="1" x14ac:dyDescent="0.3">
      <c r="A91" s="131"/>
      <c r="B91" s="131"/>
      <c r="C91" s="157"/>
      <c r="D91" s="158"/>
      <c r="E91" s="158"/>
      <c r="F91" s="15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8" customHeight="1" x14ac:dyDescent="0.3">
      <c r="A92" s="131"/>
      <c r="B92" s="131"/>
      <c r="C92" s="157"/>
      <c r="D92" s="158"/>
      <c r="E92" s="158"/>
      <c r="F92" s="15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8" customHeight="1" x14ac:dyDescent="0.3">
      <c r="A93" s="131"/>
      <c r="B93" s="131"/>
      <c r="C93" s="157"/>
      <c r="D93" s="158"/>
      <c r="E93" s="158"/>
      <c r="F93" s="15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8" customHeight="1" x14ac:dyDescent="0.3">
      <c r="A94" s="131"/>
      <c r="B94" s="131"/>
      <c r="C94" s="157"/>
      <c r="D94" s="158"/>
      <c r="E94" s="158"/>
      <c r="F94" s="15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8" customHeight="1" x14ac:dyDescent="0.3">
      <c r="A95" s="131"/>
      <c r="B95" s="131"/>
      <c r="C95" s="157"/>
      <c r="D95" s="158"/>
      <c r="E95" s="158"/>
      <c r="F95" s="15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8" customHeight="1" x14ac:dyDescent="0.3">
      <c r="A96" s="131"/>
      <c r="B96" s="131"/>
      <c r="C96" s="157"/>
      <c r="D96" s="158"/>
      <c r="E96" s="158"/>
      <c r="F96" s="15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8" customHeight="1" x14ac:dyDescent="0.3">
      <c r="A97" s="131"/>
      <c r="B97" s="131"/>
      <c r="C97" s="157"/>
      <c r="D97" s="158"/>
      <c r="E97" s="158"/>
      <c r="F97" s="15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8" customHeight="1" x14ac:dyDescent="0.3">
      <c r="A98" s="131"/>
      <c r="B98" s="131"/>
      <c r="C98" s="157"/>
      <c r="D98" s="158"/>
      <c r="E98" s="158"/>
      <c r="F98" s="15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8" customHeight="1" x14ac:dyDescent="0.3">
      <c r="A99" s="131"/>
      <c r="B99" s="131"/>
      <c r="C99" s="157"/>
      <c r="D99" s="158"/>
      <c r="E99" s="158"/>
      <c r="F99" s="15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8" customHeight="1" x14ac:dyDescent="0.3">
      <c r="A100" s="131"/>
      <c r="B100" s="131"/>
      <c r="C100" s="157"/>
      <c r="D100" s="158"/>
      <c r="E100" s="158"/>
      <c r="F100" s="15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8" customHeight="1" x14ac:dyDescent="0.3">
      <c r="A101" s="131"/>
      <c r="B101" s="131"/>
      <c r="C101" s="157"/>
      <c r="D101" s="158"/>
      <c r="E101" s="158"/>
      <c r="F101" s="15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8" customHeight="1" x14ac:dyDescent="0.3">
      <c r="A102" s="131"/>
      <c r="B102" s="131"/>
      <c r="C102" s="157"/>
      <c r="D102" s="158"/>
      <c r="E102" s="158"/>
      <c r="F102" s="15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8" customHeight="1" x14ac:dyDescent="0.3">
      <c r="A103" s="131"/>
      <c r="B103" s="131"/>
      <c r="C103" s="157"/>
      <c r="D103" s="158"/>
      <c r="E103" s="158"/>
      <c r="F103" s="15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8" customHeight="1" x14ac:dyDescent="0.3">
      <c r="A104" s="131"/>
      <c r="B104" s="131"/>
      <c r="C104" s="157"/>
      <c r="D104" s="158"/>
      <c r="E104" s="158"/>
      <c r="F104" s="15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8" customHeight="1" x14ac:dyDescent="0.3">
      <c r="A105" s="131"/>
      <c r="B105" s="131"/>
      <c r="C105" s="157"/>
      <c r="D105" s="158"/>
      <c r="E105" s="158"/>
      <c r="F105" s="15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8" customHeight="1" x14ac:dyDescent="0.3">
      <c r="A106" s="131"/>
      <c r="B106" s="131"/>
      <c r="C106" s="157"/>
      <c r="D106" s="158"/>
      <c r="E106" s="158"/>
      <c r="F106" s="15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8" customHeight="1" x14ac:dyDescent="0.3">
      <c r="A107" s="131"/>
      <c r="B107" s="131"/>
      <c r="C107" s="157"/>
      <c r="D107" s="158"/>
      <c r="E107" s="158"/>
      <c r="F107" s="15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8" customHeight="1" x14ac:dyDescent="0.3">
      <c r="A108" s="131"/>
      <c r="B108" s="131"/>
      <c r="C108" s="157"/>
      <c r="D108" s="158"/>
      <c r="E108" s="158"/>
      <c r="F108" s="15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8" customHeight="1" x14ac:dyDescent="0.3">
      <c r="A109" s="131"/>
      <c r="B109" s="131"/>
      <c r="C109" s="157"/>
      <c r="D109" s="158"/>
      <c r="E109" s="158"/>
      <c r="F109" s="15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8" customHeight="1" x14ac:dyDescent="0.3">
      <c r="A110" s="131"/>
      <c r="B110" s="131"/>
      <c r="C110" s="157"/>
      <c r="D110" s="158"/>
      <c r="E110" s="158"/>
      <c r="F110" s="15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8" customHeight="1" x14ac:dyDescent="0.3">
      <c r="A111" s="131"/>
      <c r="B111" s="131"/>
      <c r="C111" s="157"/>
      <c r="D111" s="158"/>
      <c r="E111" s="158"/>
      <c r="F111" s="15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8" customHeight="1" x14ac:dyDescent="0.3">
      <c r="A112" s="131"/>
      <c r="B112" s="131"/>
      <c r="C112" s="157"/>
      <c r="D112" s="158"/>
      <c r="E112" s="158"/>
      <c r="F112" s="15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8" customHeight="1" x14ac:dyDescent="0.3">
      <c r="A113" s="131"/>
      <c r="B113" s="131"/>
      <c r="C113" s="157"/>
      <c r="D113" s="158"/>
      <c r="E113" s="158"/>
      <c r="F113" s="15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8" customHeight="1" x14ac:dyDescent="0.3">
      <c r="A114" s="131"/>
      <c r="B114" s="131"/>
      <c r="C114" s="157"/>
      <c r="D114" s="158"/>
      <c r="E114" s="158"/>
      <c r="F114" s="15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8" customHeight="1" x14ac:dyDescent="0.3">
      <c r="A115" s="131"/>
      <c r="B115" s="131"/>
      <c r="C115" s="157"/>
      <c r="D115" s="158"/>
      <c r="E115" s="158"/>
      <c r="F115" s="15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8" customHeight="1" x14ac:dyDescent="0.3">
      <c r="A116" s="131"/>
      <c r="B116" s="131"/>
      <c r="C116" s="157"/>
      <c r="D116" s="158"/>
      <c r="E116" s="158"/>
      <c r="F116" s="15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8" customHeight="1" x14ac:dyDescent="0.3">
      <c r="A117" s="131"/>
      <c r="B117" s="131"/>
      <c r="C117" s="157"/>
      <c r="D117" s="158"/>
      <c r="E117" s="158"/>
      <c r="F117" s="15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8" customHeight="1" x14ac:dyDescent="0.3">
      <c r="A118" s="131"/>
      <c r="B118" s="131"/>
      <c r="C118" s="157"/>
      <c r="D118" s="158"/>
      <c r="E118" s="158"/>
      <c r="F118" s="15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8" customHeight="1" x14ac:dyDescent="0.3">
      <c r="A119" s="131"/>
      <c r="B119" s="131"/>
      <c r="C119" s="157"/>
      <c r="D119" s="158"/>
      <c r="E119" s="158"/>
      <c r="F119" s="15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8" customHeight="1" x14ac:dyDescent="0.3">
      <c r="A120" s="131"/>
      <c r="B120" s="131"/>
      <c r="C120" s="157"/>
      <c r="D120" s="158"/>
      <c r="E120" s="158"/>
      <c r="F120" s="15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8" customHeight="1" x14ac:dyDescent="0.3">
      <c r="A121" s="131"/>
      <c r="B121" s="131"/>
      <c r="C121" s="157"/>
      <c r="D121" s="158"/>
      <c r="E121" s="158"/>
      <c r="F121" s="15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8" customHeight="1" x14ac:dyDescent="0.3">
      <c r="A122" s="131"/>
      <c r="B122" s="131"/>
      <c r="C122" s="157"/>
      <c r="D122" s="158"/>
      <c r="E122" s="158"/>
      <c r="F122" s="15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8" customHeight="1" x14ac:dyDescent="0.3">
      <c r="A123" s="131"/>
      <c r="B123" s="131"/>
      <c r="C123" s="157"/>
      <c r="D123" s="158"/>
      <c r="E123" s="158"/>
      <c r="F123" s="15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8" customHeight="1" x14ac:dyDescent="0.3">
      <c r="A124" s="131"/>
      <c r="B124" s="131"/>
      <c r="C124" s="157"/>
      <c r="D124" s="158"/>
      <c r="E124" s="158"/>
      <c r="F124" s="15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8" customHeight="1" x14ac:dyDescent="0.3">
      <c r="A125" s="131"/>
      <c r="B125" s="131"/>
      <c r="C125" s="157"/>
      <c r="D125" s="158"/>
      <c r="E125" s="158"/>
      <c r="F125" s="15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8" customHeight="1" x14ac:dyDescent="0.3">
      <c r="A126" s="131"/>
      <c r="B126" s="131"/>
      <c r="C126" s="157"/>
      <c r="D126" s="158"/>
      <c r="E126" s="158"/>
      <c r="F126" s="15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8" customHeight="1" x14ac:dyDescent="0.3">
      <c r="A127" s="131"/>
      <c r="B127" s="131"/>
      <c r="C127" s="157"/>
      <c r="D127" s="158"/>
      <c r="E127" s="158"/>
      <c r="F127" s="15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8" customHeight="1" x14ac:dyDescent="0.3">
      <c r="A128" s="131"/>
      <c r="B128" s="131"/>
      <c r="C128" s="157"/>
      <c r="D128" s="158"/>
      <c r="E128" s="158"/>
      <c r="F128" s="15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8" customHeight="1" x14ac:dyDescent="0.3">
      <c r="A129" s="131"/>
      <c r="B129" s="131"/>
      <c r="C129" s="157"/>
      <c r="D129" s="158"/>
      <c r="E129" s="158"/>
      <c r="F129" s="15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8" customHeight="1" x14ac:dyDescent="0.3">
      <c r="A130" s="131"/>
      <c r="B130" s="131"/>
      <c r="C130" s="157"/>
      <c r="D130" s="158"/>
      <c r="E130" s="158"/>
      <c r="F130" s="15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8" customHeight="1" x14ac:dyDescent="0.3">
      <c r="A131" s="131"/>
      <c r="B131" s="131"/>
      <c r="C131" s="157"/>
      <c r="D131" s="158"/>
      <c r="E131" s="158"/>
      <c r="F131" s="15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8" customHeight="1" x14ac:dyDescent="0.3">
      <c r="A132" s="131"/>
      <c r="B132" s="131"/>
      <c r="C132" s="157"/>
      <c r="D132" s="158"/>
      <c r="E132" s="158"/>
      <c r="F132" s="15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8" customHeight="1" x14ac:dyDescent="0.3">
      <c r="A133" s="131"/>
      <c r="B133" s="131"/>
      <c r="C133" s="157"/>
      <c r="D133" s="158"/>
      <c r="E133" s="158"/>
      <c r="F133" s="15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8" customHeight="1" x14ac:dyDescent="0.3">
      <c r="A134" s="131"/>
      <c r="B134" s="131"/>
      <c r="C134" s="157"/>
      <c r="D134" s="158"/>
      <c r="E134" s="158"/>
      <c r="F134" s="15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8" customHeight="1" x14ac:dyDescent="0.3">
      <c r="A135" s="131"/>
      <c r="B135" s="131"/>
      <c r="C135" s="157"/>
      <c r="D135" s="158"/>
      <c r="E135" s="158"/>
      <c r="F135" s="15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8" customHeight="1" x14ac:dyDescent="0.3">
      <c r="A136" s="131"/>
      <c r="B136" s="131"/>
      <c r="C136" s="157"/>
      <c r="D136" s="158"/>
      <c r="E136" s="158"/>
      <c r="F136" s="15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8" customHeight="1" x14ac:dyDescent="0.3">
      <c r="A137" s="131"/>
      <c r="B137" s="131"/>
      <c r="C137" s="157"/>
      <c r="D137" s="158"/>
      <c r="E137" s="158"/>
      <c r="F137" s="15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8" customHeight="1" x14ac:dyDescent="0.3">
      <c r="A138" s="131"/>
      <c r="B138" s="131"/>
      <c r="C138" s="157"/>
      <c r="D138" s="158"/>
      <c r="E138" s="158"/>
      <c r="F138" s="15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8" customHeight="1" x14ac:dyDescent="0.3">
      <c r="A139" s="131"/>
      <c r="B139" s="131"/>
      <c r="C139" s="157"/>
      <c r="D139" s="158"/>
      <c r="E139" s="158"/>
      <c r="F139" s="15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8" customHeight="1" x14ac:dyDescent="0.3">
      <c r="A140" s="131"/>
      <c r="B140" s="131"/>
      <c r="C140" s="157"/>
      <c r="D140" s="158"/>
      <c r="E140" s="158"/>
      <c r="F140" s="15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8" customHeight="1" x14ac:dyDescent="0.3">
      <c r="A141" s="131"/>
      <c r="B141" s="131"/>
      <c r="C141" s="157"/>
      <c r="D141" s="158"/>
      <c r="E141" s="158"/>
      <c r="F141" s="15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8" customHeight="1" x14ac:dyDescent="0.3">
      <c r="A142" s="131"/>
      <c r="B142" s="131"/>
      <c r="C142" s="157"/>
      <c r="D142" s="158"/>
      <c r="E142" s="158"/>
      <c r="F142" s="15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8" customHeight="1" x14ac:dyDescent="0.3">
      <c r="A143" s="131"/>
      <c r="B143" s="131"/>
      <c r="C143" s="157"/>
      <c r="D143" s="158"/>
      <c r="E143" s="158"/>
      <c r="F143" s="15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8" customHeight="1" x14ac:dyDescent="0.3">
      <c r="A144" s="131"/>
      <c r="B144" s="131"/>
      <c r="C144" s="157"/>
      <c r="D144" s="158"/>
      <c r="E144" s="158"/>
      <c r="F144" s="15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8" customHeight="1" x14ac:dyDescent="0.3">
      <c r="A145" s="131"/>
      <c r="B145" s="131"/>
      <c r="C145" s="157"/>
      <c r="D145" s="158"/>
      <c r="E145" s="158"/>
      <c r="F145" s="15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8" customHeight="1" x14ac:dyDescent="0.3">
      <c r="A146" s="131"/>
      <c r="B146" s="131"/>
      <c r="C146" s="157"/>
      <c r="D146" s="158"/>
      <c r="E146" s="158"/>
      <c r="F146" s="15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8" customHeight="1" x14ac:dyDescent="0.3">
      <c r="A147" s="131"/>
      <c r="B147" s="131"/>
      <c r="C147" s="157"/>
      <c r="D147" s="158"/>
      <c r="E147" s="158"/>
      <c r="F147" s="15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8" customHeight="1" x14ac:dyDescent="0.3">
      <c r="A148" s="131"/>
      <c r="B148" s="131"/>
      <c r="C148" s="157"/>
      <c r="D148" s="158"/>
      <c r="E148" s="158"/>
      <c r="F148" s="15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8" customHeight="1" x14ac:dyDescent="0.3">
      <c r="A149" s="131"/>
      <c r="B149" s="131"/>
      <c r="C149" s="157"/>
      <c r="D149" s="158"/>
      <c r="E149" s="158"/>
      <c r="F149" s="15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8" customHeight="1" x14ac:dyDescent="0.3">
      <c r="A150" s="131"/>
      <c r="B150" s="131"/>
      <c r="C150" s="157"/>
      <c r="D150" s="158"/>
      <c r="E150" s="158"/>
      <c r="F150" s="15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8" customHeight="1" x14ac:dyDescent="0.3">
      <c r="A151" s="131"/>
      <c r="B151" s="131"/>
      <c r="C151" s="157"/>
      <c r="D151" s="158"/>
      <c r="E151" s="158"/>
      <c r="F151" s="15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8" customHeight="1" x14ac:dyDescent="0.3">
      <c r="A152" s="131"/>
      <c r="B152" s="131"/>
      <c r="C152" s="157"/>
      <c r="D152" s="158"/>
      <c r="E152" s="158"/>
      <c r="F152" s="15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8" customHeight="1" x14ac:dyDescent="0.3">
      <c r="A153" s="131"/>
      <c r="B153" s="131"/>
      <c r="C153" s="157"/>
      <c r="D153" s="158"/>
      <c r="E153" s="158"/>
      <c r="F153" s="15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8" customHeight="1" x14ac:dyDescent="0.3">
      <c r="A154" s="131"/>
      <c r="B154" s="131"/>
      <c r="C154" s="157"/>
      <c r="D154" s="158"/>
      <c r="E154" s="158"/>
      <c r="F154" s="15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8" customHeight="1" x14ac:dyDescent="0.3">
      <c r="A155" s="131"/>
      <c r="B155" s="131"/>
      <c r="C155" s="157"/>
      <c r="D155" s="158"/>
      <c r="E155" s="158"/>
      <c r="F155" s="15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8" customHeight="1" x14ac:dyDescent="0.3">
      <c r="A156" s="131"/>
      <c r="B156" s="131"/>
      <c r="C156" s="157"/>
      <c r="D156" s="158"/>
      <c r="E156" s="158"/>
      <c r="F156" s="15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8" customHeight="1" x14ac:dyDescent="0.3">
      <c r="A157" s="131"/>
      <c r="B157" s="131"/>
      <c r="C157" s="157"/>
      <c r="D157" s="158"/>
      <c r="E157" s="158"/>
      <c r="F157" s="15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8" customHeight="1" x14ac:dyDescent="0.3">
      <c r="A158" s="131"/>
      <c r="B158" s="131"/>
      <c r="C158" s="157"/>
      <c r="D158" s="158"/>
      <c r="E158" s="158"/>
      <c r="F158" s="15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8" customHeight="1" x14ac:dyDescent="0.3">
      <c r="A159" s="131"/>
      <c r="B159" s="131"/>
      <c r="C159" s="157"/>
      <c r="D159" s="158"/>
      <c r="E159" s="158"/>
      <c r="F159" s="15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8" customHeight="1" x14ac:dyDescent="0.3">
      <c r="A160" s="131"/>
      <c r="B160" s="131"/>
      <c r="C160" s="157"/>
      <c r="D160" s="158"/>
      <c r="E160" s="158"/>
      <c r="F160" s="15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8" customHeight="1" x14ac:dyDescent="0.3">
      <c r="A161" s="131"/>
      <c r="B161" s="131"/>
      <c r="C161" s="157"/>
      <c r="D161" s="158"/>
      <c r="E161" s="158"/>
      <c r="F161" s="15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8" customHeight="1" x14ac:dyDescent="0.3">
      <c r="A162" s="131"/>
      <c r="B162" s="131"/>
      <c r="C162" s="157"/>
      <c r="D162" s="158"/>
      <c r="E162" s="158"/>
      <c r="F162" s="15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8" customHeight="1" x14ac:dyDescent="0.3">
      <c r="A163" s="131"/>
      <c r="B163" s="131"/>
      <c r="C163" s="157"/>
      <c r="D163" s="158"/>
      <c r="E163" s="158"/>
      <c r="F163" s="15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8" customHeight="1" x14ac:dyDescent="0.3">
      <c r="A164" s="131"/>
      <c r="B164" s="131"/>
      <c r="C164" s="157"/>
      <c r="D164" s="158"/>
      <c r="E164" s="158"/>
      <c r="F164" s="15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8" customHeight="1" x14ac:dyDescent="0.3">
      <c r="A165" s="131"/>
      <c r="B165" s="131"/>
      <c r="C165" s="157"/>
      <c r="D165" s="158"/>
      <c r="E165" s="158"/>
      <c r="F165" s="15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8" customHeight="1" x14ac:dyDescent="0.3">
      <c r="A166" s="131"/>
      <c r="B166" s="131"/>
      <c r="C166" s="157"/>
      <c r="D166" s="158"/>
      <c r="E166" s="158"/>
      <c r="F166" s="15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8" customHeight="1" x14ac:dyDescent="0.3">
      <c r="A167" s="131"/>
      <c r="B167" s="131"/>
      <c r="C167" s="157"/>
      <c r="D167" s="158"/>
      <c r="E167" s="158"/>
      <c r="F167" s="15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8" customHeight="1" x14ac:dyDescent="0.3">
      <c r="A168" s="131"/>
      <c r="B168" s="131"/>
      <c r="C168" s="157"/>
      <c r="D168" s="158"/>
      <c r="E168" s="158"/>
      <c r="F168" s="15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8" customHeight="1" x14ac:dyDescent="0.3">
      <c r="A169" s="131"/>
      <c r="B169" s="131"/>
      <c r="C169" s="157"/>
      <c r="D169" s="158"/>
      <c r="E169" s="158"/>
      <c r="F169" s="15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8" customHeight="1" x14ac:dyDescent="0.3">
      <c r="A170" s="131"/>
      <c r="B170" s="131"/>
      <c r="C170" s="157"/>
      <c r="D170" s="158"/>
      <c r="E170" s="158"/>
      <c r="F170" s="15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8" customHeight="1" x14ac:dyDescent="0.3">
      <c r="A171" s="131"/>
      <c r="B171" s="131"/>
      <c r="C171" s="157"/>
      <c r="D171" s="158"/>
      <c r="E171" s="158"/>
      <c r="F171" s="15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8" customHeight="1" x14ac:dyDescent="0.3">
      <c r="A172" s="131"/>
      <c r="B172" s="131"/>
      <c r="C172" s="157"/>
      <c r="D172" s="158"/>
      <c r="E172" s="158"/>
      <c r="F172" s="15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8" customHeight="1" x14ac:dyDescent="0.3">
      <c r="A173" s="131"/>
      <c r="B173" s="131"/>
      <c r="C173" s="157"/>
      <c r="D173" s="158"/>
      <c r="E173" s="158"/>
      <c r="F173" s="15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8" customHeight="1" x14ac:dyDescent="0.3">
      <c r="A174" s="131"/>
      <c r="B174" s="131"/>
      <c r="C174" s="157"/>
      <c r="D174" s="158"/>
      <c r="E174" s="158"/>
      <c r="F174" s="15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8" customHeight="1" x14ac:dyDescent="0.3">
      <c r="A175" s="131"/>
      <c r="B175" s="131"/>
      <c r="C175" s="157"/>
      <c r="D175" s="158"/>
      <c r="E175" s="158"/>
      <c r="F175" s="15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8" customHeight="1" x14ac:dyDescent="0.3">
      <c r="A176" s="131"/>
      <c r="B176" s="131"/>
      <c r="C176" s="157"/>
      <c r="D176" s="158"/>
      <c r="E176" s="158"/>
      <c r="F176" s="15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8" customHeight="1" x14ac:dyDescent="0.3">
      <c r="A177" s="131"/>
      <c r="B177" s="131"/>
      <c r="C177" s="157"/>
      <c r="D177" s="158"/>
      <c r="E177" s="158"/>
      <c r="F177" s="15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8" customHeight="1" x14ac:dyDescent="0.3">
      <c r="A178" s="131"/>
      <c r="B178" s="131"/>
      <c r="C178" s="157"/>
      <c r="D178" s="158"/>
      <c r="E178" s="158"/>
      <c r="F178" s="15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8" customHeight="1" x14ac:dyDescent="0.3">
      <c r="A179" s="131"/>
      <c r="B179" s="131"/>
      <c r="C179" s="157"/>
      <c r="D179" s="158"/>
      <c r="E179" s="158"/>
      <c r="F179" s="15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8" customHeight="1" x14ac:dyDescent="0.3">
      <c r="A180" s="131"/>
      <c r="B180" s="131"/>
      <c r="C180" s="157"/>
      <c r="D180" s="158"/>
      <c r="E180" s="158"/>
      <c r="F180" s="15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8" customHeight="1" x14ac:dyDescent="0.3">
      <c r="A181" s="131"/>
      <c r="B181" s="131"/>
      <c r="C181" s="157"/>
      <c r="D181" s="158"/>
      <c r="E181" s="158"/>
      <c r="F181" s="15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8" customHeight="1" x14ac:dyDescent="0.3">
      <c r="A182" s="131"/>
      <c r="B182" s="131"/>
      <c r="C182" s="157"/>
      <c r="D182" s="158"/>
      <c r="E182" s="158"/>
      <c r="F182" s="15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8" customHeight="1" x14ac:dyDescent="0.3">
      <c r="A183" s="131"/>
      <c r="B183" s="131"/>
      <c r="C183" s="157"/>
      <c r="D183" s="158"/>
      <c r="E183" s="158"/>
      <c r="F183" s="15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8" customHeight="1" x14ac:dyDescent="0.3">
      <c r="A184" s="131"/>
      <c r="B184" s="131"/>
      <c r="C184" s="157"/>
      <c r="D184" s="158"/>
      <c r="E184" s="158"/>
      <c r="F184" s="15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8" customHeight="1" x14ac:dyDescent="0.3">
      <c r="A185" s="131"/>
      <c r="B185" s="131"/>
      <c r="C185" s="157"/>
      <c r="D185" s="158"/>
      <c r="E185" s="158"/>
      <c r="F185" s="15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8" customHeight="1" x14ac:dyDescent="0.3">
      <c r="A186" s="131"/>
      <c r="B186" s="131"/>
      <c r="C186" s="157"/>
      <c r="D186" s="158"/>
      <c r="E186" s="158"/>
      <c r="F186" s="15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8" customHeight="1" x14ac:dyDescent="0.3">
      <c r="A187" s="131"/>
      <c r="B187" s="131"/>
      <c r="C187" s="157"/>
      <c r="D187" s="158"/>
      <c r="E187" s="158"/>
      <c r="F187" s="15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8" customHeight="1" x14ac:dyDescent="0.3">
      <c r="A188" s="131"/>
      <c r="B188" s="131"/>
      <c r="C188" s="157"/>
      <c r="D188" s="158"/>
      <c r="E188" s="158"/>
      <c r="F188" s="15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8" customHeight="1" x14ac:dyDescent="0.3">
      <c r="A189" s="131"/>
      <c r="B189" s="131"/>
      <c r="C189" s="157"/>
      <c r="D189" s="158"/>
      <c r="E189" s="158"/>
      <c r="F189" s="15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8" customHeight="1" x14ac:dyDescent="0.3">
      <c r="A190" s="131"/>
      <c r="B190" s="131"/>
      <c r="C190" s="157"/>
      <c r="D190" s="158"/>
      <c r="E190" s="158"/>
      <c r="F190" s="15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8" customHeight="1" x14ac:dyDescent="0.3">
      <c r="A191" s="131"/>
      <c r="B191" s="131"/>
      <c r="C191" s="157"/>
      <c r="D191" s="158"/>
      <c r="E191" s="158"/>
      <c r="F191" s="15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8" customHeight="1" x14ac:dyDescent="0.3">
      <c r="A192" s="131"/>
      <c r="B192" s="131"/>
      <c r="C192" s="157"/>
      <c r="D192" s="158"/>
      <c r="E192" s="158"/>
      <c r="F192" s="15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8" customHeight="1" x14ac:dyDescent="0.3">
      <c r="A193" s="131"/>
      <c r="B193" s="131"/>
      <c r="C193" s="157"/>
      <c r="D193" s="158"/>
      <c r="E193" s="158"/>
      <c r="F193" s="15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8" customHeight="1" x14ac:dyDescent="0.3">
      <c r="A194" s="131"/>
      <c r="B194" s="131"/>
      <c r="C194" s="157"/>
      <c r="D194" s="158"/>
      <c r="E194" s="158"/>
      <c r="F194" s="15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8" customHeight="1" x14ac:dyDescent="0.3">
      <c r="A195" s="131"/>
      <c r="B195" s="131"/>
      <c r="C195" s="157"/>
      <c r="D195" s="158"/>
      <c r="E195" s="158"/>
      <c r="F195" s="15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8" customHeight="1" x14ac:dyDescent="0.3">
      <c r="A196" s="131"/>
      <c r="B196" s="131"/>
      <c r="C196" s="157"/>
      <c r="D196" s="158"/>
      <c r="E196" s="158"/>
      <c r="F196" s="15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8" customHeight="1" x14ac:dyDescent="0.3">
      <c r="A197" s="131"/>
      <c r="B197" s="131"/>
      <c r="C197" s="157"/>
      <c r="D197" s="158"/>
      <c r="E197" s="158"/>
      <c r="F197" s="15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8" customHeight="1" x14ac:dyDescent="0.3">
      <c r="A198" s="131"/>
      <c r="B198" s="131"/>
      <c r="C198" s="157"/>
      <c r="D198" s="158"/>
      <c r="E198" s="158"/>
      <c r="F198" s="15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131"/>
      <c r="B199" s="131"/>
      <c r="C199" s="157"/>
      <c r="D199" s="158"/>
      <c r="E199" s="158"/>
      <c r="F199" s="15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131"/>
      <c r="B200" s="131"/>
      <c r="C200" s="157"/>
      <c r="D200" s="158"/>
      <c r="E200" s="158"/>
      <c r="F200" s="15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131"/>
      <c r="B201" s="131"/>
      <c r="C201" s="157"/>
      <c r="D201" s="158"/>
      <c r="E201" s="158"/>
      <c r="F201" s="15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131"/>
      <c r="B202" s="131"/>
      <c r="C202" s="157"/>
      <c r="D202" s="158"/>
      <c r="E202" s="158"/>
      <c r="F202" s="15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131"/>
      <c r="B203" s="131"/>
      <c r="C203" s="157"/>
      <c r="D203" s="158"/>
      <c r="E203" s="158"/>
      <c r="F203" s="15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131"/>
      <c r="B204" s="131"/>
      <c r="C204" s="157"/>
      <c r="D204" s="158"/>
      <c r="E204" s="158"/>
      <c r="F204" s="15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131"/>
      <c r="B205" s="131"/>
      <c r="C205" s="157"/>
      <c r="D205" s="158"/>
      <c r="E205" s="158"/>
      <c r="F205" s="15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131"/>
      <c r="B206" s="131"/>
      <c r="C206" s="157"/>
      <c r="D206" s="158"/>
      <c r="E206" s="158"/>
      <c r="F206" s="15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131"/>
      <c r="B207" s="131"/>
      <c r="C207" s="157"/>
      <c r="D207" s="158"/>
      <c r="E207" s="158"/>
      <c r="F207" s="15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131"/>
      <c r="B208" s="131"/>
      <c r="C208" s="157"/>
      <c r="D208" s="158"/>
      <c r="E208" s="158"/>
      <c r="F208" s="15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131"/>
      <c r="B209" s="131"/>
      <c r="C209" s="157"/>
      <c r="D209" s="158"/>
      <c r="E209" s="158"/>
      <c r="F209" s="15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131"/>
      <c r="B210" s="131"/>
      <c r="C210" s="157"/>
      <c r="D210" s="158"/>
      <c r="E210" s="158"/>
      <c r="F210" s="15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131"/>
      <c r="B211" s="131"/>
      <c r="C211" s="157"/>
      <c r="D211" s="158"/>
      <c r="E211" s="158"/>
      <c r="F211" s="15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131"/>
      <c r="B212" s="131"/>
      <c r="C212" s="157"/>
      <c r="D212" s="158"/>
      <c r="E212" s="158"/>
      <c r="F212" s="15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131"/>
      <c r="B213" s="131"/>
      <c r="C213" s="157"/>
      <c r="D213" s="158"/>
      <c r="E213" s="158"/>
      <c r="F213" s="15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131"/>
      <c r="B214" s="131"/>
      <c r="C214" s="157"/>
      <c r="D214" s="158"/>
      <c r="E214" s="158"/>
      <c r="F214" s="15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131"/>
      <c r="B215" s="131"/>
      <c r="C215" s="157"/>
      <c r="D215" s="158"/>
      <c r="E215" s="158"/>
      <c r="F215" s="15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131"/>
      <c r="B216" s="131"/>
      <c r="C216" s="157"/>
      <c r="D216" s="158"/>
      <c r="E216" s="158"/>
      <c r="F216" s="15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131"/>
      <c r="B217" s="131"/>
      <c r="C217" s="157"/>
      <c r="D217" s="158"/>
      <c r="E217" s="158"/>
      <c r="F217" s="15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131"/>
      <c r="B218" s="131"/>
      <c r="C218" s="157"/>
      <c r="D218" s="158"/>
      <c r="E218" s="158"/>
      <c r="F218" s="15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131"/>
      <c r="B219" s="131"/>
      <c r="C219" s="157"/>
      <c r="D219" s="158"/>
      <c r="E219" s="158"/>
      <c r="F219" s="15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131"/>
      <c r="B220" s="131"/>
      <c r="C220" s="157"/>
      <c r="D220" s="158"/>
      <c r="E220" s="158"/>
      <c r="F220" s="15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131"/>
      <c r="B221" s="131"/>
      <c r="C221" s="157"/>
      <c r="D221" s="158"/>
      <c r="E221" s="158"/>
      <c r="F221" s="15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131"/>
      <c r="B222" s="131"/>
      <c r="C222" s="157"/>
      <c r="D222" s="158"/>
      <c r="E222" s="158"/>
      <c r="F222" s="15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131"/>
      <c r="B223" s="131"/>
      <c r="C223" s="157"/>
      <c r="D223" s="158"/>
      <c r="E223" s="158"/>
      <c r="F223" s="15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131"/>
      <c r="B224" s="131"/>
      <c r="C224" s="157"/>
      <c r="D224" s="158"/>
      <c r="E224" s="158"/>
      <c r="F224" s="15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131"/>
      <c r="B225" s="131"/>
      <c r="C225" s="157"/>
      <c r="D225" s="158"/>
      <c r="E225" s="158"/>
      <c r="F225" s="15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131"/>
      <c r="B226" s="131"/>
      <c r="C226" s="157"/>
      <c r="D226" s="158"/>
      <c r="E226" s="158"/>
      <c r="F226" s="15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131"/>
      <c r="B227" s="131"/>
      <c r="C227" s="157"/>
      <c r="D227" s="158"/>
      <c r="E227" s="158"/>
      <c r="F227" s="15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131"/>
      <c r="B228" s="131"/>
      <c r="C228" s="157"/>
      <c r="D228" s="158"/>
      <c r="E228" s="158"/>
      <c r="F228" s="15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131"/>
      <c r="B229" s="131"/>
      <c r="C229" s="157"/>
      <c r="D229" s="158"/>
      <c r="E229" s="158"/>
      <c r="F229" s="15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131"/>
      <c r="B230" s="131"/>
      <c r="C230" s="157"/>
      <c r="D230" s="158"/>
      <c r="E230" s="158"/>
      <c r="F230" s="15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131"/>
      <c r="B231" s="131"/>
      <c r="C231" s="157"/>
      <c r="D231" s="158"/>
      <c r="E231" s="158"/>
      <c r="F231" s="15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131"/>
      <c r="B232" s="131"/>
      <c r="C232" s="157"/>
      <c r="D232" s="158"/>
      <c r="E232" s="158"/>
      <c r="F232" s="15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131"/>
      <c r="B233" s="131"/>
      <c r="C233" s="157"/>
      <c r="D233" s="158"/>
      <c r="E233" s="158"/>
      <c r="F233" s="15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131"/>
      <c r="B234" s="131"/>
      <c r="C234" s="157"/>
      <c r="D234" s="158"/>
      <c r="E234" s="158"/>
      <c r="F234" s="15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131"/>
      <c r="B235" s="131"/>
      <c r="C235" s="157"/>
      <c r="D235" s="158"/>
      <c r="E235" s="158"/>
      <c r="F235" s="15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131"/>
      <c r="B236" s="131"/>
      <c r="C236" s="157"/>
      <c r="D236" s="158"/>
      <c r="E236" s="158"/>
      <c r="F236" s="15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131"/>
      <c r="B237" s="131"/>
      <c r="C237" s="157"/>
      <c r="D237" s="158"/>
      <c r="E237" s="158"/>
      <c r="F237" s="15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131"/>
      <c r="B238" s="131"/>
      <c r="C238" s="157"/>
      <c r="D238" s="158"/>
      <c r="E238" s="158"/>
      <c r="F238" s="15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131"/>
      <c r="B239" s="131"/>
      <c r="C239" s="157"/>
      <c r="D239" s="158"/>
      <c r="E239" s="158"/>
      <c r="F239" s="15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131"/>
      <c r="B240" s="131"/>
      <c r="C240" s="157"/>
      <c r="D240" s="158"/>
      <c r="E240" s="158"/>
      <c r="F240" s="15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131"/>
      <c r="B241" s="131"/>
      <c r="C241" s="157"/>
      <c r="D241" s="158"/>
      <c r="E241" s="158"/>
      <c r="F241" s="15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131"/>
      <c r="B242" s="131"/>
      <c r="C242" s="157"/>
      <c r="D242" s="158"/>
      <c r="E242" s="158"/>
      <c r="F242" s="15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131"/>
      <c r="B243" s="131"/>
      <c r="C243" s="157"/>
      <c r="D243" s="158"/>
      <c r="E243" s="158"/>
      <c r="F243" s="15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131"/>
      <c r="B244" s="131"/>
      <c r="C244" s="157"/>
      <c r="D244" s="158"/>
      <c r="E244" s="158"/>
      <c r="F244" s="15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131"/>
      <c r="B245" s="131"/>
      <c r="C245" s="157"/>
      <c r="D245" s="158"/>
      <c r="E245" s="158"/>
      <c r="F245" s="15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131"/>
      <c r="B246" s="131"/>
      <c r="C246" s="157"/>
      <c r="D246" s="158"/>
      <c r="E246" s="158"/>
      <c r="F246" s="15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131"/>
      <c r="B247" s="131"/>
      <c r="C247" s="157"/>
      <c r="D247" s="158"/>
      <c r="E247" s="158"/>
      <c r="F247" s="15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131"/>
      <c r="B248" s="131"/>
      <c r="C248" s="157"/>
      <c r="D248" s="158"/>
      <c r="E248" s="158"/>
      <c r="F248" s="15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131"/>
      <c r="B249" s="131"/>
      <c r="C249" s="157"/>
      <c r="D249" s="158"/>
      <c r="E249" s="158"/>
      <c r="F249" s="15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131"/>
      <c r="B250" s="131"/>
      <c r="C250" s="157"/>
      <c r="D250" s="158"/>
      <c r="E250" s="158"/>
      <c r="F250" s="15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131"/>
      <c r="B251" s="131"/>
      <c r="C251" s="157"/>
      <c r="D251" s="158"/>
      <c r="E251" s="158"/>
      <c r="F251" s="15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131"/>
      <c r="B252" s="131"/>
      <c r="C252" s="157"/>
      <c r="D252" s="158"/>
      <c r="E252" s="158"/>
      <c r="F252" s="15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131"/>
      <c r="B253" s="131"/>
      <c r="C253" s="157"/>
      <c r="D253" s="158"/>
      <c r="E253" s="158"/>
      <c r="F253" s="15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131"/>
      <c r="B254" s="131"/>
      <c r="C254" s="157"/>
      <c r="D254" s="158"/>
      <c r="E254" s="158"/>
      <c r="F254" s="15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131"/>
      <c r="B255" s="131"/>
      <c r="C255" s="157"/>
      <c r="D255" s="158"/>
      <c r="E255" s="158"/>
      <c r="F255" s="15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131"/>
      <c r="B256" s="131"/>
      <c r="C256" s="157"/>
      <c r="D256" s="158"/>
      <c r="E256" s="158"/>
      <c r="F256" s="15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131"/>
      <c r="B257" s="131"/>
      <c r="C257" s="157"/>
      <c r="D257" s="158"/>
      <c r="E257" s="158"/>
      <c r="F257" s="15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131"/>
      <c r="B258" s="131"/>
      <c r="C258" s="157"/>
      <c r="D258" s="158"/>
      <c r="E258" s="158"/>
      <c r="F258" s="15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131"/>
      <c r="B259" s="131"/>
      <c r="C259" s="157"/>
      <c r="D259" s="158"/>
      <c r="E259" s="158"/>
      <c r="F259" s="15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131"/>
      <c r="B260" s="131"/>
      <c r="C260" s="157"/>
      <c r="D260" s="158"/>
      <c r="E260" s="158"/>
      <c r="F260" s="15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131"/>
      <c r="B261" s="131"/>
      <c r="C261" s="157"/>
      <c r="D261" s="158"/>
      <c r="E261" s="158"/>
      <c r="F261" s="15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131"/>
      <c r="B262" s="131"/>
      <c r="C262" s="157"/>
      <c r="D262" s="158"/>
      <c r="E262" s="158"/>
      <c r="F262" s="15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131"/>
      <c r="B263" s="131"/>
      <c r="C263" s="157"/>
      <c r="D263" s="158"/>
      <c r="E263" s="158"/>
      <c r="F263" s="15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131"/>
      <c r="B264" s="131"/>
      <c r="C264" s="157"/>
      <c r="D264" s="158"/>
      <c r="E264" s="158"/>
      <c r="F264" s="15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131"/>
      <c r="B265" s="131"/>
      <c r="C265" s="157"/>
      <c r="D265" s="158"/>
      <c r="E265" s="158"/>
      <c r="F265" s="15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131"/>
      <c r="B266" s="131"/>
      <c r="C266" s="157"/>
      <c r="D266" s="158"/>
      <c r="E266" s="158"/>
      <c r="F266" s="15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131"/>
      <c r="B267" s="131"/>
      <c r="C267" s="157"/>
      <c r="D267" s="158"/>
      <c r="E267" s="158"/>
      <c r="F267" s="15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131"/>
      <c r="B268" s="131"/>
      <c r="C268" s="157"/>
      <c r="D268" s="158"/>
      <c r="E268" s="158"/>
      <c r="F268" s="15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131"/>
      <c r="B269" s="131"/>
      <c r="C269" s="157"/>
      <c r="D269" s="158"/>
      <c r="E269" s="158"/>
      <c r="F269" s="15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131"/>
      <c r="B270" s="131"/>
      <c r="C270" s="157"/>
      <c r="D270" s="158"/>
      <c r="E270" s="158"/>
      <c r="F270" s="15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131"/>
      <c r="B271" s="131"/>
      <c r="C271" s="157"/>
      <c r="D271" s="158"/>
      <c r="E271" s="158"/>
      <c r="F271" s="15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131"/>
      <c r="B272" s="131"/>
      <c r="C272" s="157"/>
      <c r="D272" s="158"/>
      <c r="E272" s="158"/>
      <c r="F272" s="15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131"/>
      <c r="B273" s="131"/>
      <c r="C273" s="157"/>
      <c r="D273" s="158"/>
      <c r="E273" s="158"/>
      <c r="F273" s="15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131"/>
      <c r="B274" s="131"/>
      <c r="C274" s="157"/>
      <c r="D274" s="158"/>
      <c r="E274" s="158"/>
      <c r="F274" s="15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131"/>
      <c r="B275" s="131"/>
      <c r="C275" s="157"/>
      <c r="D275" s="158"/>
      <c r="E275" s="158"/>
      <c r="F275" s="15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131"/>
      <c r="B276" s="131"/>
      <c r="C276" s="157"/>
      <c r="D276" s="158"/>
      <c r="E276" s="158"/>
      <c r="F276" s="15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131"/>
      <c r="B277" s="131"/>
      <c r="C277" s="157"/>
      <c r="D277" s="158"/>
      <c r="E277" s="158"/>
      <c r="F277" s="15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131"/>
      <c r="B278" s="131"/>
      <c r="C278" s="157"/>
      <c r="D278" s="158"/>
      <c r="E278" s="158"/>
      <c r="F278" s="15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131"/>
      <c r="B279" s="131"/>
      <c r="C279" s="157"/>
      <c r="D279" s="158"/>
      <c r="E279" s="158"/>
      <c r="F279" s="15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131"/>
      <c r="B280" s="131"/>
      <c r="C280" s="157"/>
      <c r="D280" s="158"/>
      <c r="E280" s="158"/>
      <c r="F280" s="15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131"/>
      <c r="B281" s="131"/>
      <c r="C281" s="157"/>
      <c r="D281" s="158"/>
      <c r="E281" s="158"/>
      <c r="F281" s="15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131"/>
      <c r="B282" s="131"/>
      <c r="C282" s="157"/>
      <c r="D282" s="158"/>
      <c r="E282" s="158"/>
      <c r="F282" s="15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131"/>
      <c r="B283" s="131"/>
      <c r="C283" s="157"/>
      <c r="D283" s="158"/>
      <c r="E283" s="158"/>
      <c r="F283" s="15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131"/>
      <c r="B284" s="131"/>
      <c r="C284" s="157"/>
      <c r="D284" s="158"/>
      <c r="E284" s="158"/>
      <c r="F284" s="15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131"/>
      <c r="B285" s="131"/>
      <c r="C285" s="157"/>
      <c r="D285" s="158"/>
      <c r="E285" s="158"/>
      <c r="F285" s="15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131"/>
      <c r="B286" s="131"/>
      <c r="C286" s="157"/>
      <c r="D286" s="158"/>
      <c r="E286" s="158"/>
      <c r="F286" s="15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131"/>
      <c r="B287" s="131"/>
      <c r="C287" s="157"/>
      <c r="D287" s="158"/>
      <c r="E287" s="158"/>
      <c r="F287" s="15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131"/>
      <c r="B288" s="131"/>
      <c r="C288" s="157"/>
      <c r="D288" s="158"/>
      <c r="E288" s="158"/>
      <c r="F288" s="15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131"/>
      <c r="B289" s="131"/>
      <c r="C289" s="157"/>
      <c r="D289" s="158"/>
      <c r="E289" s="158"/>
      <c r="F289" s="15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131"/>
      <c r="B290" s="131"/>
      <c r="C290" s="157"/>
      <c r="D290" s="158"/>
      <c r="E290" s="158"/>
      <c r="F290" s="15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131"/>
      <c r="B291" s="131"/>
      <c r="C291" s="157"/>
      <c r="D291" s="158"/>
      <c r="E291" s="158"/>
      <c r="F291" s="15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131"/>
      <c r="B292" s="131"/>
      <c r="C292" s="157"/>
      <c r="D292" s="158"/>
      <c r="E292" s="158"/>
      <c r="F292" s="15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131"/>
      <c r="B293" s="131"/>
      <c r="C293" s="157"/>
      <c r="D293" s="158"/>
      <c r="E293" s="158"/>
      <c r="F293" s="15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131"/>
      <c r="B294" s="131"/>
      <c r="C294" s="157"/>
      <c r="D294" s="158"/>
      <c r="E294" s="158"/>
      <c r="F294" s="15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131"/>
      <c r="B295" s="131"/>
      <c r="C295" s="157"/>
      <c r="D295" s="158"/>
      <c r="E295" s="158"/>
      <c r="F295" s="15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131"/>
      <c r="B296" s="131"/>
      <c r="C296" s="157"/>
      <c r="D296" s="158"/>
      <c r="E296" s="158"/>
      <c r="F296" s="15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131"/>
      <c r="B297" s="131"/>
      <c r="C297" s="157"/>
      <c r="D297" s="158"/>
      <c r="E297" s="158"/>
      <c r="F297" s="15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131"/>
      <c r="B298" s="131"/>
      <c r="C298" s="157"/>
      <c r="D298" s="158"/>
      <c r="E298" s="158"/>
      <c r="F298" s="15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131"/>
      <c r="B299" s="131"/>
      <c r="C299" s="157"/>
      <c r="D299" s="158"/>
      <c r="E299" s="158"/>
      <c r="F299" s="15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131"/>
      <c r="B300" s="131"/>
      <c r="C300" s="157"/>
      <c r="D300" s="158"/>
      <c r="E300" s="158"/>
      <c r="F300" s="15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131"/>
      <c r="B301" s="131"/>
      <c r="C301" s="157"/>
      <c r="D301" s="158"/>
      <c r="E301" s="158"/>
      <c r="F301" s="15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131"/>
      <c r="B302" s="131"/>
      <c r="C302" s="157"/>
      <c r="D302" s="158"/>
      <c r="E302" s="158"/>
      <c r="F302" s="15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131"/>
      <c r="B303" s="131"/>
      <c r="C303" s="157"/>
      <c r="D303" s="158"/>
      <c r="E303" s="158"/>
      <c r="F303" s="15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131"/>
      <c r="B304" s="131"/>
      <c r="C304" s="157"/>
      <c r="D304" s="158"/>
      <c r="E304" s="158"/>
      <c r="F304" s="15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131"/>
      <c r="B305" s="131"/>
      <c r="C305" s="157"/>
      <c r="D305" s="158"/>
      <c r="E305" s="158"/>
      <c r="F305" s="15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131"/>
      <c r="B306" s="131"/>
      <c r="C306" s="157"/>
      <c r="D306" s="158"/>
      <c r="E306" s="158"/>
      <c r="F306" s="15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131"/>
      <c r="B307" s="131"/>
      <c r="C307" s="157"/>
      <c r="D307" s="158"/>
      <c r="E307" s="158"/>
      <c r="F307" s="15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131"/>
      <c r="B308" s="131"/>
      <c r="C308" s="157"/>
      <c r="D308" s="158"/>
      <c r="E308" s="158"/>
      <c r="F308" s="15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131"/>
      <c r="B309" s="131"/>
      <c r="C309" s="157"/>
      <c r="D309" s="158"/>
      <c r="E309" s="158"/>
      <c r="F309" s="15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131"/>
      <c r="B310" s="131"/>
      <c r="C310" s="157"/>
      <c r="D310" s="158"/>
      <c r="E310" s="158"/>
      <c r="F310" s="15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131"/>
      <c r="B311" s="131"/>
      <c r="C311" s="157"/>
      <c r="D311" s="158"/>
      <c r="E311" s="158"/>
      <c r="F311" s="15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131"/>
      <c r="B312" s="131"/>
      <c r="C312" s="157"/>
      <c r="D312" s="158"/>
      <c r="E312" s="158"/>
      <c r="F312" s="15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131"/>
      <c r="B313" s="131"/>
      <c r="C313" s="157"/>
      <c r="D313" s="158"/>
      <c r="E313" s="158"/>
      <c r="F313" s="15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131"/>
      <c r="B314" s="131"/>
      <c r="C314" s="157"/>
      <c r="D314" s="158"/>
      <c r="E314" s="158"/>
      <c r="F314" s="15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131"/>
      <c r="B315" s="131"/>
      <c r="C315" s="157"/>
      <c r="D315" s="158"/>
      <c r="E315" s="158"/>
      <c r="F315" s="15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131"/>
      <c r="B316" s="131"/>
      <c r="C316" s="157"/>
      <c r="D316" s="158"/>
      <c r="E316" s="158"/>
      <c r="F316" s="15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131"/>
      <c r="B317" s="131"/>
      <c r="C317" s="157"/>
      <c r="D317" s="158"/>
      <c r="E317" s="158"/>
      <c r="F317" s="15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131"/>
      <c r="B318" s="131"/>
      <c r="C318" s="157"/>
      <c r="D318" s="158"/>
      <c r="E318" s="158"/>
      <c r="F318" s="15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131"/>
      <c r="B319" s="131"/>
      <c r="C319" s="157"/>
      <c r="D319" s="158"/>
      <c r="E319" s="158"/>
      <c r="F319" s="15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131"/>
      <c r="B320" s="131"/>
      <c r="C320" s="157"/>
      <c r="D320" s="158"/>
      <c r="E320" s="158"/>
      <c r="F320" s="15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131"/>
      <c r="B321" s="131"/>
      <c r="C321" s="157"/>
      <c r="D321" s="158"/>
      <c r="E321" s="158"/>
      <c r="F321" s="15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131"/>
      <c r="B322" s="131"/>
      <c r="C322" s="157"/>
      <c r="D322" s="158"/>
      <c r="E322" s="158"/>
      <c r="F322" s="15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131"/>
      <c r="B323" s="131"/>
      <c r="C323" s="157"/>
      <c r="D323" s="158"/>
      <c r="E323" s="158"/>
      <c r="F323" s="15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131"/>
      <c r="B324" s="131"/>
      <c r="C324" s="157"/>
      <c r="D324" s="158"/>
      <c r="E324" s="158"/>
      <c r="F324" s="15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131"/>
      <c r="B325" s="131"/>
      <c r="C325" s="157"/>
      <c r="D325" s="158"/>
      <c r="E325" s="158"/>
      <c r="F325" s="15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131"/>
      <c r="B326" s="131"/>
      <c r="C326" s="157"/>
      <c r="D326" s="158"/>
      <c r="E326" s="158"/>
      <c r="F326" s="15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131"/>
      <c r="B327" s="131"/>
      <c r="C327" s="157"/>
      <c r="D327" s="158"/>
      <c r="E327" s="158"/>
      <c r="F327" s="15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131"/>
      <c r="B328" s="131"/>
      <c r="C328" s="157"/>
      <c r="D328" s="158"/>
      <c r="E328" s="158"/>
      <c r="F328" s="15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131"/>
      <c r="B329" s="131"/>
      <c r="C329" s="157"/>
      <c r="D329" s="158"/>
      <c r="E329" s="158"/>
      <c r="F329" s="15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131"/>
      <c r="B330" s="131"/>
      <c r="C330" s="157"/>
      <c r="D330" s="158"/>
      <c r="E330" s="158"/>
      <c r="F330" s="15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131"/>
      <c r="B331" s="131"/>
      <c r="C331" s="157"/>
      <c r="D331" s="158"/>
      <c r="E331" s="158"/>
      <c r="F331" s="15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131"/>
      <c r="B332" s="131"/>
      <c r="C332" s="157"/>
      <c r="D332" s="158"/>
      <c r="E332" s="158"/>
      <c r="F332" s="15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131"/>
      <c r="B333" s="131"/>
      <c r="C333" s="157"/>
      <c r="D333" s="158"/>
      <c r="E333" s="158"/>
      <c r="F333" s="15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131"/>
      <c r="B334" s="131"/>
      <c r="C334" s="157"/>
      <c r="D334" s="158"/>
      <c r="E334" s="158"/>
      <c r="F334" s="15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131"/>
      <c r="B335" s="131"/>
      <c r="C335" s="157"/>
      <c r="D335" s="158"/>
      <c r="E335" s="158"/>
      <c r="F335" s="15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131"/>
      <c r="B336" s="131"/>
      <c r="C336" s="157"/>
      <c r="D336" s="158"/>
      <c r="E336" s="158"/>
      <c r="F336" s="15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131"/>
      <c r="B337" s="131"/>
      <c r="C337" s="157"/>
      <c r="D337" s="158"/>
      <c r="E337" s="158"/>
      <c r="F337" s="15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131"/>
      <c r="B338" s="131"/>
      <c r="C338" s="157"/>
      <c r="D338" s="158"/>
      <c r="E338" s="158"/>
      <c r="F338" s="15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131"/>
      <c r="B339" s="131"/>
      <c r="C339" s="157"/>
      <c r="D339" s="158"/>
      <c r="E339" s="158"/>
      <c r="F339" s="15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131"/>
      <c r="B340" s="131"/>
      <c r="C340" s="157"/>
      <c r="D340" s="158"/>
      <c r="E340" s="158"/>
      <c r="F340" s="15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131"/>
      <c r="B341" s="131"/>
      <c r="C341" s="157"/>
      <c r="D341" s="158"/>
      <c r="E341" s="158"/>
      <c r="F341" s="15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131"/>
      <c r="B342" s="131"/>
      <c r="C342" s="157"/>
      <c r="D342" s="158"/>
      <c r="E342" s="158"/>
      <c r="F342" s="15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131"/>
      <c r="B343" s="131"/>
      <c r="C343" s="157"/>
      <c r="D343" s="158"/>
      <c r="E343" s="158"/>
      <c r="F343" s="15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131"/>
      <c r="B344" s="131"/>
      <c r="C344" s="157"/>
      <c r="D344" s="158"/>
      <c r="E344" s="158"/>
      <c r="F344" s="15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131"/>
      <c r="B345" s="131"/>
      <c r="C345" s="157"/>
      <c r="D345" s="158"/>
      <c r="E345" s="158"/>
      <c r="F345" s="15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131"/>
      <c r="B346" s="131"/>
      <c r="C346" s="157"/>
      <c r="D346" s="158"/>
      <c r="E346" s="158"/>
      <c r="F346" s="15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131"/>
      <c r="B347" s="131"/>
      <c r="C347" s="157"/>
      <c r="D347" s="158"/>
      <c r="E347" s="158"/>
      <c r="F347" s="15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131"/>
      <c r="B348" s="131"/>
      <c r="C348" s="157"/>
      <c r="D348" s="158"/>
      <c r="E348" s="158"/>
      <c r="F348" s="15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131"/>
      <c r="B349" s="131"/>
      <c r="C349" s="157"/>
      <c r="D349" s="158"/>
      <c r="E349" s="158"/>
      <c r="F349" s="15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131"/>
      <c r="B350" s="131"/>
      <c r="C350" s="157"/>
      <c r="D350" s="158"/>
      <c r="E350" s="158"/>
      <c r="F350" s="15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131"/>
      <c r="B351" s="131"/>
      <c r="C351" s="157"/>
      <c r="D351" s="158"/>
      <c r="E351" s="158"/>
      <c r="F351" s="15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131"/>
      <c r="B352" s="131"/>
      <c r="C352" s="157"/>
      <c r="D352" s="158"/>
      <c r="E352" s="158"/>
      <c r="F352" s="15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131"/>
      <c r="B353" s="131"/>
      <c r="C353" s="157"/>
      <c r="D353" s="158"/>
      <c r="E353" s="158"/>
      <c r="F353" s="15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131"/>
      <c r="B354" s="131"/>
      <c r="C354" s="157"/>
      <c r="D354" s="158"/>
      <c r="E354" s="158"/>
      <c r="F354" s="15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131"/>
      <c r="B355" s="131"/>
      <c r="C355" s="157"/>
      <c r="D355" s="158"/>
      <c r="E355" s="158"/>
      <c r="F355" s="15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131"/>
      <c r="B356" s="131"/>
      <c r="C356" s="157"/>
      <c r="D356" s="158"/>
      <c r="E356" s="158"/>
      <c r="F356" s="15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131"/>
      <c r="B357" s="131"/>
      <c r="C357" s="157"/>
      <c r="D357" s="158"/>
      <c r="E357" s="158"/>
      <c r="F357" s="15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131"/>
      <c r="B358" s="131"/>
      <c r="C358" s="157"/>
      <c r="D358" s="158"/>
      <c r="E358" s="158"/>
      <c r="F358" s="15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131"/>
      <c r="B359" s="131"/>
      <c r="C359" s="157"/>
      <c r="D359" s="158"/>
      <c r="E359" s="158"/>
      <c r="F359" s="15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131"/>
      <c r="B360" s="131"/>
      <c r="C360" s="157"/>
      <c r="D360" s="158"/>
      <c r="E360" s="158"/>
      <c r="F360" s="15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131"/>
      <c r="B361" s="131"/>
      <c r="C361" s="157"/>
      <c r="D361" s="158"/>
      <c r="E361" s="158"/>
      <c r="F361" s="15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131"/>
      <c r="B362" s="131"/>
      <c r="C362" s="157"/>
      <c r="D362" s="158"/>
      <c r="E362" s="158"/>
      <c r="F362" s="15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131"/>
      <c r="B363" s="131"/>
      <c r="C363" s="157"/>
      <c r="D363" s="158"/>
      <c r="E363" s="158"/>
      <c r="F363" s="15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131"/>
      <c r="B364" s="131"/>
      <c r="C364" s="157"/>
      <c r="D364" s="158"/>
      <c r="E364" s="158"/>
      <c r="F364" s="15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131"/>
      <c r="B365" s="131"/>
      <c r="C365" s="157"/>
      <c r="D365" s="158"/>
      <c r="E365" s="158"/>
      <c r="F365" s="15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131"/>
      <c r="B366" s="131"/>
      <c r="C366" s="157"/>
      <c r="D366" s="158"/>
      <c r="E366" s="158"/>
      <c r="F366" s="15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131"/>
      <c r="B367" s="131"/>
      <c r="C367" s="157"/>
      <c r="D367" s="158"/>
      <c r="E367" s="158"/>
      <c r="F367" s="15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131"/>
      <c r="B368" s="131"/>
      <c r="C368" s="157"/>
      <c r="D368" s="158"/>
      <c r="E368" s="158"/>
      <c r="F368" s="15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131"/>
      <c r="B369" s="131"/>
      <c r="C369" s="157"/>
      <c r="D369" s="158"/>
      <c r="E369" s="158"/>
      <c r="F369" s="15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131"/>
      <c r="B370" s="131"/>
      <c r="C370" s="157"/>
      <c r="D370" s="158"/>
      <c r="E370" s="158"/>
      <c r="F370" s="15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131"/>
      <c r="B371" s="131"/>
      <c r="C371" s="157"/>
      <c r="D371" s="158"/>
      <c r="E371" s="158"/>
      <c r="F371" s="15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131"/>
      <c r="B372" s="131"/>
      <c r="C372" s="157"/>
      <c r="D372" s="158"/>
      <c r="E372" s="158"/>
      <c r="F372" s="15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131"/>
      <c r="B373" s="131"/>
      <c r="C373" s="157"/>
      <c r="D373" s="158"/>
      <c r="E373" s="158"/>
      <c r="F373" s="15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131"/>
      <c r="B374" s="131"/>
      <c r="C374" s="157"/>
      <c r="D374" s="158"/>
      <c r="E374" s="158"/>
      <c r="F374" s="15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131"/>
      <c r="B375" s="131"/>
      <c r="C375" s="157"/>
      <c r="D375" s="158"/>
      <c r="E375" s="158"/>
      <c r="F375" s="15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131"/>
      <c r="B376" s="131"/>
      <c r="C376" s="157"/>
      <c r="D376" s="158"/>
      <c r="E376" s="158"/>
      <c r="F376" s="15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131"/>
      <c r="B377" s="131"/>
      <c r="C377" s="157"/>
      <c r="D377" s="158"/>
      <c r="E377" s="158"/>
      <c r="F377" s="15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131"/>
      <c r="B378" s="131"/>
      <c r="C378" s="157"/>
      <c r="D378" s="158"/>
      <c r="E378" s="158"/>
      <c r="F378" s="15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131"/>
      <c r="B379" s="131"/>
      <c r="C379" s="157"/>
      <c r="D379" s="158"/>
      <c r="E379" s="158"/>
      <c r="F379" s="15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131"/>
      <c r="B380" s="131"/>
      <c r="C380" s="157"/>
      <c r="D380" s="158"/>
      <c r="E380" s="158"/>
      <c r="F380" s="15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131"/>
      <c r="B381" s="131"/>
      <c r="C381" s="157"/>
      <c r="D381" s="158"/>
      <c r="E381" s="158"/>
      <c r="F381" s="15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131"/>
      <c r="B382" s="131"/>
      <c r="C382" s="157"/>
      <c r="D382" s="158"/>
      <c r="E382" s="158"/>
      <c r="F382" s="15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131"/>
      <c r="B383" s="131"/>
      <c r="C383" s="157"/>
      <c r="D383" s="158"/>
      <c r="E383" s="158"/>
      <c r="F383" s="15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131"/>
      <c r="B384" s="131"/>
      <c r="C384" s="157"/>
      <c r="D384" s="158"/>
      <c r="E384" s="158"/>
      <c r="F384" s="15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131"/>
      <c r="B385" s="131"/>
      <c r="C385" s="157"/>
      <c r="D385" s="158"/>
      <c r="E385" s="158"/>
      <c r="F385" s="15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131"/>
      <c r="B386" s="131"/>
      <c r="C386" s="157"/>
      <c r="D386" s="158"/>
      <c r="E386" s="158"/>
      <c r="F386" s="15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131"/>
      <c r="B387" s="131"/>
      <c r="C387" s="157"/>
      <c r="D387" s="158"/>
      <c r="E387" s="158"/>
      <c r="F387" s="15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131"/>
      <c r="B388" s="131"/>
      <c r="C388" s="157"/>
      <c r="D388" s="158"/>
      <c r="E388" s="158"/>
      <c r="F388" s="15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131"/>
      <c r="B389" s="131"/>
      <c r="C389" s="157"/>
      <c r="D389" s="158"/>
      <c r="E389" s="158"/>
      <c r="F389" s="15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131"/>
      <c r="B390" s="131"/>
      <c r="C390" s="157"/>
      <c r="D390" s="158"/>
      <c r="E390" s="158"/>
      <c r="F390" s="15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131"/>
      <c r="B391" s="131"/>
      <c r="C391" s="157"/>
      <c r="D391" s="158"/>
      <c r="E391" s="158"/>
      <c r="F391" s="15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131"/>
      <c r="B392" s="131"/>
      <c r="C392" s="157"/>
      <c r="D392" s="158"/>
      <c r="E392" s="158"/>
      <c r="F392" s="15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131"/>
      <c r="B393" s="131"/>
      <c r="C393" s="157"/>
      <c r="D393" s="158"/>
      <c r="E393" s="158"/>
      <c r="F393" s="15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131"/>
      <c r="B394" s="131"/>
      <c r="C394" s="157"/>
      <c r="D394" s="158"/>
      <c r="E394" s="158"/>
      <c r="F394" s="15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131"/>
      <c r="B395" s="131"/>
      <c r="C395" s="157"/>
      <c r="D395" s="158"/>
      <c r="E395" s="158"/>
      <c r="F395" s="15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131"/>
      <c r="B396" s="131"/>
      <c r="C396" s="157"/>
      <c r="D396" s="158"/>
      <c r="E396" s="158"/>
      <c r="F396" s="15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131"/>
      <c r="B397" s="131"/>
      <c r="C397" s="157"/>
      <c r="D397" s="158"/>
      <c r="E397" s="158"/>
      <c r="F397" s="15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131"/>
      <c r="B398" s="131"/>
      <c r="C398" s="157"/>
      <c r="D398" s="158"/>
      <c r="E398" s="158"/>
      <c r="F398" s="15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131"/>
      <c r="B399" s="131"/>
      <c r="C399" s="157"/>
      <c r="D399" s="158"/>
      <c r="E399" s="158"/>
      <c r="F399" s="15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131"/>
      <c r="B400" s="131"/>
      <c r="C400" s="157"/>
      <c r="D400" s="158"/>
      <c r="E400" s="158"/>
      <c r="F400" s="15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131"/>
      <c r="B401" s="131"/>
      <c r="C401" s="157"/>
      <c r="D401" s="158"/>
      <c r="E401" s="158"/>
      <c r="F401" s="15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131"/>
      <c r="B402" s="131"/>
      <c r="C402" s="157"/>
      <c r="D402" s="158"/>
      <c r="E402" s="158"/>
      <c r="F402" s="15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131"/>
      <c r="B403" s="131"/>
      <c r="C403" s="157"/>
      <c r="D403" s="158"/>
      <c r="E403" s="158"/>
      <c r="F403" s="15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131"/>
      <c r="B404" s="131"/>
      <c r="C404" s="157"/>
      <c r="D404" s="158"/>
      <c r="E404" s="158"/>
      <c r="F404" s="15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131"/>
      <c r="B405" s="131"/>
      <c r="C405" s="157"/>
      <c r="D405" s="158"/>
      <c r="E405" s="158"/>
      <c r="F405" s="15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131"/>
      <c r="B406" s="131"/>
      <c r="C406" s="157"/>
      <c r="D406" s="158"/>
      <c r="E406" s="158"/>
      <c r="F406" s="15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131"/>
      <c r="B407" s="131"/>
      <c r="C407" s="157"/>
      <c r="D407" s="158"/>
      <c r="E407" s="158"/>
      <c r="F407" s="15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131"/>
      <c r="B408" s="131"/>
      <c r="C408" s="157"/>
      <c r="D408" s="158"/>
      <c r="E408" s="158"/>
      <c r="F408" s="15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131"/>
      <c r="B409" s="131"/>
      <c r="C409" s="157"/>
      <c r="D409" s="158"/>
      <c r="E409" s="158"/>
      <c r="F409" s="15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131"/>
      <c r="B410" s="131"/>
      <c r="C410" s="157"/>
      <c r="D410" s="158"/>
      <c r="E410" s="158"/>
      <c r="F410" s="15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131"/>
      <c r="B411" s="131"/>
      <c r="C411" s="157"/>
      <c r="D411" s="158"/>
      <c r="E411" s="158"/>
      <c r="F411" s="15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131"/>
      <c r="B412" s="131"/>
      <c r="C412" s="157"/>
      <c r="D412" s="158"/>
      <c r="E412" s="158"/>
      <c r="F412" s="15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131"/>
      <c r="B413" s="131"/>
      <c r="C413" s="157"/>
      <c r="D413" s="158"/>
      <c r="E413" s="158"/>
      <c r="F413" s="15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131"/>
      <c r="B414" s="131"/>
      <c r="C414" s="157"/>
      <c r="D414" s="158"/>
      <c r="E414" s="158"/>
      <c r="F414" s="15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131"/>
      <c r="B415" s="131"/>
      <c r="C415" s="157"/>
      <c r="D415" s="158"/>
      <c r="E415" s="158"/>
      <c r="F415" s="15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131"/>
      <c r="B416" s="131"/>
      <c r="C416" s="157"/>
      <c r="D416" s="158"/>
      <c r="E416" s="158"/>
      <c r="F416" s="15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131"/>
      <c r="B417" s="131"/>
      <c r="C417" s="157"/>
      <c r="D417" s="158"/>
      <c r="E417" s="158"/>
      <c r="F417" s="15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131"/>
      <c r="B418" s="131"/>
      <c r="C418" s="157"/>
      <c r="D418" s="158"/>
      <c r="E418" s="158"/>
      <c r="F418" s="15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131"/>
      <c r="B419" s="131"/>
      <c r="C419" s="157"/>
      <c r="D419" s="158"/>
      <c r="E419" s="158"/>
      <c r="F419" s="15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131"/>
      <c r="B420" s="131"/>
      <c r="C420" s="157"/>
      <c r="D420" s="158"/>
      <c r="E420" s="158"/>
      <c r="F420" s="15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131"/>
      <c r="B421" s="131"/>
      <c r="C421" s="157"/>
      <c r="D421" s="158"/>
      <c r="E421" s="158"/>
      <c r="F421" s="15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131"/>
      <c r="B422" s="131"/>
      <c r="C422" s="157"/>
      <c r="D422" s="158"/>
      <c r="E422" s="158"/>
      <c r="F422" s="15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131"/>
      <c r="B423" s="131"/>
      <c r="C423" s="157"/>
      <c r="D423" s="158"/>
      <c r="E423" s="158"/>
      <c r="F423" s="15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131"/>
      <c r="B424" s="131"/>
      <c r="C424" s="157"/>
      <c r="D424" s="158"/>
      <c r="E424" s="158"/>
      <c r="F424" s="15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131"/>
      <c r="B425" s="131"/>
      <c r="C425" s="157"/>
      <c r="D425" s="158"/>
      <c r="E425" s="158"/>
      <c r="F425" s="15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131"/>
      <c r="B426" s="131"/>
      <c r="C426" s="157"/>
      <c r="D426" s="158"/>
      <c r="E426" s="158"/>
      <c r="F426" s="15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131"/>
      <c r="B427" s="131"/>
      <c r="C427" s="157"/>
      <c r="D427" s="158"/>
      <c r="E427" s="158"/>
      <c r="F427" s="15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131"/>
      <c r="B428" s="131"/>
      <c r="C428" s="157"/>
      <c r="D428" s="158"/>
      <c r="E428" s="158"/>
      <c r="F428" s="15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131"/>
      <c r="B429" s="131"/>
      <c r="C429" s="157"/>
      <c r="D429" s="158"/>
      <c r="E429" s="158"/>
      <c r="F429" s="15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131"/>
      <c r="B430" s="131"/>
      <c r="C430" s="157"/>
      <c r="D430" s="158"/>
      <c r="E430" s="158"/>
      <c r="F430" s="15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131"/>
      <c r="B431" s="131"/>
      <c r="C431" s="157"/>
      <c r="D431" s="158"/>
      <c r="E431" s="158"/>
      <c r="F431" s="15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131"/>
      <c r="B432" s="131"/>
      <c r="C432" s="157"/>
      <c r="D432" s="158"/>
      <c r="E432" s="158"/>
      <c r="F432" s="15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131"/>
      <c r="B433" s="131"/>
      <c r="C433" s="157"/>
      <c r="D433" s="158"/>
      <c r="E433" s="158"/>
      <c r="F433" s="15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131"/>
      <c r="B434" s="131"/>
      <c r="C434" s="157"/>
      <c r="D434" s="158"/>
      <c r="E434" s="158"/>
      <c r="F434" s="15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131"/>
      <c r="B435" s="131"/>
      <c r="C435" s="157"/>
      <c r="D435" s="158"/>
      <c r="E435" s="158"/>
      <c r="F435" s="15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131"/>
      <c r="B436" s="131"/>
      <c r="C436" s="157"/>
      <c r="D436" s="158"/>
      <c r="E436" s="158"/>
      <c r="F436" s="15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131"/>
      <c r="B437" s="131"/>
      <c r="C437" s="157"/>
      <c r="D437" s="158"/>
      <c r="E437" s="158"/>
      <c r="F437" s="15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131"/>
      <c r="B438" s="131"/>
      <c r="C438" s="157"/>
      <c r="D438" s="158"/>
      <c r="E438" s="158"/>
      <c r="F438" s="15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131"/>
      <c r="B439" s="131"/>
      <c r="C439" s="157"/>
      <c r="D439" s="158"/>
      <c r="E439" s="158"/>
      <c r="F439" s="15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131"/>
      <c r="B440" s="131"/>
      <c r="C440" s="157"/>
      <c r="D440" s="158"/>
      <c r="E440" s="158"/>
      <c r="F440" s="15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131"/>
      <c r="B441" s="131"/>
      <c r="C441" s="157"/>
      <c r="D441" s="158"/>
      <c r="E441" s="158"/>
      <c r="F441" s="15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131"/>
      <c r="B442" s="131"/>
      <c r="C442" s="157"/>
      <c r="D442" s="158"/>
      <c r="E442" s="158"/>
      <c r="F442" s="15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131"/>
      <c r="B443" s="131"/>
      <c r="C443" s="157"/>
      <c r="D443" s="158"/>
      <c r="E443" s="158"/>
      <c r="F443" s="15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131"/>
      <c r="B444" s="131"/>
      <c r="C444" s="157"/>
      <c r="D444" s="158"/>
      <c r="E444" s="158"/>
      <c r="F444" s="15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131"/>
      <c r="B445" s="131"/>
      <c r="C445" s="157"/>
      <c r="D445" s="158"/>
      <c r="E445" s="158"/>
      <c r="F445" s="15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131"/>
      <c r="B446" s="131"/>
      <c r="C446" s="157"/>
      <c r="D446" s="158"/>
      <c r="E446" s="158"/>
      <c r="F446" s="15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131"/>
      <c r="B447" s="131"/>
      <c r="C447" s="157"/>
      <c r="D447" s="158"/>
      <c r="E447" s="158"/>
      <c r="F447" s="15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131"/>
      <c r="B448" s="131"/>
      <c r="C448" s="157"/>
      <c r="D448" s="158"/>
      <c r="E448" s="158"/>
      <c r="F448" s="15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131"/>
      <c r="B449" s="131"/>
      <c r="C449" s="157"/>
      <c r="D449" s="158"/>
      <c r="E449" s="158"/>
      <c r="F449" s="15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131"/>
      <c r="B450" s="131"/>
      <c r="C450" s="157"/>
      <c r="D450" s="158"/>
      <c r="E450" s="158"/>
      <c r="F450" s="15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131"/>
      <c r="B451" s="131"/>
      <c r="C451" s="157"/>
      <c r="D451" s="158"/>
      <c r="E451" s="158"/>
      <c r="F451" s="15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131"/>
      <c r="B452" s="131"/>
      <c r="C452" s="157"/>
      <c r="D452" s="158"/>
      <c r="E452" s="158"/>
      <c r="F452" s="15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131"/>
      <c r="B453" s="131"/>
      <c r="C453" s="157"/>
      <c r="D453" s="158"/>
      <c r="E453" s="158"/>
      <c r="F453" s="15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131"/>
      <c r="B454" s="131"/>
      <c r="C454" s="157"/>
      <c r="D454" s="158"/>
      <c r="E454" s="158"/>
      <c r="F454" s="15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131"/>
      <c r="B455" s="131"/>
      <c r="C455" s="157"/>
      <c r="D455" s="158"/>
      <c r="E455" s="158"/>
      <c r="F455" s="15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131"/>
      <c r="B456" s="131"/>
      <c r="C456" s="157"/>
      <c r="D456" s="158"/>
      <c r="E456" s="158"/>
      <c r="F456" s="15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131"/>
      <c r="B457" s="131"/>
      <c r="C457" s="157"/>
      <c r="D457" s="158"/>
      <c r="E457" s="158"/>
      <c r="F457" s="15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131"/>
      <c r="B458" s="131"/>
      <c r="C458" s="157"/>
      <c r="D458" s="158"/>
      <c r="E458" s="158"/>
      <c r="F458" s="15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131"/>
      <c r="B459" s="131"/>
      <c r="C459" s="157"/>
      <c r="D459" s="158"/>
      <c r="E459" s="158"/>
      <c r="F459" s="15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131"/>
      <c r="B460" s="131"/>
      <c r="C460" s="157"/>
      <c r="D460" s="158"/>
      <c r="E460" s="158"/>
      <c r="F460" s="15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131"/>
      <c r="B461" s="131"/>
      <c r="C461" s="157"/>
      <c r="D461" s="158"/>
      <c r="E461" s="158"/>
      <c r="F461" s="15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131"/>
      <c r="B462" s="131"/>
      <c r="C462" s="157"/>
      <c r="D462" s="158"/>
      <c r="E462" s="158"/>
      <c r="F462" s="15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131"/>
      <c r="B463" s="131"/>
      <c r="C463" s="157"/>
      <c r="D463" s="158"/>
      <c r="E463" s="158"/>
      <c r="F463" s="15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131"/>
      <c r="B464" s="131"/>
      <c r="C464" s="157"/>
      <c r="D464" s="158"/>
      <c r="E464" s="158"/>
      <c r="F464" s="15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131"/>
      <c r="B465" s="131"/>
      <c r="C465" s="157"/>
      <c r="D465" s="158"/>
      <c r="E465" s="158"/>
      <c r="F465" s="15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131"/>
      <c r="B466" s="131"/>
      <c r="C466" s="157"/>
      <c r="D466" s="158"/>
      <c r="E466" s="158"/>
      <c r="F466" s="15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131"/>
      <c r="B467" s="131"/>
      <c r="C467" s="157"/>
      <c r="D467" s="158"/>
      <c r="E467" s="158"/>
      <c r="F467" s="15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131"/>
      <c r="B468" s="131"/>
      <c r="C468" s="157"/>
      <c r="D468" s="158"/>
      <c r="E468" s="158"/>
      <c r="F468" s="15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131"/>
      <c r="B469" s="131"/>
      <c r="C469" s="157"/>
      <c r="D469" s="158"/>
      <c r="E469" s="158"/>
      <c r="F469" s="15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131"/>
      <c r="B470" s="131"/>
      <c r="C470" s="157"/>
      <c r="D470" s="158"/>
      <c r="E470" s="158"/>
      <c r="F470" s="15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131"/>
      <c r="B471" s="131"/>
      <c r="C471" s="157"/>
      <c r="D471" s="158"/>
      <c r="E471" s="158"/>
      <c r="F471" s="15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131"/>
      <c r="B472" s="131"/>
      <c r="C472" s="157"/>
      <c r="D472" s="158"/>
      <c r="E472" s="158"/>
      <c r="F472" s="15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131"/>
      <c r="B473" s="131"/>
      <c r="C473" s="157"/>
      <c r="D473" s="158"/>
      <c r="E473" s="158"/>
      <c r="F473" s="15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131"/>
      <c r="B474" s="131"/>
      <c r="C474" s="157"/>
      <c r="D474" s="158"/>
      <c r="E474" s="158"/>
      <c r="F474" s="15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131"/>
      <c r="B475" s="131"/>
      <c r="C475" s="157"/>
      <c r="D475" s="158"/>
      <c r="E475" s="158"/>
      <c r="F475" s="15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131"/>
      <c r="B476" s="131"/>
      <c r="C476" s="157"/>
      <c r="D476" s="158"/>
      <c r="E476" s="158"/>
      <c r="F476" s="15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131"/>
      <c r="B477" s="131"/>
      <c r="C477" s="157"/>
      <c r="D477" s="158"/>
      <c r="E477" s="158"/>
      <c r="F477" s="15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131"/>
      <c r="B478" s="131"/>
      <c r="C478" s="157"/>
      <c r="D478" s="158"/>
      <c r="E478" s="158"/>
      <c r="F478" s="15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131"/>
      <c r="B479" s="131"/>
      <c r="C479" s="157"/>
      <c r="D479" s="158"/>
      <c r="E479" s="158"/>
      <c r="F479" s="15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131"/>
      <c r="B480" s="131"/>
      <c r="C480" s="157"/>
      <c r="D480" s="158"/>
      <c r="E480" s="158"/>
      <c r="F480" s="15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131"/>
      <c r="B481" s="131"/>
      <c r="C481" s="157"/>
      <c r="D481" s="158"/>
      <c r="E481" s="158"/>
      <c r="F481" s="15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131"/>
      <c r="B482" s="131"/>
      <c r="C482" s="157"/>
      <c r="D482" s="158"/>
      <c r="E482" s="158"/>
      <c r="F482" s="15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131"/>
      <c r="B483" s="131"/>
      <c r="C483" s="157"/>
      <c r="D483" s="158"/>
      <c r="E483" s="158"/>
      <c r="F483" s="15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131"/>
      <c r="B484" s="131"/>
      <c r="C484" s="157"/>
      <c r="D484" s="158"/>
      <c r="E484" s="158"/>
      <c r="F484" s="15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131"/>
      <c r="B485" s="131"/>
      <c r="C485" s="157"/>
      <c r="D485" s="158"/>
      <c r="E485" s="158"/>
      <c r="F485" s="15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131"/>
      <c r="B486" s="131"/>
      <c r="C486" s="157"/>
      <c r="D486" s="158"/>
      <c r="E486" s="158"/>
      <c r="F486" s="15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131"/>
      <c r="B487" s="131"/>
      <c r="C487" s="157"/>
      <c r="D487" s="158"/>
      <c r="E487" s="158"/>
      <c r="F487" s="15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131"/>
      <c r="B488" s="131"/>
      <c r="C488" s="157"/>
      <c r="D488" s="158"/>
      <c r="E488" s="158"/>
      <c r="F488" s="15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131"/>
      <c r="B489" s="131"/>
      <c r="C489" s="157"/>
      <c r="D489" s="158"/>
      <c r="E489" s="158"/>
      <c r="F489" s="15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131"/>
      <c r="B490" s="131"/>
      <c r="C490" s="157"/>
      <c r="D490" s="158"/>
      <c r="E490" s="158"/>
      <c r="F490" s="15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131"/>
      <c r="B491" s="131"/>
      <c r="C491" s="157"/>
      <c r="D491" s="158"/>
      <c r="E491" s="158"/>
      <c r="F491" s="15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131"/>
      <c r="B492" s="131"/>
      <c r="C492" s="157"/>
      <c r="D492" s="158"/>
      <c r="E492" s="158"/>
      <c r="F492" s="15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131"/>
      <c r="B493" s="131"/>
      <c r="C493" s="157"/>
      <c r="D493" s="158"/>
      <c r="E493" s="158"/>
      <c r="F493" s="15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131"/>
      <c r="B494" s="131"/>
      <c r="C494" s="157"/>
      <c r="D494" s="158"/>
      <c r="E494" s="158"/>
      <c r="F494" s="15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131"/>
      <c r="B495" s="131"/>
      <c r="C495" s="157"/>
      <c r="D495" s="158"/>
      <c r="E495" s="158"/>
      <c r="F495" s="15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131"/>
      <c r="B496" s="131"/>
      <c r="C496" s="157"/>
      <c r="D496" s="158"/>
      <c r="E496" s="158"/>
      <c r="F496" s="15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131"/>
      <c r="B497" s="131"/>
      <c r="C497" s="157"/>
      <c r="D497" s="158"/>
      <c r="E497" s="158"/>
      <c r="F497" s="15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131"/>
      <c r="B498" s="131"/>
      <c r="C498" s="157"/>
      <c r="D498" s="158"/>
      <c r="E498" s="158"/>
      <c r="F498" s="15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131"/>
      <c r="B499" s="131"/>
      <c r="C499" s="157"/>
      <c r="D499" s="158"/>
      <c r="E499" s="158"/>
      <c r="F499" s="15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131"/>
      <c r="B500" s="131"/>
      <c r="C500" s="157"/>
      <c r="D500" s="158"/>
      <c r="E500" s="158"/>
      <c r="F500" s="15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131"/>
      <c r="B501" s="131"/>
      <c r="C501" s="157"/>
      <c r="D501" s="158"/>
      <c r="E501" s="158"/>
      <c r="F501" s="15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131"/>
      <c r="B502" s="131"/>
      <c r="C502" s="157"/>
      <c r="D502" s="158"/>
      <c r="E502" s="158"/>
      <c r="F502" s="15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131"/>
      <c r="B503" s="131"/>
      <c r="C503" s="157"/>
      <c r="D503" s="158"/>
      <c r="E503" s="158"/>
      <c r="F503" s="15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131"/>
      <c r="B504" s="131"/>
      <c r="C504" s="157"/>
      <c r="D504" s="158"/>
      <c r="E504" s="158"/>
      <c r="F504" s="15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131"/>
      <c r="B505" s="131"/>
      <c r="C505" s="157"/>
      <c r="D505" s="158"/>
      <c r="E505" s="158"/>
      <c r="F505" s="15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131"/>
      <c r="B506" s="131"/>
      <c r="C506" s="157"/>
      <c r="D506" s="158"/>
      <c r="E506" s="158"/>
      <c r="F506" s="15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131"/>
      <c r="B507" s="131"/>
      <c r="C507" s="157"/>
      <c r="D507" s="158"/>
      <c r="E507" s="158"/>
      <c r="F507" s="15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131"/>
      <c r="B508" s="131"/>
      <c r="C508" s="157"/>
      <c r="D508" s="158"/>
      <c r="E508" s="158"/>
      <c r="F508" s="15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131"/>
      <c r="B509" s="131"/>
      <c r="C509" s="157"/>
      <c r="D509" s="158"/>
      <c r="E509" s="158"/>
      <c r="F509" s="15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131"/>
      <c r="B510" s="131"/>
      <c r="C510" s="157"/>
      <c r="D510" s="158"/>
      <c r="E510" s="158"/>
      <c r="F510" s="15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131"/>
      <c r="B511" s="131"/>
      <c r="C511" s="157"/>
      <c r="D511" s="158"/>
      <c r="E511" s="158"/>
      <c r="F511" s="15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131"/>
      <c r="B512" s="131"/>
      <c r="C512" s="157"/>
      <c r="D512" s="158"/>
      <c r="E512" s="158"/>
      <c r="F512" s="15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131"/>
      <c r="B513" s="131"/>
      <c r="C513" s="157"/>
      <c r="D513" s="158"/>
      <c r="E513" s="158"/>
      <c r="F513" s="15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131"/>
      <c r="B514" s="131"/>
      <c r="C514" s="157"/>
      <c r="D514" s="158"/>
      <c r="E514" s="158"/>
      <c r="F514" s="15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131"/>
      <c r="B515" s="131"/>
      <c r="C515" s="157"/>
      <c r="D515" s="158"/>
      <c r="E515" s="158"/>
      <c r="F515" s="15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131"/>
      <c r="B516" s="131"/>
      <c r="C516" s="157"/>
      <c r="D516" s="158"/>
      <c r="E516" s="158"/>
      <c r="F516" s="15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131"/>
      <c r="B517" s="131"/>
      <c r="C517" s="157"/>
      <c r="D517" s="158"/>
      <c r="E517" s="158"/>
      <c r="F517" s="15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131"/>
      <c r="B518" s="131"/>
      <c r="C518" s="157"/>
      <c r="D518" s="158"/>
      <c r="E518" s="158"/>
      <c r="F518" s="15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131"/>
      <c r="B519" s="131"/>
      <c r="C519" s="157"/>
      <c r="D519" s="158"/>
      <c r="E519" s="158"/>
      <c r="F519" s="15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131"/>
      <c r="B520" s="131"/>
      <c r="C520" s="157"/>
      <c r="D520" s="158"/>
      <c r="E520" s="158"/>
      <c r="F520" s="15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131"/>
      <c r="B521" s="131"/>
      <c r="C521" s="157"/>
      <c r="D521" s="158"/>
      <c r="E521" s="158"/>
      <c r="F521" s="15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131"/>
      <c r="B522" s="131"/>
      <c r="C522" s="157"/>
      <c r="D522" s="158"/>
      <c r="E522" s="158"/>
      <c r="F522" s="15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131"/>
      <c r="B523" s="131"/>
      <c r="C523" s="157"/>
      <c r="D523" s="158"/>
      <c r="E523" s="158"/>
      <c r="F523" s="15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131"/>
      <c r="B524" s="131"/>
      <c r="C524" s="157"/>
      <c r="D524" s="158"/>
      <c r="E524" s="158"/>
      <c r="F524" s="15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131"/>
      <c r="B525" s="131"/>
      <c r="C525" s="157"/>
      <c r="D525" s="158"/>
      <c r="E525" s="158"/>
      <c r="F525" s="15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131"/>
      <c r="B526" s="131"/>
      <c r="C526" s="157"/>
      <c r="D526" s="158"/>
      <c r="E526" s="158"/>
      <c r="F526" s="15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131"/>
      <c r="B527" s="131"/>
      <c r="C527" s="157"/>
      <c r="D527" s="158"/>
      <c r="E527" s="158"/>
      <c r="F527" s="15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131"/>
      <c r="B528" s="131"/>
      <c r="C528" s="157"/>
      <c r="D528" s="158"/>
      <c r="E528" s="158"/>
      <c r="F528" s="15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131"/>
      <c r="B529" s="131"/>
      <c r="C529" s="157"/>
      <c r="D529" s="158"/>
      <c r="E529" s="158"/>
      <c r="F529" s="15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131"/>
      <c r="B530" s="131"/>
      <c r="C530" s="157"/>
      <c r="D530" s="158"/>
      <c r="E530" s="158"/>
      <c r="F530" s="15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131"/>
      <c r="B531" s="131"/>
      <c r="C531" s="157"/>
      <c r="D531" s="158"/>
      <c r="E531" s="158"/>
      <c r="F531" s="15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131"/>
      <c r="B532" s="131"/>
      <c r="C532" s="157"/>
      <c r="D532" s="158"/>
      <c r="E532" s="158"/>
      <c r="F532" s="15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131"/>
      <c r="B533" s="131"/>
      <c r="C533" s="157"/>
      <c r="D533" s="158"/>
      <c r="E533" s="158"/>
      <c r="F533" s="15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131"/>
      <c r="B534" s="131"/>
      <c r="C534" s="157"/>
      <c r="D534" s="158"/>
      <c r="E534" s="158"/>
      <c r="F534" s="15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131"/>
      <c r="B535" s="131"/>
      <c r="C535" s="157"/>
      <c r="D535" s="158"/>
      <c r="E535" s="158"/>
      <c r="F535" s="15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131"/>
      <c r="B536" s="131"/>
      <c r="C536" s="157"/>
      <c r="D536" s="158"/>
      <c r="E536" s="158"/>
      <c r="F536" s="15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131"/>
      <c r="B537" s="131"/>
      <c r="C537" s="157"/>
      <c r="D537" s="158"/>
      <c r="E537" s="158"/>
      <c r="F537" s="15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131"/>
      <c r="B538" s="131"/>
      <c r="C538" s="157"/>
      <c r="D538" s="158"/>
      <c r="E538" s="158"/>
      <c r="F538" s="15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131"/>
      <c r="B539" s="131"/>
      <c r="C539" s="157"/>
      <c r="D539" s="158"/>
      <c r="E539" s="158"/>
      <c r="F539" s="15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131"/>
      <c r="B540" s="131"/>
      <c r="C540" s="157"/>
      <c r="D540" s="158"/>
      <c r="E540" s="158"/>
      <c r="F540" s="15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131"/>
      <c r="B541" s="131"/>
      <c r="C541" s="157"/>
      <c r="D541" s="158"/>
      <c r="E541" s="158"/>
      <c r="F541" s="15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131"/>
      <c r="B542" s="131"/>
      <c r="C542" s="157"/>
      <c r="D542" s="158"/>
      <c r="E542" s="158"/>
      <c r="F542" s="15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131"/>
      <c r="B543" s="131"/>
      <c r="C543" s="157"/>
      <c r="D543" s="158"/>
      <c r="E543" s="158"/>
      <c r="F543" s="15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131"/>
      <c r="B544" s="131"/>
      <c r="C544" s="157"/>
      <c r="D544" s="158"/>
      <c r="E544" s="158"/>
      <c r="F544" s="15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131"/>
      <c r="B545" s="131"/>
      <c r="C545" s="157"/>
      <c r="D545" s="158"/>
      <c r="E545" s="158"/>
      <c r="F545" s="15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131"/>
      <c r="B546" s="131"/>
      <c r="C546" s="157"/>
      <c r="D546" s="158"/>
      <c r="E546" s="158"/>
      <c r="F546" s="15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131"/>
      <c r="B547" s="131"/>
      <c r="C547" s="157"/>
      <c r="D547" s="158"/>
      <c r="E547" s="158"/>
      <c r="F547" s="15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131"/>
      <c r="B548" s="131"/>
      <c r="C548" s="157"/>
      <c r="D548" s="158"/>
      <c r="E548" s="158"/>
      <c r="F548" s="15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131"/>
      <c r="B549" s="131"/>
      <c r="C549" s="157"/>
      <c r="D549" s="158"/>
      <c r="E549" s="158"/>
      <c r="F549" s="15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131"/>
      <c r="B550" s="131"/>
      <c r="C550" s="157"/>
      <c r="D550" s="158"/>
      <c r="E550" s="158"/>
      <c r="F550" s="15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131"/>
      <c r="B551" s="131"/>
      <c r="C551" s="157"/>
      <c r="D551" s="158"/>
      <c r="E551" s="158"/>
      <c r="F551" s="15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131"/>
      <c r="B552" s="131"/>
      <c r="C552" s="157"/>
      <c r="D552" s="158"/>
      <c r="E552" s="158"/>
      <c r="F552" s="15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131"/>
      <c r="B553" s="131"/>
      <c r="C553" s="157"/>
      <c r="D553" s="158"/>
      <c r="E553" s="158"/>
      <c r="F553" s="15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131"/>
      <c r="B554" s="131"/>
      <c r="C554" s="157"/>
      <c r="D554" s="158"/>
      <c r="E554" s="158"/>
      <c r="F554" s="15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131"/>
      <c r="B555" s="131"/>
      <c r="C555" s="157"/>
      <c r="D555" s="158"/>
      <c r="E555" s="158"/>
      <c r="F555" s="15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131"/>
      <c r="B556" s="131"/>
      <c r="C556" s="157"/>
      <c r="D556" s="158"/>
      <c r="E556" s="158"/>
      <c r="F556" s="15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131"/>
      <c r="B557" s="131"/>
      <c r="C557" s="157"/>
      <c r="D557" s="158"/>
      <c r="E557" s="158"/>
      <c r="F557" s="15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131"/>
      <c r="B558" s="131"/>
      <c r="C558" s="157"/>
      <c r="D558" s="158"/>
      <c r="E558" s="158"/>
      <c r="F558" s="15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131"/>
      <c r="B559" s="131"/>
      <c r="C559" s="157"/>
      <c r="D559" s="158"/>
      <c r="E559" s="158"/>
      <c r="F559" s="15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131"/>
      <c r="B560" s="131"/>
      <c r="C560" s="157"/>
      <c r="D560" s="158"/>
      <c r="E560" s="158"/>
      <c r="F560" s="15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131"/>
      <c r="B561" s="131"/>
      <c r="C561" s="157"/>
      <c r="D561" s="158"/>
      <c r="E561" s="158"/>
      <c r="F561" s="15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131"/>
      <c r="B562" s="131"/>
      <c r="C562" s="157"/>
      <c r="D562" s="158"/>
      <c r="E562" s="158"/>
      <c r="F562" s="15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131"/>
      <c r="B563" s="131"/>
      <c r="C563" s="157"/>
      <c r="D563" s="158"/>
      <c r="E563" s="158"/>
      <c r="F563" s="15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131"/>
      <c r="B564" s="131"/>
      <c r="C564" s="157"/>
      <c r="D564" s="158"/>
      <c r="E564" s="158"/>
      <c r="F564" s="15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131"/>
      <c r="B565" s="131"/>
      <c r="C565" s="157"/>
      <c r="D565" s="158"/>
      <c r="E565" s="158"/>
      <c r="F565" s="15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131"/>
      <c r="B566" s="131"/>
      <c r="C566" s="157"/>
      <c r="D566" s="158"/>
      <c r="E566" s="158"/>
      <c r="F566" s="15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131"/>
      <c r="B567" s="131"/>
      <c r="C567" s="157"/>
      <c r="D567" s="158"/>
      <c r="E567" s="158"/>
      <c r="F567" s="15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131"/>
      <c r="B568" s="131"/>
      <c r="C568" s="157"/>
      <c r="D568" s="158"/>
      <c r="E568" s="158"/>
      <c r="F568" s="15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131"/>
      <c r="B569" s="131"/>
      <c r="C569" s="157"/>
      <c r="D569" s="158"/>
      <c r="E569" s="158"/>
      <c r="F569" s="15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131"/>
      <c r="B570" s="131"/>
      <c r="C570" s="157"/>
      <c r="D570" s="158"/>
      <c r="E570" s="158"/>
      <c r="F570" s="15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131"/>
      <c r="B571" s="131"/>
      <c r="C571" s="157"/>
      <c r="D571" s="158"/>
      <c r="E571" s="158"/>
      <c r="F571" s="15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131"/>
      <c r="B572" s="131"/>
      <c r="C572" s="157"/>
      <c r="D572" s="158"/>
      <c r="E572" s="158"/>
      <c r="F572" s="15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131"/>
      <c r="B573" s="131"/>
      <c r="C573" s="157"/>
      <c r="D573" s="158"/>
      <c r="E573" s="158"/>
      <c r="F573" s="15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131"/>
      <c r="B574" s="131"/>
      <c r="C574" s="157"/>
      <c r="D574" s="158"/>
      <c r="E574" s="158"/>
      <c r="F574" s="15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131"/>
      <c r="B575" s="131"/>
      <c r="C575" s="157"/>
      <c r="D575" s="158"/>
      <c r="E575" s="158"/>
      <c r="F575" s="15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131"/>
      <c r="B576" s="131"/>
      <c r="C576" s="157"/>
      <c r="D576" s="158"/>
      <c r="E576" s="158"/>
      <c r="F576" s="15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131"/>
      <c r="B577" s="131"/>
      <c r="C577" s="157"/>
      <c r="D577" s="158"/>
      <c r="E577" s="158"/>
      <c r="F577" s="15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131"/>
      <c r="B578" s="131"/>
      <c r="C578" s="157"/>
      <c r="D578" s="158"/>
      <c r="E578" s="158"/>
      <c r="F578" s="15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131"/>
      <c r="B579" s="131"/>
      <c r="C579" s="157"/>
      <c r="D579" s="158"/>
      <c r="E579" s="158"/>
      <c r="F579" s="15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131"/>
      <c r="B580" s="131"/>
      <c r="C580" s="157"/>
      <c r="D580" s="158"/>
      <c r="E580" s="158"/>
      <c r="F580" s="15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131"/>
      <c r="B581" s="131"/>
      <c r="C581" s="157"/>
      <c r="D581" s="158"/>
      <c r="E581" s="158"/>
      <c r="F581" s="15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131"/>
      <c r="B582" s="131"/>
      <c r="C582" s="157"/>
      <c r="D582" s="158"/>
      <c r="E582" s="158"/>
      <c r="F582" s="15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131"/>
      <c r="B583" s="131"/>
      <c r="C583" s="157"/>
      <c r="D583" s="158"/>
      <c r="E583" s="158"/>
      <c r="F583" s="15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131"/>
      <c r="B584" s="131"/>
      <c r="C584" s="157"/>
      <c r="D584" s="158"/>
      <c r="E584" s="158"/>
      <c r="F584" s="15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131"/>
      <c r="B585" s="131"/>
      <c r="C585" s="157"/>
      <c r="D585" s="158"/>
      <c r="E585" s="158"/>
      <c r="F585" s="15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131"/>
      <c r="B586" s="131"/>
      <c r="C586" s="157"/>
      <c r="D586" s="158"/>
      <c r="E586" s="158"/>
      <c r="F586" s="15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131"/>
      <c r="B587" s="131"/>
      <c r="C587" s="157"/>
      <c r="D587" s="158"/>
      <c r="E587" s="158"/>
      <c r="F587" s="15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131"/>
      <c r="B588" s="131"/>
      <c r="C588" s="157"/>
      <c r="D588" s="158"/>
      <c r="E588" s="158"/>
      <c r="F588" s="15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131"/>
      <c r="B589" s="131"/>
      <c r="C589" s="157"/>
      <c r="D589" s="158"/>
      <c r="E589" s="158"/>
      <c r="F589" s="15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131"/>
      <c r="B590" s="131"/>
      <c r="C590" s="157"/>
      <c r="D590" s="158"/>
      <c r="E590" s="158"/>
      <c r="F590" s="15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131"/>
      <c r="B591" s="131"/>
      <c r="C591" s="157"/>
      <c r="D591" s="158"/>
      <c r="E591" s="158"/>
      <c r="F591" s="15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131"/>
      <c r="B592" s="131"/>
      <c r="C592" s="157"/>
      <c r="D592" s="158"/>
      <c r="E592" s="158"/>
      <c r="F592" s="15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131"/>
      <c r="B593" s="131"/>
      <c r="C593" s="157"/>
      <c r="D593" s="158"/>
      <c r="E593" s="158"/>
      <c r="F593" s="15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131"/>
      <c r="B594" s="131"/>
      <c r="C594" s="157"/>
      <c r="D594" s="158"/>
      <c r="E594" s="158"/>
      <c r="F594" s="15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131"/>
      <c r="B595" s="131"/>
      <c r="C595" s="157"/>
      <c r="D595" s="158"/>
      <c r="E595" s="158"/>
      <c r="F595" s="15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131"/>
      <c r="B596" s="131"/>
      <c r="C596" s="157"/>
      <c r="D596" s="158"/>
      <c r="E596" s="158"/>
      <c r="F596" s="15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131"/>
      <c r="B597" s="131"/>
      <c r="C597" s="157"/>
      <c r="D597" s="158"/>
      <c r="E597" s="158"/>
      <c r="F597" s="15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131"/>
      <c r="B598" s="131"/>
      <c r="C598" s="157"/>
      <c r="D598" s="158"/>
      <c r="E598" s="158"/>
      <c r="F598" s="15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131"/>
      <c r="B599" s="131"/>
      <c r="C599" s="157"/>
      <c r="D599" s="158"/>
      <c r="E599" s="158"/>
      <c r="F599" s="15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131"/>
      <c r="B600" s="131"/>
      <c r="C600" s="157"/>
      <c r="D600" s="158"/>
      <c r="E600" s="158"/>
      <c r="F600" s="15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131"/>
      <c r="B601" s="131"/>
      <c r="C601" s="157"/>
      <c r="D601" s="158"/>
      <c r="E601" s="158"/>
      <c r="F601" s="15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131"/>
      <c r="B602" s="131"/>
      <c r="C602" s="157"/>
      <c r="D602" s="158"/>
      <c r="E602" s="158"/>
      <c r="F602" s="15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131"/>
      <c r="B603" s="131"/>
      <c r="C603" s="157"/>
      <c r="D603" s="158"/>
      <c r="E603" s="158"/>
      <c r="F603" s="15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131"/>
      <c r="B604" s="131"/>
      <c r="C604" s="157"/>
      <c r="D604" s="158"/>
      <c r="E604" s="158"/>
      <c r="F604" s="15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131"/>
      <c r="B605" s="131"/>
      <c r="C605" s="157"/>
      <c r="D605" s="158"/>
      <c r="E605" s="158"/>
      <c r="F605" s="15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131"/>
      <c r="B606" s="131"/>
      <c r="C606" s="157"/>
      <c r="D606" s="158"/>
      <c r="E606" s="158"/>
      <c r="F606" s="15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131"/>
      <c r="B607" s="131"/>
      <c r="C607" s="157"/>
      <c r="D607" s="158"/>
      <c r="E607" s="158"/>
      <c r="F607" s="15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131"/>
      <c r="B608" s="131"/>
      <c r="C608" s="157"/>
      <c r="D608" s="158"/>
      <c r="E608" s="158"/>
      <c r="F608" s="15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131"/>
      <c r="B609" s="131"/>
      <c r="C609" s="157"/>
      <c r="D609" s="158"/>
      <c r="E609" s="158"/>
      <c r="F609" s="15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131"/>
      <c r="B610" s="131"/>
      <c r="C610" s="157"/>
      <c r="D610" s="158"/>
      <c r="E610" s="158"/>
      <c r="F610" s="15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131"/>
      <c r="B611" s="131"/>
      <c r="C611" s="157"/>
      <c r="D611" s="158"/>
      <c r="E611" s="158"/>
      <c r="F611" s="15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131"/>
      <c r="B612" s="131"/>
      <c r="C612" s="157"/>
      <c r="D612" s="158"/>
      <c r="E612" s="158"/>
      <c r="F612" s="15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131"/>
      <c r="B613" s="131"/>
      <c r="C613" s="157"/>
      <c r="D613" s="158"/>
      <c r="E613" s="158"/>
      <c r="F613" s="15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131"/>
      <c r="B614" s="131"/>
      <c r="C614" s="157"/>
      <c r="D614" s="158"/>
      <c r="E614" s="158"/>
      <c r="F614" s="15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131"/>
      <c r="B615" s="131"/>
      <c r="C615" s="157"/>
      <c r="D615" s="158"/>
      <c r="E615" s="158"/>
      <c r="F615" s="15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131"/>
      <c r="B616" s="131"/>
      <c r="C616" s="157"/>
      <c r="D616" s="158"/>
      <c r="E616" s="158"/>
      <c r="F616" s="15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131"/>
      <c r="B617" s="131"/>
      <c r="C617" s="157"/>
      <c r="D617" s="158"/>
      <c r="E617" s="158"/>
      <c r="F617" s="15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131"/>
      <c r="B618" s="131"/>
      <c r="C618" s="157"/>
      <c r="D618" s="158"/>
      <c r="E618" s="158"/>
      <c r="F618" s="15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131"/>
      <c r="B619" s="131"/>
      <c r="C619" s="157"/>
      <c r="D619" s="158"/>
      <c r="E619" s="158"/>
      <c r="F619" s="15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131"/>
      <c r="B620" s="131"/>
      <c r="C620" s="157"/>
      <c r="D620" s="158"/>
      <c r="E620" s="158"/>
      <c r="F620" s="15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131"/>
      <c r="B621" s="131"/>
      <c r="C621" s="157"/>
      <c r="D621" s="158"/>
      <c r="E621" s="158"/>
      <c r="F621" s="15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131"/>
      <c r="B622" s="131"/>
      <c r="C622" s="157"/>
      <c r="D622" s="158"/>
      <c r="E622" s="158"/>
      <c r="F622" s="15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131"/>
      <c r="B623" s="131"/>
      <c r="C623" s="157"/>
      <c r="D623" s="158"/>
      <c r="E623" s="158"/>
      <c r="F623" s="15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131"/>
      <c r="B624" s="131"/>
      <c r="C624" s="157"/>
      <c r="D624" s="158"/>
      <c r="E624" s="158"/>
      <c r="F624" s="15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131"/>
      <c r="B625" s="131"/>
      <c r="C625" s="157"/>
      <c r="D625" s="158"/>
      <c r="E625" s="158"/>
      <c r="F625" s="15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131"/>
      <c r="B626" s="131"/>
      <c r="C626" s="157"/>
      <c r="D626" s="158"/>
      <c r="E626" s="158"/>
      <c r="F626" s="15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131"/>
      <c r="B627" s="131"/>
      <c r="C627" s="157"/>
      <c r="D627" s="158"/>
      <c r="E627" s="158"/>
      <c r="F627" s="15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131"/>
      <c r="B628" s="131"/>
      <c r="C628" s="157"/>
      <c r="D628" s="158"/>
      <c r="E628" s="158"/>
      <c r="F628" s="15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131"/>
      <c r="B629" s="131"/>
      <c r="C629" s="157"/>
      <c r="D629" s="158"/>
      <c r="E629" s="158"/>
      <c r="F629" s="15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131"/>
      <c r="B630" s="131"/>
      <c r="C630" s="157"/>
      <c r="D630" s="158"/>
      <c r="E630" s="158"/>
      <c r="F630" s="15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131"/>
      <c r="B631" s="131"/>
      <c r="C631" s="157"/>
      <c r="D631" s="158"/>
      <c r="E631" s="158"/>
      <c r="F631" s="15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131"/>
      <c r="B632" s="131"/>
      <c r="C632" s="157"/>
      <c r="D632" s="158"/>
      <c r="E632" s="158"/>
      <c r="F632" s="15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131"/>
      <c r="B633" s="131"/>
      <c r="C633" s="157"/>
      <c r="D633" s="158"/>
      <c r="E633" s="158"/>
      <c r="F633" s="15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131"/>
      <c r="B634" s="131"/>
      <c r="C634" s="157"/>
      <c r="D634" s="158"/>
      <c r="E634" s="158"/>
      <c r="F634" s="15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131"/>
      <c r="B635" s="131"/>
      <c r="C635" s="157"/>
      <c r="D635" s="158"/>
      <c r="E635" s="158"/>
      <c r="F635" s="15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131"/>
      <c r="B636" s="131"/>
      <c r="C636" s="157"/>
      <c r="D636" s="158"/>
      <c r="E636" s="158"/>
      <c r="F636" s="15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131"/>
      <c r="B637" s="131"/>
      <c r="C637" s="157"/>
      <c r="D637" s="158"/>
      <c r="E637" s="158"/>
      <c r="F637" s="15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131"/>
      <c r="B638" s="131"/>
      <c r="C638" s="157"/>
      <c r="D638" s="158"/>
      <c r="E638" s="158"/>
      <c r="F638" s="15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131"/>
      <c r="B639" s="131"/>
      <c r="C639" s="157"/>
      <c r="D639" s="158"/>
      <c r="E639" s="158"/>
      <c r="F639" s="15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131"/>
      <c r="B640" s="131"/>
      <c r="C640" s="157"/>
      <c r="D640" s="158"/>
      <c r="E640" s="158"/>
      <c r="F640" s="15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131"/>
      <c r="B641" s="131"/>
      <c r="C641" s="157"/>
      <c r="D641" s="158"/>
      <c r="E641" s="158"/>
      <c r="F641" s="15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131"/>
      <c r="B642" s="131"/>
      <c r="C642" s="157"/>
      <c r="D642" s="158"/>
      <c r="E642" s="158"/>
      <c r="F642" s="15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131"/>
      <c r="B643" s="131"/>
      <c r="C643" s="157"/>
      <c r="D643" s="158"/>
      <c r="E643" s="158"/>
      <c r="F643" s="15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131"/>
      <c r="B644" s="131"/>
      <c r="C644" s="157"/>
      <c r="D644" s="158"/>
      <c r="E644" s="158"/>
      <c r="F644" s="15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131"/>
      <c r="B645" s="131"/>
      <c r="C645" s="157"/>
      <c r="D645" s="158"/>
      <c r="E645" s="158"/>
      <c r="F645" s="15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131"/>
      <c r="B646" s="131"/>
      <c r="C646" s="157"/>
      <c r="D646" s="158"/>
      <c r="E646" s="158"/>
      <c r="F646" s="15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131"/>
      <c r="B647" s="131"/>
      <c r="C647" s="157"/>
      <c r="D647" s="158"/>
      <c r="E647" s="158"/>
      <c r="F647" s="15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131"/>
      <c r="B648" s="131"/>
      <c r="C648" s="157"/>
      <c r="D648" s="158"/>
      <c r="E648" s="158"/>
      <c r="F648" s="15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131"/>
      <c r="B649" s="131"/>
      <c r="C649" s="157"/>
      <c r="D649" s="158"/>
      <c r="E649" s="158"/>
      <c r="F649" s="15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131"/>
      <c r="B650" s="131"/>
      <c r="C650" s="157"/>
      <c r="D650" s="158"/>
      <c r="E650" s="158"/>
      <c r="F650" s="15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131"/>
      <c r="B651" s="131"/>
      <c r="C651" s="157"/>
      <c r="D651" s="158"/>
      <c r="E651" s="158"/>
      <c r="F651" s="15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131"/>
      <c r="B652" s="131"/>
      <c r="C652" s="157"/>
      <c r="D652" s="158"/>
      <c r="E652" s="158"/>
      <c r="F652" s="15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131"/>
      <c r="B653" s="131"/>
      <c r="C653" s="157"/>
      <c r="D653" s="158"/>
      <c r="E653" s="158"/>
      <c r="F653" s="15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131"/>
      <c r="B654" s="131"/>
      <c r="C654" s="157"/>
      <c r="D654" s="158"/>
      <c r="E654" s="158"/>
      <c r="F654" s="15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131"/>
      <c r="B655" s="131"/>
      <c r="C655" s="157"/>
      <c r="D655" s="158"/>
      <c r="E655" s="158"/>
      <c r="F655" s="15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131"/>
      <c r="B656" s="131"/>
      <c r="C656" s="157"/>
      <c r="D656" s="158"/>
      <c r="E656" s="158"/>
      <c r="F656" s="15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131"/>
      <c r="B657" s="131"/>
      <c r="C657" s="157"/>
      <c r="D657" s="158"/>
      <c r="E657" s="158"/>
      <c r="F657" s="15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131"/>
      <c r="B658" s="131"/>
      <c r="C658" s="157"/>
      <c r="D658" s="158"/>
      <c r="E658" s="158"/>
      <c r="F658" s="15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131"/>
      <c r="B659" s="131"/>
      <c r="C659" s="157"/>
      <c r="D659" s="158"/>
      <c r="E659" s="158"/>
      <c r="F659" s="15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131"/>
      <c r="B660" s="131"/>
      <c r="C660" s="157"/>
      <c r="D660" s="158"/>
      <c r="E660" s="158"/>
      <c r="F660" s="15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131"/>
      <c r="B661" s="131"/>
      <c r="C661" s="157"/>
      <c r="D661" s="158"/>
      <c r="E661" s="158"/>
      <c r="F661" s="15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131"/>
      <c r="B662" s="131"/>
      <c r="C662" s="157"/>
      <c r="D662" s="158"/>
      <c r="E662" s="158"/>
      <c r="F662" s="15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131"/>
      <c r="B663" s="131"/>
      <c r="C663" s="157"/>
      <c r="D663" s="158"/>
      <c r="E663" s="158"/>
      <c r="F663" s="15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131"/>
      <c r="B664" s="131"/>
      <c r="C664" s="157"/>
      <c r="D664" s="158"/>
      <c r="E664" s="158"/>
      <c r="F664" s="15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131"/>
      <c r="B665" s="131"/>
      <c r="C665" s="157"/>
      <c r="D665" s="158"/>
      <c r="E665" s="158"/>
      <c r="F665" s="15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131"/>
      <c r="B666" s="131"/>
      <c r="C666" s="157"/>
      <c r="D666" s="158"/>
      <c r="E666" s="158"/>
      <c r="F666" s="15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131"/>
      <c r="B667" s="131"/>
      <c r="C667" s="157"/>
      <c r="D667" s="158"/>
      <c r="E667" s="158"/>
      <c r="F667" s="15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131"/>
      <c r="B668" s="131"/>
      <c r="C668" s="157"/>
      <c r="D668" s="158"/>
      <c r="E668" s="158"/>
      <c r="F668" s="15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131"/>
      <c r="B669" s="131"/>
      <c r="C669" s="157"/>
      <c r="D669" s="158"/>
      <c r="E669" s="158"/>
      <c r="F669" s="15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131"/>
      <c r="B670" s="131"/>
      <c r="C670" s="157"/>
      <c r="D670" s="158"/>
      <c r="E670" s="158"/>
      <c r="F670" s="15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131"/>
      <c r="B671" s="131"/>
      <c r="C671" s="157"/>
      <c r="D671" s="158"/>
      <c r="E671" s="158"/>
      <c r="F671" s="15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131"/>
      <c r="B672" s="131"/>
      <c r="C672" s="157"/>
      <c r="D672" s="158"/>
      <c r="E672" s="158"/>
      <c r="F672" s="15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131"/>
      <c r="B673" s="131"/>
      <c r="C673" s="157"/>
      <c r="D673" s="158"/>
      <c r="E673" s="158"/>
      <c r="F673" s="15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131"/>
      <c r="B674" s="131"/>
      <c r="C674" s="157"/>
      <c r="D674" s="158"/>
      <c r="E674" s="158"/>
      <c r="F674" s="15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131"/>
      <c r="B675" s="131"/>
      <c r="C675" s="157"/>
      <c r="D675" s="158"/>
      <c r="E675" s="158"/>
      <c r="F675" s="15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131"/>
      <c r="B676" s="131"/>
      <c r="C676" s="157"/>
      <c r="D676" s="158"/>
      <c r="E676" s="158"/>
      <c r="F676" s="15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131"/>
      <c r="B677" s="131"/>
      <c r="C677" s="157"/>
      <c r="D677" s="158"/>
      <c r="E677" s="158"/>
      <c r="F677" s="15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131"/>
      <c r="B678" s="131"/>
      <c r="C678" s="157"/>
      <c r="D678" s="158"/>
      <c r="E678" s="158"/>
      <c r="F678" s="15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131"/>
      <c r="B679" s="131"/>
      <c r="C679" s="157"/>
      <c r="D679" s="158"/>
      <c r="E679" s="158"/>
      <c r="F679" s="15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131"/>
      <c r="B680" s="131"/>
      <c r="C680" s="157"/>
      <c r="D680" s="158"/>
      <c r="E680" s="158"/>
      <c r="F680" s="15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131"/>
      <c r="B681" s="131"/>
      <c r="C681" s="157"/>
      <c r="D681" s="158"/>
      <c r="E681" s="158"/>
      <c r="F681" s="15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131"/>
      <c r="B682" s="131"/>
      <c r="C682" s="157"/>
      <c r="D682" s="158"/>
      <c r="E682" s="158"/>
      <c r="F682" s="15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131"/>
      <c r="B683" s="131"/>
      <c r="C683" s="157"/>
      <c r="D683" s="158"/>
      <c r="E683" s="158"/>
      <c r="F683" s="15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131"/>
      <c r="B684" s="131"/>
      <c r="C684" s="157"/>
      <c r="D684" s="158"/>
      <c r="E684" s="158"/>
      <c r="F684" s="15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131"/>
      <c r="B685" s="131"/>
      <c r="C685" s="157"/>
      <c r="D685" s="158"/>
      <c r="E685" s="158"/>
      <c r="F685" s="15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131"/>
      <c r="B686" s="131"/>
      <c r="C686" s="157"/>
      <c r="D686" s="158"/>
      <c r="E686" s="158"/>
      <c r="F686" s="15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131"/>
      <c r="B687" s="131"/>
      <c r="C687" s="157"/>
      <c r="D687" s="158"/>
      <c r="E687" s="158"/>
      <c r="F687" s="15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131"/>
      <c r="B688" s="131"/>
      <c r="C688" s="157"/>
      <c r="D688" s="158"/>
      <c r="E688" s="158"/>
      <c r="F688" s="15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131"/>
      <c r="B689" s="131"/>
      <c r="C689" s="157"/>
      <c r="D689" s="158"/>
      <c r="E689" s="158"/>
      <c r="F689" s="15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131"/>
      <c r="B690" s="131"/>
      <c r="C690" s="157"/>
      <c r="D690" s="158"/>
      <c r="E690" s="158"/>
      <c r="F690" s="15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131"/>
      <c r="B691" s="131"/>
      <c r="C691" s="157"/>
      <c r="D691" s="158"/>
      <c r="E691" s="158"/>
      <c r="F691" s="15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131"/>
      <c r="B692" s="131"/>
      <c r="C692" s="157"/>
      <c r="D692" s="158"/>
      <c r="E692" s="158"/>
      <c r="F692" s="15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131"/>
      <c r="B693" s="131"/>
      <c r="C693" s="157"/>
      <c r="D693" s="158"/>
      <c r="E693" s="158"/>
      <c r="F693" s="15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131"/>
      <c r="B694" s="131"/>
      <c r="C694" s="157"/>
      <c r="D694" s="158"/>
      <c r="E694" s="158"/>
      <c r="F694" s="15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131"/>
      <c r="B695" s="131"/>
      <c r="C695" s="157"/>
      <c r="D695" s="158"/>
      <c r="E695" s="158"/>
      <c r="F695" s="15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131"/>
      <c r="B696" s="131"/>
      <c r="C696" s="157"/>
      <c r="D696" s="158"/>
      <c r="E696" s="158"/>
      <c r="F696" s="15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131"/>
      <c r="B697" s="131"/>
      <c r="C697" s="157"/>
      <c r="D697" s="158"/>
      <c r="E697" s="158"/>
      <c r="F697" s="15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131"/>
      <c r="B698" s="131"/>
      <c r="C698" s="157"/>
      <c r="D698" s="158"/>
      <c r="E698" s="158"/>
      <c r="F698" s="15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131"/>
      <c r="B699" s="131"/>
      <c r="C699" s="157"/>
      <c r="D699" s="158"/>
      <c r="E699" s="158"/>
      <c r="F699" s="15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131"/>
      <c r="B700" s="131"/>
      <c r="C700" s="157"/>
      <c r="D700" s="158"/>
      <c r="E700" s="158"/>
      <c r="F700" s="15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131"/>
      <c r="B701" s="131"/>
      <c r="C701" s="157"/>
      <c r="D701" s="158"/>
      <c r="E701" s="158"/>
      <c r="F701" s="15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131"/>
      <c r="B702" s="131"/>
      <c r="C702" s="157"/>
      <c r="D702" s="158"/>
      <c r="E702" s="158"/>
      <c r="F702" s="15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131"/>
      <c r="B703" s="131"/>
      <c r="C703" s="157"/>
      <c r="D703" s="158"/>
      <c r="E703" s="158"/>
      <c r="F703" s="15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131"/>
      <c r="B704" s="131"/>
      <c r="C704" s="157"/>
      <c r="D704" s="158"/>
      <c r="E704" s="158"/>
      <c r="F704" s="15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131"/>
      <c r="B705" s="131"/>
      <c r="C705" s="157"/>
      <c r="D705" s="158"/>
      <c r="E705" s="158"/>
      <c r="F705" s="15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131"/>
      <c r="B706" s="131"/>
      <c r="C706" s="157"/>
      <c r="D706" s="158"/>
      <c r="E706" s="158"/>
      <c r="F706" s="15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131"/>
      <c r="B707" s="131"/>
      <c r="C707" s="157"/>
      <c r="D707" s="158"/>
      <c r="E707" s="158"/>
      <c r="F707" s="15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131"/>
      <c r="B708" s="131"/>
      <c r="C708" s="157"/>
      <c r="D708" s="158"/>
      <c r="E708" s="158"/>
      <c r="F708" s="15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131"/>
      <c r="B709" s="131"/>
      <c r="C709" s="157"/>
      <c r="D709" s="158"/>
      <c r="E709" s="158"/>
      <c r="F709" s="15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131"/>
      <c r="B710" s="131"/>
      <c r="C710" s="157"/>
      <c r="D710" s="158"/>
      <c r="E710" s="158"/>
      <c r="F710" s="15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131"/>
      <c r="B711" s="131"/>
      <c r="C711" s="157"/>
      <c r="D711" s="158"/>
      <c r="E711" s="158"/>
      <c r="F711" s="15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131"/>
      <c r="B712" s="131"/>
      <c r="C712" s="157"/>
      <c r="D712" s="158"/>
      <c r="E712" s="158"/>
      <c r="F712" s="15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131"/>
      <c r="B713" s="131"/>
      <c r="C713" s="157"/>
      <c r="D713" s="158"/>
      <c r="E713" s="158"/>
      <c r="F713" s="15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131"/>
      <c r="B714" s="131"/>
      <c r="C714" s="157"/>
      <c r="D714" s="158"/>
      <c r="E714" s="158"/>
      <c r="F714" s="15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131"/>
      <c r="B715" s="131"/>
      <c r="C715" s="157"/>
      <c r="D715" s="158"/>
      <c r="E715" s="158"/>
      <c r="F715" s="15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131"/>
      <c r="B716" s="131"/>
      <c r="C716" s="157"/>
      <c r="D716" s="158"/>
      <c r="E716" s="158"/>
      <c r="F716" s="15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131"/>
      <c r="B717" s="131"/>
      <c r="C717" s="157"/>
      <c r="D717" s="158"/>
      <c r="E717" s="158"/>
      <c r="F717" s="15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131"/>
      <c r="B718" s="131"/>
      <c r="C718" s="157"/>
      <c r="D718" s="158"/>
      <c r="E718" s="158"/>
      <c r="F718" s="15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131"/>
      <c r="B719" s="131"/>
      <c r="C719" s="157"/>
      <c r="D719" s="158"/>
      <c r="E719" s="158"/>
      <c r="F719" s="15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131"/>
      <c r="B720" s="131"/>
      <c r="C720" s="157"/>
      <c r="D720" s="158"/>
      <c r="E720" s="158"/>
      <c r="F720" s="15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131"/>
      <c r="B721" s="131"/>
      <c r="C721" s="157"/>
      <c r="D721" s="158"/>
      <c r="E721" s="158"/>
      <c r="F721" s="15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131"/>
      <c r="B722" s="131"/>
      <c r="C722" s="157"/>
      <c r="D722" s="158"/>
      <c r="E722" s="158"/>
      <c r="F722" s="15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131"/>
      <c r="B723" s="131"/>
      <c r="C723" s="157"/>
      <c r="D723" s="158"/>
      <c r="E723" s="158"/>
      <c r="F723" s="15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131"/>
      <c r="B724" s="131"/>
      <c r="C724" s="157"/>
      <c r="D724" s="158"/>
      <c r="E724" s="158"/>
      <c r="F724" s="15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131"/>
      <c r="B725" s="131"/>
      <c r="C725" s="157"/>
      <c r="D725" s="158"/>
      <c r="E725" s="158"/>
      <c r="F725" s="15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131"/>
      <c r="B726" s="131"/>
      <c r="C726" s="157"/>
      <c r="D726" s="158"/>
      <c r="E726" s="158"/>
      <c r="F726" s="15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131"/>
      <c r="B727" s="131"/>
      <c r="C727" s="157"/>
      <c r="D727" s="158"/>
      <c r="E727" s="158"/>
      <c r="F727" s="15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131"/>
      <c r="B728" s="131"/>
      <c r="C728" s="157"/>
      <c r="D728" s="158"/>
      <c r="E728" s="158"/>
      <c r="F728" s="15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131"/>
      <c r="B729" s="131"/>
      <c r="C729" s="157"/>
      <c r="D729" s="158"/>
      <c r="E729" s="158"/>
      <c r="F729" s="15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131"/>
      <c r="B730" s="131"/>
      <c r="C730" s="157"/>
      <c r="D730" s="158"/>
      <c r="E730" s="158"/>
      <c r="F730" s="15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131"/>
      <c r="B731" s="131"/>
      <c r="C731" s="157"/>
      <c r="D731" s="158"/>
      <c r="E731" s="158"/>
      <c r="F731" s="15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131"/>
      <c r="B732" s="131"/>
      <c r="C732" s="157"/>
      <c r="D732" s="158"/>
      <c r="E732" s="158"/>
      <c r="F732" s="15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131"/>
      <c r="B733" s="131"/>
      <c r="C733" s="157"/>
      <c r="D733" s="158"/>
      <c r="E733" s="158"/>
      <c r="F733" s="15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131"/>
      <c r="B734" s="131"/>
      <c r="C734" s="157"/>
      <c r="D734" s="158"/>
      <c r="E734" s="158"/>
      <c r="F734" s="15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131"/>
      <c r="B735" s="131"/>
      <c r="C735" s="157"/>
      <c r="D735" s="158"/>
      <c r="E735" s="158"/>
      <c r="F735" s="15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131"/>
      <c r="B736" s="131"/>
      <c r="C736" s="157"/>
      <c r="D736" s="158"/>
      <c r="E736" s="158"/>
      <c r="F736" s="15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131"/>
      <c r="B737" s="131"/>
      <c r="C737" s="157"/>
      <c r="D737" s="158"/>
      <c r="E737" s="158"/>
      <c r="F737" s="15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131"/>
      <c r="B738" s="131"/>
      <c r="C738" s="157"/>
      <c r="D738" s="158"/>
      <c r="E738" s="158"/>
      <c r="F738" s="15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131"/>
      <c r="B739" s="131"/>
      <c r="C739" s="157"/>
      <c r="D739" s="158"/>
      <c r="E739" s="158"/>
      <c r="F739" s="15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131"/>
      <c r="B740" s="131"/>
      <c r="C740" s="157"/>
      <c r="D740" s="158"/>
      <c r="E740" s="158"/>
      <c r="F740" s="15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131"/>
      <c r="B741" s="131"/>
      <c r="C741" s="157"/>
      <c r="D741" s="158"/>
      <c r="E741" s="158"/>
      <c r="F741" s="15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131"/>
      <c r="B742" s="131"/>
      <c r="C742" s="157"/>
      <c r="D742" s="158"/>
      <c r="E742" s="158"/>
      <c r="F742" s="15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131"/>
      <c r="B743" s="131"/>
      <c r="C743" s="157"/>
      <c r="D743" s="158"/>
      <c r="E743" s="158"/>
      <c r="F743" s="15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131"/>
      <c r="B744" s="131"/>
      <c r="C744" s="157"/>
      <c r="D744" s="158"/>
      <c r="E744" s="158"/>
      <c r="F744" s="15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131"/>
      <c r="B745" s="131"/>
      <c r="C745" s="157"/>
      <c r="D745" s="158"/>
      <c r="E745" s="158"/>
      <c r="F745" s="15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131"/>
      <c r="B746" s="131"/>
      <c r="C746" s="157"/>
      <c r="D746" s="158"/>
      <c r="E746" s="158"/>
      <c r="F746" s="15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131"/>
      <c r="B747" s="131"/>
      <c r="C747" s="157"/>
      <c r="D747" s="158"/>
      <c r="E747" s="158"/>
      <c r="F747" s="15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131"/>
      <c r="B748" s="131"/>
      <c r="C748" s="157"/>
      <c r="D748" s="158"/>
      <c r="E748" s="158"/>
      <c r="F748" s="15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131"/>
      <c r="B749" s="131"/>
      <c r="C749" s="157"/>
      <c r="D749" s="158"/>
      <c r="E749" s="158"/>
      <c r="F749" s="15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131"/>
      <c r="B750" s="131"/>
      <c r="C750" s="157"/>
      <c r="D750" s="158"/>
      <c r="E750" s="158"/>
      <c r="F750" s="15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131"/>
      <c r="B751" s="131"/>
      <c r="C751" s="157"/>
      <c r="D751" s="158"/>
      <c r="E751" s="158"/>
      <c r="F751" s="15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131"/>
      <c r="B752" s="131"/>
      <c r="C752" s="157"/>
      <c r="D752" s="158"/>
      <c r="E752" s="158"/>
      <c r="F752" s="15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131"/>
      <c r="B753" s="131"/>
      <c r="C753" s="157"/>
      <c r="D753" s="158"/>
      <c r="E753" s="158"/>
      <c r="F753" s="15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131"/>
      <c r="B754" s="131"/>
      <c r="C754" s="157"/>
      <c r="D754" s="158"/>
      <c r="E754" s="158"/>
      <c r="F754" s="15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131"/>
      <c r="B755" s="131"/>
      <c r="C755" s="157"/>
      <c r="D755" s="158"/>
      <c r="E755" s="158"/>
      <c r="F755" s="15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131"/>
      <c r="B756" s="131"/>
      <c r="C756" s="157"/>
      <c r="D756" s="158"/>
      <c r="E756" s="158"/>
      <c r="F756" s="15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131"/>
      <c r="B757" s="131"/>
      <c r="C757" s="157"/>
      <c r="D757" s="158"/>
      <c r="E757" s="158"/>
      <c r="F757" s="15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131"/>
      <c r="B758" s="131"/>
      <c r="C758" s="157"/>
      <c r="D758" s="158"/>
      <c r="E758" s="158"/>
      <c r="F758" s="15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131"/>
      <c r="B759" s="131"/>
      <c r="C759" s="157"/>
      <c r="D759" s="158"/>
      <c r="E759" s="158"/>
      <c r="F759" s="15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131"/>
      <c r="B760" s="131"/>
      <c r="C760" s="157"/>
      <c r="D760" s="158"/>
      <c r="E760" s="158"/>
      <c r="F760" s="15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131"/>
      <c r="B761" s="131"/>
      <c r="C761" s="157"/>
      <c r="D761" s="158"/>
      <c r="E761" s="158"/>
      <c r="F761" s="15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131"/>
      <c r="B762" s="131"/>
      <c r="C762" s="157"/>
      <c r="D762" s="158"/>
      <c r="E762" s="158"/>
      <c r="F762" s="15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131"/>
      <c r="B763" s="131"/>
      <c r="C763" s="157"/>
      <c r="D763" s="158"/>
      <c r="E763" s="158"/>
      <c r="F763" s="15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131"/>
      <c r="B764" s="131"/>
      <c r="C764" s="157"/>
      <c r="D764" s="158"/>
      <c r="E764" s="158"/>
      <c r="F764" s="15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131"/>
      <c r="B765" s="131"/>
      <c r="C765" s="157"/>
      <c r="D765" s="158"/>
      <c r="E765" s="158"/>
      <c r="F765" s="15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131"/>
      <c r="B766" s="131"/>
      <c r="C766" s="157"/>
      <c r="D766" s="158"/>
      <c r="E766" s="158"/>
      <c r="F766" s="15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131"/>
      <c r="B767" s="131"/>
      <c r="C767" s="157"/>
      <c r="D767" s="158"/>
      <c r="E767" s="158"/>
      <c r="F767" s="15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131"/>
      <c r="B768" s="131"/>
      <c r="C768" s="157"/>
      <c r="D768" s="158"/>
      <c r="E768" s="158"/>
      <c r="F768" s="15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131"/>
      <c r="B769" s="131"/>
      <c r="C769" s="157"/>
      <c r="D769" s="158"/>
      <c r="E769" s="158"/>
      <c r="F769" s="15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131"/>
      <c r="B770" s="131"/>
      <c r="C770" s="157"/>
      <c r="D770" s="158"/>
      <c r="E770" s="158"/>
      <c r="F770" s="15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131"/>
      <c r="B771" s="131"/>
      <c r="C771" s="157"/>
      <c r="D771" s="158"/>
      <c r="E771" s="158"/>
      <c r="F771" s="15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131"/>
      <c r="B772" s="131"/>
      <c r="C772" s="157"/>
      <c r="D772" s="158"/>
      <c r="E772" s="158"/>
      <c r="F772" s="15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131"/>
      <c r="B773" s="131"/>
      <c r="C773" s="157"/>
      <c r="D773" s="158"/>
      <c r="E773" s="158"/>
      <c r="F773" s="15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131"/>
      <c r="B774" s="131"/>
      <c r="C774" s="157"/>
      <c r="D774" s="158"/>
      <c r="E774" s="158"/>
      <c r="F774" s="15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131"/>
      <c r="B775" s="131"/>
      <c r="C775" s="157"/>
      <c r="D775" s="158"/>
      <c r="E775" s="158"/>
      <c r="F775" s="15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131"/>
      <c r="B776" s="131"/>
      <c r="C776" s="157"/>
      <c r="D776" s="158"/>
      <c r="E776" s="158"/>
      <c r="F776" s="15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131"/>
      <c r="B777" s="131"/>
      <c r="C777" s="157"/>
      <c r="D777" s="158"/>
      <c r="E777" s="158"/>
      <c r="F777" s="15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131"/>
      <c r="B778" s="131"/>
      <c r="C778" s="157"/>
      <c r="D778" s="158"/>
      <c r="E778" s="158"/>
      <c r="F778" s="15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131"/>
      <c r="B779" s="131"/>
      <c r="C779" s="157"/>
      <c r="D779" s="158"/>
      <c r="E779" s="158"/>
      <c r="F779" s="15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131"/>
      <c r="B780" s="131"/>
      <c r="C780" s="157"/>
      <c r="D780" s="158"/>
      <c r="E780" s="158"/>
      <c r="F780" s="15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131"/>
      <c r="B781" s="131"/>
      <c r="C781" s="157"/>
      <c r="D781" s="158"/>
      <c r="E781" s="158"/>
      <c r="F781" s="15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131"/>
      <c r="B782" s="131"/>
      <c r="C782" s="157"/>
      <c r="D782" s="158"/>
      <c r="E782" s="158"/>
      <c r="F782" s="15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131"/>
      <c r="B783" s="131"/>
      <c r="C783" s="157"/>
      <c r="D783" s="158"/>
      <c r="E783" s="158"/>
      <c r="F783" s="15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131"/>
      <c r="B784" s="131"/>
      <c r="C784" s="157"/>
      <c r="D784" s="158"/>
      <c r="E784" s="158"/>
      <c r="F784" s="15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131"/>
      <c r="B785" s="131"/>
      <c r="C785" s="157"/>
      <c r="D785" s="158"/>
      <c r="E785" s="158"/>
      <c r="F785" s="15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131"/>
      <c r="B786" s="131"/>
      <c r="C786" s="157"/>
      <c r="D786" s="158"/>
      <c r="E786" s="158"/>
      <c r="F786" s="15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131"/>
      <c r="B787" s="131"/>
      <c r="C787" s="157"/>
      <c r="D787" s="158"/>
      <c r="E787" s="158"/>
      <c r="F787" s="15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131"/>
      <c r="B788" s="131"/>
      <c r="C788" s="157"/>
      <c r="D788" s="158"/>
      <c r="E788" s="158"/>
      <c r="F788" s="15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131"/>
      <c r="B789" s="131"/>
      <c r="C789" s="157"/>
      <c r="D789" s="158"/>
      <c r="E789" s="158"/>
      <c r="F789" s="15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131"/>
      <c r="B790" s="131"/>
      <c r="C790" s="157"/>
      <c r="D790" s="158"/>
      <c r="E790" s="158"/>
      <c r="F790" s="15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131"/>
      <c r="B791" s="131"/>
      <c r="C791" s="157"/>
      <c r="D791" s="158"/>
      <c r="E791" s="158"/>
      <c r="F791" s="15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131"/>
      <c r="B792" s="131"/>
      <c r="C792" s="157"/>
      <c r="D792" s="158"/>
      <c r="E792" s="158"/>
      <c r="F792" s="15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131"/>
      <c r="B793" s="131"/>
      <c r="C793" s="157"/>
      <c r="D793" s="158"/>
      <c r="E793" s="158"/>
      <c r="F793" s="15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131"/>
      <c r="B794" s="131"/>
      <c r="C794" s="157"/>
      <c r="D794" s="158"/>
      <c r="E794" s="158"/>
      <c r="F794" s="15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131"/>
      <c r="B795" s="131"/>
      <c r="C795" s="157"/>
      <c r="D795" s="158"/>
      <c r="E795" s="158"/>
      <c r="F795" s="15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131"/>
      <c r="B796" s="131"/>
      <c r="C796" s="157"/>
      <c r="D796" s="158"/>
      <c r="E796" s="158"/>
      <c r="F796" s="15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131"/>
      <c r="B797" s="131"/>
      <c r="C797" s="157"/>
      <c r="D797" s="158"/>
      <c r="E797" s="158"/>
      <c r="F797" s="15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131"/>
      <c r="B798" s="131"/>
      <c r="C798" s="157"/>
      <c r="D798" s="158"/>
      <c r="E798" s="158"/>
      <c r="F798" s="15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131"/>
      <c r="B799" s="131"/>
      <c r="C799" s="157"/>
      <c r="D799" s="158"/>
      <c r="E799" s="158"/>
      <c r="F799" s="15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131"/>
      <c r="B800" s="131"/>
      <c r="C800" s="157"/>
      <c r="D800" s="158"/>
      <c r="E800" s="158"/>
      <c r="F800" s="15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131"/>
      <c r="B801" s="131"/>
      <c r="C801" s="157"/>
      <c r="D801" s="158"/>
      <c r="E801" s="158"/>
      <c r="F801" s="15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131"/>
      <c r="B802" s="131"/>
      <c r="C802" s="157"/>
      <c r="D802" s="158"/>
      <c r="E802" s="158"/>
      <c r="F802" s="15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131"/>
      <c r="B803" s="131"/>
      <c r="C803" s="157"/>
      <c r="D803" s="158"/>
      <c r="E803" s="158"/>
      <c r="F803" s="15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131"/>
      <c r="B804" s="131"/>
      <c r="C804" s="157"/>
      <c r="D804" s="158"/>
      <c r="E804" s="158"/>
      <c r="F804" s="15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131"/>
      <c r="B805" s="131"/>
      <c r="C805" s="157"/>
      <c r="D805" s="158"/>
      <c r="E805" s="158"/>
      <c r="F805" s="15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131"/>
      <c r="B806" s="131"/>
      <c r="C806" s="157"/>
      <c r="D806" s="158"/>
      <c r="E806" s="158"/>
      <c r="F806" s="15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131"/>
      <c r="B807" s="131"/>
      <c r="C807" s="157"/>
      <c r="D807" s="158"/>
      <c r="E807" s="158"/>
      <c r="F807" s="15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131"/>
      <c r="B808" s="131"/>
      <c r="C808" s="157"/>
      <c r="D808" s="158"/>
      <c r="E808" s="158"/>
      <c r="F808" s="15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131"/>
      <c r="B809" s="131"/>
      <c r="C809" s="157"/>
      <c r="D809" s="158"/>
      <c r="E809" s="158"/>
      <c r="F809" s="15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131"/>
      <c r="B810" s="131"/>
      <c r="C810" s="157"/>
      <c r="D810" s="158"/>
      <c r="E810" s="158"/>
      <c r="F810" s="15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131"/>
      <c r="B811" s="131"/>
      <c r="C811" s="157"/>
      <c r="D811" s="158"/>
      <c r="E811" s="158"/>
      <c r="F811" s="15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131"/>
      <c r="B812" s="131"/>
      <c r="C812" s="157"/>
      <c r="D812" s="158"/>
      <c r="E812" s="158"/>
      <c r="F812" s="15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131"/>
      <c r="B813" s="131"/>
      <c r="C813" s="157"/>
      <c r="D813" s="158"/>
      <c r="E813" s="158"/>
      <c r="F813" s="15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131"/>
      <c r="B814" s="131"/>
      <c r="C814" s="157"/>
      <c r="D814" s="158"/>
      <c r="E814" s="158"/>
      <c r="F814" s="15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131"/>
      <c r="B815" s="131"/>
      <c r="C815" s="157"/>
      <c r="D815" s="158"/>
      <c r="E815" s="158"/>
      <c r="F815" s="15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131"/>
      <c r="B816" s="131"/>
      <c r="C816" s="157"/>
      <c r="D816" s="158"/>
      <c r="E816" s="158"/>
      <c r="F816" s="15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131"/>
      <c r="B817" s="131"/>
      <c r="C817" s="157"/>
      <c r="D817" s="158"/>
      <c r="E817" s="158"/>
      <c r="F817" s="15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131"/>
      <c r="B818" s="131"/>
      <c r="C818" s="157"/>
      <c r="D818" s="158"/>
      <c r="E818" s="158"/>
      <c r="F818" s="15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131"/>
      <c r="B819" s="131"/>
      <c r="C819" s="157"/>
      <c r="D819" s="158"/>
      <c r="E819" s="158"/>
      <c r="F819" s="15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131"/>
      <c r="B820" s="131"/>
      <c r="C820" s="157"/>
      <c r="D820" s="158"/>
      <c r="E820" s="158"/>
      <c r="F820" s="15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131"/>
      <c r="B821" s="131"/>
      <c r="C821" s="157"/>
      <c r="D821" s="158"/>
      <c r="E821" s="158"/>
      <c r="F821" s="15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131"/>
      <c r="B822" s="131"/>
      <c r="C822" s="157"/>
      <c r="D822" s="158"/>
      <c r="E822" s="158"/>
      <c r="F822" s="15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131"/>
      <c r="B823" s="131"/>
      <c r="C823" s="157"/>
      <c r="D823" s="158"/>
      <c r="E823" s="158"/>
      <c r="F823" s="15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131"/>
      <c r="B824" s="131"/>
      <c r="C824" s="157"/>
      <c r="D824" s="158"/>
      <c r="E824" s="158"/>
      <c r="F824" s="15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131"/>
      <c r="B825" s="131"/>
      <c r="C825" s="157"/>
      <c r="D825" s="158"/>
      <c r="E825" s="158"/>
      <c r="F825" s="15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131"/>
      <c r="B826" s="131"/>
      <c r="C826" s="157"/>
      <c r="D826" s="158"/>
      <c r="E826" s="158"/>
      <c r="F826" s="15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131"/>
      <c r="B827" s="131"/>
      <c r="C827" s="157"/>
      <c r="D827" s="158"/>
      <c r="E827" s="158"/>
      <c r="F827" s="15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131"/>
      <c r="B828" s="131"/>
      <c r="C828" s="157"/>
      <c r="D828" s="158"/>
      <c r="E828" s="158"/>
      <c r="F828" s="15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131"/>
      <c r="B829" s="131"/>
      <c r="C829" s="157"/>
      <c r="D829" s="158"/>
      <c r="E829" s="158"/>
      <c r="F829" s="15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131"/>
      <c r="B830" s="131"/>
      <c r="C830" s="157"/>
      <c r="D830" s="158"/>
      <c r="E830" s="158"/>
      <c r="F830" s="15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131"/>
      <c r="B831" s="131"/>
      <c r="C831" s="157"/>
      <c r="D831" s="158"/>
      <c r="E831" s="158"/>
      <c r="F831" s="15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131"/>
      <c r="B832" s="131"/>
      <c r="C832" s="157"/>
      <c r="D832" s="158"/>
      <c r="E832" s="158"/>
      <c r="F832" s="15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131"/>
      <c r="B833" s="131"/>
      <c r="C833" s="157"/>
      <c r="D833" s="158"/>
      <c r="E833" s="158"/>
      <c r="F833" s="15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131"/>
      <c r="B834" s="131"/>
      <c r="C834" s="157"/>
      <c r="D834" s="158"/>
      <c r="E834" s="158"/>
      <c r="F834" s="15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131"/>
      <c r="B835" s="131"/>
      <c r="C835" s="157"/>
      <c r="D835" s="158"/>
      <c r="E835" s="158"/>
      <c r="F835" s="15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131"/>
      <c r="B836" s="131"/>
      <c r="C836" s="157"/>
      <c r="D836" s="158"/>
      <c r="E836" s="158"/>
      <c r="F836" s="15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131"/>
      <c r="B837" s="131"/>
      <c r="C837" s="157"/>
      <c r="D837" s="158"/>
      <c r="E837" s="158"/>
      <c r="F837" s="15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131"/>
      <c r="B838" s="131"/>
      <c r="C838" s="157"/>
      <c r="D838" s="158"/>
      <c r="E838" s="158"/>
      <c r="F838" s="15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131"/>
      <c r="B839" s="131"/>
      <c r="C839" s="157"/>
      <c r="D839" s="158"/>
      <c r="E839" s="158"/>
      <c r="F839" s="15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131"/>
      <c r="B840" s="131"/>
      <c r="C840" s="157"/>
      <c r="D840" s="158"/>
      <c r="E840" s="158"/>
      <c r="F840" s="15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131"/>
      <c r="B841" s="131"/>
      <c r="C841" s="157"/>
      <c r="D841" s="158"/>
      <c r="E841" s="158"/>
      <c r="F841" s="15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131"/>
      <c r="B842" s="131"/>
      <c r="C842" s="157"/>
      <c r="D842" s="158"/>
      <c r="E842" s="158"/>
      <c r="F842" s="15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131"/>
      <c r="B843" s="131"/>
      <c r="C843" s="157"/>
      <c r="D843" s="158"/>
      <c r="E843" s="158"/>
      <c r="F843" s="15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131"/>
      <c r="B844" s="131"/>
      <c r="C844" s="157"/>
      <c r="D844" s="158"/>
      <c r="E844" s="158"/>
      <c r="F844" s="15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131"/>
      <c r="B845" s="131"/>
      <c r="C845" s="157"/>
      <c r="D845" s="158"/>
      <c r="E845" s="158"/>
      <c r="F845" s="15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131"/>
      <c r="B846" s="131"/>
      <c r="C846" s="157"/>
      <c r="D846" s="158"/>
      <c r="E846" s="158"/>
      <c r="F846" s="15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131"/>
      <c r="B847" s="131"/>
      <c r="C847" s="157"/>
      <c r="D847" s="158"/>
      <c r="E847" s="158"/>
      <c r="F847" s="15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131"/>
      <c r="B848" s="131"/>
      <c r="C848" s="157"/>
      <c r="D848" s="158"/>
      <c r="E848" s="158"/>
      <c r="F848" s="15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131"/>
      <c r="B849" s="131"/>
      <c r="C849" s="157"/>
      <c r="D849" s="158"/>
      <c r="E849" s="158"/>
      <c r="F849" s="15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131"/>
      <c r="B850" s="131"/>
      <c r="C850" s="157"/>
      <c r="D850" s="158"/>
      <c r="E850" s="158"/>
      <c r="F850" s="15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131"/>
      <c r="B851" s="131"/>
      <c r="C851" s="157"/>
      <c r="D851" s="158"/>
      <c r="E851" s="158"/>
      <c r="F851" s="15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131"/>
      <c r="B852" s="131"/>
      <c r="C852" s="157"/>
      <c r="D852" s="158"/>
      <c r="E852" s="158"/>
      <c r="F852" s="15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131"/>
      <c r="B853" s="131"/>
      <c r="C853" s="157"/>
      <c r="D853" s="158"/>
      <c r="E853" s="158"/>
      <c r="F853" s="15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131"/>
      <c r="B854" s="131"/>
      <c r="C854" s="157"/>
      <c r="D854" s="158"/>
      <c r="E854" s="158"/>
      <c r="F854" s="15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131"/>
      <c r="B855" s="131"/>
      <c r="C855" s="157"/>
      <c r="D855" s="158"/>
      <c r="E855" s="158"/>
      <c r="F855" s="15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131"/>
      <c r="B856" s="131"/>
      <c r="C856" s="157"/>
      <c r="D856" s="158"/>
      <c r="E856" s="158"/>
      <c r="F856" s="15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131"/>
      <c r="B857" s="131"/>
      <c r="C857" s="157"/>
      <c r="D857" s="158"/>
      <c r="E857" s="158"/>
      <c r="F857" s="15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131"/>
      <c r="B858" s="131"/>
      <c r="C858" s="157"/>
      <c r="D858" s="158"/>
      <c r="E858" s="158"/>
      <c r="F858" s="15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131"/>
      <c r="B859" s="131"/>
      <c r="C859" s="157"/>
      <c r="D859" s="158"/>
      <c r="E859" s="158"/>
      <c r="F859" s="15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131"/>
      <c r="B860" s="131"/>
      <c r="C860" s="157"/>
      <c r="D860" s="158"/>
      <c r="E860" s="158"/>
      <c r="F860" s="15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131"/>
      <c r="B861" s="131"/>
      <c r="C861" s="157"/>
      <c r="D861" s="158"/>
      <c r="E861" s="158"/>
      <c r="F861" s="15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131"/>
      <c r="B862" s="131"/>
      <c r="C862" s="157"/>
      <c r="D862" s="158"/>
      <c r="E862" s="158"/>
      <c r="F862" s="15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131"/>
      <c r="B863" s="131"/>
      <c r="C863" s="157"/>
      <c r="D863" s="158"/>
      <c r="E863" s="158"/>
      <c r="F863" s="15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131"/>
      <c r="B864" s="131"/>
      <c r="C864" s="157"/>
      <c r="D864" s="158"/>
      <c r="E864" s="158"/>
      <c r="F864" s="15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131"/>
      <c r="B865" s="131"/>
      <c r="C865" s="157"/>
      <c r="D865" s="158"/>
      <c r="E865" s="158"/>
      <c r="F865" s="15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131"/>
      <c r="B866" s="131"/>
      <c r="C866" s="157"/>
      <c r="D866" s="158"/>
      <c r="E866" s="158"/>
      <c r="F866" s="15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131"/>
      <c r="B867" s="131"/>
      <c r="C867" s="157"/>
      <c r="D867" s="158"/>
      <c r="E867" s="158"/>
      <c r="F867" s="15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131"/>
      <c r="B868" s="131"/>
      <c r="C868" s="157"/>
      <c r="D868" s="158"/>
      <c r="E868" s="158"/>
      <c r="F868" s="15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131"/>
      <c r="B869" s="131"/>
      <c r="C869" s="157"/>
      <c r="D869" s="158"/>
      <c r="E869" s="158"/>
      <c r="F869" s="15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131"/>
      <c r="B870" s="131"/>
      <c r="C870" s="157"/>
      <c r="D870" s="158"/>
      <c r="E870" s="158"/>
      <c r="F870" s="15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131"/>
      <c r="B871" s="131"/>
      <c r="C871" s="157"/>
      <c r="D871" s="158"/>
      <c r="E871" s="158"/>
      <c r="F871" s="15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131"/>
      <c r="B872" s="131"/>
      <c r="C872" s="157"/>
      <c r="D872" s="158"/>
      <c r="E872" s="158"/>
      <c r="F872" s="15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131"/>
      <c r="B873" s="131"/>
      <c r="C873" s="157"/>
      <c r="D873" s="158"/>
      <c r="E873" s="158"/>
      <c r="F873" s="15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131"/>
      <c r="B874" s="131"/>
      <c r="C874" s="157"/>
      <c r="D874" s="158"/>
      <c r="E874" s="158"/>
      <c r="F874" s="15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131"/>
      <c r="B875" s="131"/>
      <c r="C875" s="157"/>
      <c r="D875" s="158"/>
      <c r="E875" s="158"/>
      <c r="F875" s="15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131"/>
      <c r="B876" s="131"/>
      <c r="C876" s="157"/>
      <c r="D876" s="158"/>
      <c r="E876" s="158"/>
      <c r="F876" s="15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131"/>
      <c r="B877" s="131"/>
      <c r="C877" s="157"/>
      <c r="D877" s="158"/>
      <c r="E877" s="158"/>
      <c r="F877" s="15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131"/>
      <c r="B878" s="131"/>
      <c r="C878" s="157"/>
      <c r="D878" s="158"/>
      <c r="E878" s="158"/>
      <c r="F878" s="15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131"/>
      <c r="B879" s="131"/>
      <c r="C879" s="157"/>
      <c r="D879" s="158"/>
      <c r="E879" s="158"/>
      <c r="F879" s="15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131"/>
      <c r="B880" s="131"/>
      <c r="C880" s="157"/>
      <c r="D880" s="158"/>
      <c r="E880" s="158"/>
      <c r="F880" s="15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131"/>
      <c r="B881" s="131"/>
      <c r="C881" s="157"/>
      <c r="D881" s="158"/>
      <c r="E881" s="158"/>
      <c r="F881" s="15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131"/>
      <c r="B882" s="131"/>
      <c r="C882" s="157"/>
      <c r="D882" s="158"/>
      <c r="E882" s="158"/>
      <c r="F882" s="15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131"/>
      <c r="B883" s="131"/>
      <c r="C883" s="157"/>
      <c r="D883" s="158"/>
      <c r="E883" s="158"/>
      <c r="F883" s="15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131"/>
      <c r="B884" s="131"/>
      <c r="C884" s="157"/>
      <c r="D884" s="158"/>
      <c r="E884" s="158"/>
      <c r="F884" s="15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131"/>
      <c r="B885" s="131"/>
      <c r="C885" s="157"/>
      <c r="D885" s="158"/>
      <c r="E885" s="158"/>
      <c r="F885" s="15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131"/>
      <c r="B886" s="131"/>
      <c r="C886" s="157"/>
      <c r="D886" s="158"/>
      <c r="E886" s="158"/>
      <c r="F886" s="15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131"/>
      <c r="B887" s="131"/>
      <c r="C887" s="157"/>
      <c r="D887" s="158"/>
      <c r="E887" s="158"/>
      <c r="F887" s="15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131"/>
      <c r="B888" s="131"/>
      <c r="C888" s="157"/>
      <c r="D888" s="158"/>
      <c r="E888" s="158"/>
      <c r="F888" s="15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131"/>
      <c r="B889" s="131"/>
      <c r="C889" s="157"/>
      <c r="D889" s="158"/>
      <c r="E889" s="158"/>
      <c r="F889" s="15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131"/>
      <c r="B890" s="131"/>
      <c r="C890" s="157"/>
      <c r="D890" s="158"/>
      <c r="E890" s="158"/>
      <c r="F890" s="15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131"/>
      <c r="B891" s="131"/>
      <c r="C891" s="157"/>
      <c r="D891" s="158"/>
      <c r="E891" s="158"/>
      <c r="F891" s="15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131"/>
      <c r="B892" s="131"/>
      <c r="C892" s="157"/>
      <c r="D892" s="158"/>
      <c r="E892" s="158"/>
      <c r="F892" s="15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131"/>
      <c r="B893" s="131"/>
      <c r="C893" s="157"/>
      <c r="D893" s="158"/>
      <c r="E893" s="158"/>
      <c r="F893" s="15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131"/>
      <c r="B894" s="131"/>
      <c r="C894" s="157"/>
      <c r="D894" s="158"/>
      <c r="E894" s="158"/>
      <c r="F894" s="15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131"/>
      <c r="B895" s="131"/>
      <c r="C895" s="157"/>
      <c r="D895" s="158"/>
      <c r="E895" s="158"/>
      <c r="F895" s="15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131"/>
      <c r="B896" s="131"/>
      <c r="C896" s="157"/>
      <c r="D896" s="158"/>
      <c r="E896" s="158"/>
      <c r="F896" s="15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131"/>
      <c r="B897" s="131"/>
      <c r="C897" s="157"/>
      <c r="D897" s="158"/>
      <c r="E897" s="158"/>
      <c r="F897" s="15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131"/>
      <c r="B898" s="131"/>
      <c r="C898" s="157"/>
      <c r="D898" s="158"/>
      <c r="E898" s="158"/>
      <c r="F898" s="15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131"/>
      <c r="B899" s="131"/>
      <c r="C899" s="157"/>
      <c r="D899" s="158"/>
      <c r="E899" s="158"/>
      <c r="F899" s="15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131"/>
      <c r="B900" s="131"/>
      <c r="C900" s="157"/>
      <c r="D900" s="158"/>
      <c r="E900" s="158"/>
      <c r="F900" s="15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131"/>
      <c r="B901" s="131"/>
      <c r="C901" s="157"/>
      <c r="D901" s="158"/>
      <c r="E901" s="158"/>
      <c r="F901" s="15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131"/>
      <c r="B902" s="131"/>
      <c r="C902" s="157"/>
      <c r="D902" s="158"/>
      <c r="E902" s="158"/>
      <c r="F902" s="15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131"/>
      <c r="B903" s="131"/>
      <c r="C903" s="157"/>
      <c r="D903" s="158"/>
      <c r="E903" s="158"/>
      <c r="F903" s="15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131"/>
      <c r="B904" s="131"/>
      <c r="C904" s="157"/>
      <c r="D904" s="158"/>
      <c r="E904" s="158"/>
      <c r="F904" s="15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131"/>
      <c r="B905" s="131"/>
      <c r="C905" s="157"/>
      <c r="D905" s="158"/>
      <c r="E905" s="158"/>
      <c r="F905" s="15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131"/>
      <c r="B906" s="131"/>
      <c r="C906" s="157"/>
      <c r="D906" s="158"/>
      <c r="E906" s="158"/>
      <c r="F906" s="15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131"/>
      <c r="B907" s="131"/>
      <c r="C907" s="157"/>
      <c r="D907" s="158"/>
      <c r="E907" s="158"/>
      <c r="F907" s="15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131"/>
      <c r="B908" s="131"/>
      <c r="C908" s="157"/>
      <c r="D908" s="158"/>
      <c r="E908" s="158"/>
      <c r="F908" s="15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131"/>
      <c r="B909" s="131"/>
      <c r="C909" s="157"/>
      <c r="D909" s="158"/>
      <c r="E909" s="158"/>
      <c r="F909" s="15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131"/>
      <c r="B910" s="131"/>
      <c r="C910" s="157"/>
      <c r="D910" s="158"/>
      <c r="E910" s="158"/>
      <c r="F910" s="15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131"/>
      <c r="B911" s="131"/>
      <c r="C911" s="157"/>
      <c r="D911" s="158"/>
      <c r="E911" s="158"/>
      <c r="F911" s="15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131"/>
      <c r="B912" s="131"/>
      <c r="C912" s="157"/>
      <c r="D912" s="158"/>
      <c r="E912" s="158"/>
      <c r="F912" s="15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131"/>
      <c r="B913" s="131"/>
      <c r="C913" s="157"/>
      <c r="D913" s="158"/>
      <c r="E913" s="158"/>
      <c r="F913" s="15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131"/>
      <c r="B914" s="131"/>
      <c r="C914" s="157"/>
      <c r="D914" s="158"/>
      <c r="E914" s="158"/>
      <c r="F914" s="15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131"/>
      <c r="B915" s="131"/>
      <c r="C915" s="157"/>
      <c r="D915" s="158"/>
      <c r="E915" s="158"/>
      <c r="F915" s="15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131"/>
      <c r="B916" s="131"/>
      <c r="C916" s="157"/>
      <c r="D916" s="158"/>
      <c r="E916" s="158"/>
      <c r="F916" s="15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131"/>
      <c r="B917" s="131"/>
      <c r="C917" s="157"/>
      <c r="D917" s="158"/>
      <c r="E917" s="158"/>
      <c r="F917" s="15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131"/>
      <c r="B918" s="131"/>
      <c r="C918" s="157"/>
      <c r="D918" s="158"/>
      <c r="E918" s="158"/>
      <c r="F918" s="15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131"/>
      <c r="B919" s="131"/>
      <c r="C919" s="157"/>
      <c r="D919" s="158"/>
      <c r="E919" s="158"/>
      <c r="F919" s="15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131"/>
      <c r="B920" s="131"/>
      <c r="C920" s="157"/>
      <c r="D920" s="158"/>
      <c r="E920" s="158"/>
      <c r="F920" s="15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131"/>
      <c r="B921" s="131"/>
      <c r="C921" s="157"/>
      <c r="D921" s="158"/>
      <c r="E921" s="158"/>
      <c r="F921" s="15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131"/>
      <c r="B922" s="131"/>
      <c r="C922" s="157"/>
      <c r="D922" s="158"/>
      <c r="E922" s="158"/>
      <c r="F922" s="15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131"/>
      <c r="B923" s="131"/>
      <c r="C923" s="157"/>
      <c r="D923" s="158"/>
      <c r="E923" s="158"/>
      <c r="F923" s="15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131"/>
      <c r="B924" s="131"/>
      <c r="C924" s="157"/>
      <c r="D924" s="158"/>
      <c r="E924" s="158"/>
      <c r="F924" s="15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131"/>
      <c r="B925" s="131"/>
      <c r="C925" s="157"/>
      <c r="D925" s="158"/>
      <c r="E925" s="158"/>
      <c r="F925" s="15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131"/>
      <c r="B926" s="131"/>
      <c r="C926" s="157"/>
      <c r="D926" s="158"/>
      <c r="E926" s="158"/>
      <c r="F926" s="15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131"/>
      <c r="B927" s="131"/>
      <c r="C927" s="157"/>
      <c r="D927" s="158"/>
      <c r="E927" s="158"/>
      <c r="F927" s="15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131"/>
      <c r="B928" s="131"/>
      <c r="C928" s="157"/>
      <c r="D928" s="158"/>
      <c r="E928" s="158"/>
      <c r="F928" s="15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131"/>
      <c r="B929" s="131"/>
      <c r="C929" s="157"/>
      <c r="D929" s="158"/>
      <c r="E929" s="158"/>
      <c r="F929" s="15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131"/>
      <c r="B930" s="131"/>
      <c r="C930" s="157"/>
      <c r="D930" s="158"/>
      <c r="E930" s="158"/>
      <c r="F930" s="15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131"/>
      <c r="B931" s="131"/>
      <c r="C931" s="157"/>
      <c r="D931" s="158"/>
      <c r="E931" s="158"/>
      <c r="F931" s="15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131"/>
      <c r="B932" s="131"/>
      <c r="C932" s="157"/>
      <c r="D932" s="158"/>
      <c r="E932" s="158"/>
      <c r="F932" s="15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131"/>
      <c r="B933" s="131"/>
      <c r="C933" s="157"/>
      <c r="D933" s="158"/>
      <c r="E933" s="158"/>
      <c r="F933" s="15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131"/>
      <c r="B934" s="131"/>
      <c r="C934" s="157"/>
      <c r="D934" s="158"/>
      <c r="E934" s="158"/>
      <c r="F934" s="15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131"/>
      <c r="B935" s="131"/>
      <c r="C935" s="157"/>
      <c r="D935" s="158"/>
      <c r="E935" s="158"/>
      <c r="F935" s="15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131"/>
      <c r="B936" s="131"/>
      <c r="C936" s="157"/>
      <c r="D936" s="158"/>
      <c r="E936" s="158"/>
      <c r="F936" s="15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131"/>
      <c r="B937" s="131"/>
      <c r="C937" s="157"/>
      <c r="D937" s="158"/>
      <c r="E937" s="158"/>
      <c r="F937" s="15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131"/>
      <c r="B938" s="131"/>
      <c r="C938" s="157"/>
      <c r="D938" s="158"/>
      <c r="E938" s="158"/>
      <c r="F938" s="15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131"/>
      <c r="B939" s="131"/>
      <c r="C939" s="157"/>
      <c r="D939" s="158"/>
      <c r="E939" s="158"/>
      <c r="F939" s="15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131"/>
      <c r="B940" s="131"/>
      <c r="C940" s="157"/>
      <c r="D940" s="158"/>
      <c r="E940" s="158"/>
      <c r="F940" s="15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131"/>
      <c r="B941" s="131"/>
      <c r="C941" s="157"/>
      <c r="D941" s="158"/>
      <c r="E941" s="158"/>
      <c r="F941" s="15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131"/>
      <c r="B942" s="131"/>
      <c r="C942" s="157"/>
      <c r="D942" s="158"/>
      <c r="E942" s="158"/>
      <c r="F942" s="15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131"/>
      <c r="B943" s="131"/>
      <c r="C943" s="157"/>
      <c r="D943" s="158"/>
      <c r="E943" s="158"/>
      <c r="F943" s="15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131"/>
      <c r="B944" s="131"/>
      <c r="C944" s="157"/>
      <c r="D944" s="158"/>
      <c r="E944" s="158"/>
      <c r="F944" s="15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131"/>
      <c r="B945" s="131"/>
      <c r="C945" s="157"/>
      <c r="D945" s="158"/>
      <c r="E945" s="158"/>
      <c r="F945" s="15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131"/>
      <c r="B946" s="131"/>
      <c r="C946" s="157"/>
      <c r="D946" s="158"/>
      <c r="E946" s="158"/>
      <c r="F946" s="15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131"/>
      <c r="B947" s="131"/>
      <c r="C947" s="157"/>
      <c r="D947" s="158"/>
      <c r="E947" s="158"/>
      <c r="F947" s="15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131"/>
      <c r="B948" s="131"/>
      <c r="C948" s="157"/>
      <c r="D948" s="158"/>
      <c r="E948" s="158"/>
      <c r="F948" s="15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131"/>
      <c r="B949" s="131"/>
      <c r="C949" s="157"/>
      <c r="D949" s="158"/>
      <c r="E949" s="158"/>
      <c r="F949" s="15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131"/>
      <c r="B950" s="131"/>
      <c r="C950" s="157"/>
      <c r="D950" s="158"/>
      <c r="E950" s="158"/>
      <c r="F950" s="15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131"/>
      <c r="B951" s="131"/>
      <c r="C951" s="157"/>
      <c r="D951" s="158"/>
      <c r="E951" s="158"/>
      <c r="F951" s="15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131"/>
      <c r="B952" s="131"/>
      <c r="C952" s="157"/>
      <c r="D952" s="158"/>
      <c r="E952" s="158"/>
      <c r="F952" s="15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131"/>
      <c r="B953" s="131"/>
      <c r="C953" s="157"/>
      <c r="D953" s="158"/>
      <c r="E953" s="158"/>
      <c r="F953" s="15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131"/>
      <c r="B954" s="131"/>
      <c r="C954" s="157"/>
      <c r="D954" s="158"/>
      <c r="E954" s="158"/>
      <c r="F954" s="15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131"/>
      <c r="B955" s="131"/>
      <c r="C955" s="157"/>
      <c r="D955" s="158"/>
      <c r="E955" s="158"/>
      <c r="F955" s="15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131"/>
      <c r="B956" s="131"/>
      <c r="C956" s="157"/>
      <c r="D956" s="158"/>
      <c r="E956" s="158"/>
      <c r="F956" s="15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131"/>
      <c r="B957" s="131"/>
      <c r="C957" s="157"/>
      <c r="D957" s="158"/>
      <c r="E957" s="158"/>
      <c r="F957" s="15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131"/>
      <c r="B958" s="131"/>
      <c r="C958" s="157"/>
      <c r="D958" s="158"/>
      <c r="E958" s="158"/>
      <c r="F958" s="15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131"/>
      <c r="B959" s="131"/>
      <c r="C959" s="157"/>
      <c r="D959" s="158"/>
      <c r="E959" s="158"/>
      <c r="F959" s="15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131"/>
      <c r="B960" s="131"/>
      <c r="C960" s="157"/>
      <c r="D960" s="158"/>
      <c r="E960" s="158"/>
      <c r="F960" s="15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131"/>
      <c r="B961" s="131"/>
      <c r="C961" s="157"/>
      <c r="D961" s="158"/>
      <c r="E961" s="158"/>
      <c r="F961" s="15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131"/>
      <c r="B962" s="131"/>
      <c r="C962" s="157"/>
      <c r="D962" s="158"/>
      <c r="E962" s="158"/>
      <c r="F962" s="15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131"/>
      <c r="B963" s="131"/>
      <c r="C963" s="157"/>
      <c r="D963" s="158"/>
      <c r="E963" s="158"/>
      <c r="F963" s="15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131"/>
      <c r="B964" s="131"/>
      <c r="C964" s="157"/>
      <c r="D964" s="158"/>
      <c r="E964" s="158"/>
      <c r="F964" s="15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131"/>
      <c r="B965" s="131"/>
      <c r="C965" s="157"/>
      <c r="D965" s="158"/>
      <c r="E965" s="158"/>
      <c r="F965" s="15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131"/>
      <c r="B966" s="131"/>
      <c r="C966" s="157"/>
      <c r="D966" s="158"/>
      <c r="E966" s="158"/>
      <c r="F966" s="15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131"/>
      <c r="B967" s="131"/>
      <c r="C967" s="157"/>
      <c r="D967" s="158"/>
      <c r="E967" s="158"/>
      <c r="F967" s="15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131"/>
      <c r="B968" s="131"/>
      <c r="C968" s="157"/>
      <c r="D968" s="158"/>
      <c r="E968" s="158"/>
      <c r="F968" s="15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131"/>
      <c r="B969" s="131"/>
      <c r="C969" s="157"/>
      <c r="D969" s="158"/>
      <c r="E969" s="158"/>
      <c r="F969" s="15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131"/>
      <c r="B970" s="131"/>
      <c r="C970" s="157"/>
      <c r="D970" s="158"/>
      <c r="E970" s="158"/>
      <c r="F970" s="15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131"/>
      <c r="B971" s="131"/>
      <c r="C971" s="157"/>
      <c r="D971" s="158"/>
      <c r="E971" s="158"/>
      <c r="F971" s="15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131"/>
      <c r="B972" s="131"/>
      <c r="C972" s="157"/>
      <c r="D972" s="158"/>
      <c r="E972" s="158"/>
      <c r="F972" s="15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131"/>
      <c r="B973" s="131"/>
      <c r="C973" s="157"/>
      <c r="D973" s="158"/>
      <c r="E973" s="158"/>
      <c r="F973" s="15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131"/>
      <c r="B974" s="131"/>
      <c r="C974" s="157"/>
      <c r="D974" s="158"/>
      <c r="E974" s="158"/>
      <c r="F974" s="15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131"/>
      <c r="B975" s="131"/>
      <c r="C975" s="157"/>
      <c r="D975" s="158"/>
      <c r="E975" s="158"/>
      <c r="F975" s="15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131"/>
      <c r="B976" s="131"/>
      <c r="C976" s="157"/>
      <c r="D976" s="158"/>
      <c r="E976" s="158"/>
      <c r="F976" s="15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131"/>
      <c r="B977" s="131"/>
      <c r="C977" s="157"/>
      <c r="D977" s="158"/>
      <c r="E977" s="158"/>
      <c r="F977" s="15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131"/>
      <c r="B978" s="131"/>
      <c r="C978" s="157"/>
      <c r="D978" s="158"/>
      <c r="E978" s="158"/>
      <c r="F978" s="15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131"/>
      <c r="B979" s="131"/>
      <c r="C979" s="157"/>
      <c r="D979" s="158"/>
      <c r="E979" s="158"/>
      <c r="F979" s="15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131"/>
      <c r="B980" s="131"/>
      <c r="C980" s="157"/>
      <c r="D980" s="158"/>
      <c r="E980" s="158"/>
      <c r="F980" s="15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131"/>
      <c r="B981" s="131"/>
      <c r="C981" s="157"/>
      <c r="D981" s="158"/>
      <c r="E981" s="158"/>
      <c r="F981" s="15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131"/>
      <c r="B982" s="131"/>
      <c r="C982" s="157"/>
      <c r="D982" s="158"/>
      <c r="E982" s="158"/>
      <c r="F982" s="15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131"/>
      <c r="B983" s="131"/>
      <c r="C983" s="157"/>
      <c r="D983" s="158"/>
      <c r="E983" s="158"/>
      <c r="F983" s="15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131"/>
      <c r="B984" s="131"/>
      <c r="C984" s="157"/>
      <c r="D984" s="158"/>
      <c r="E984" s="158"/>
      <c r="F984" s="15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131"/>
      <c r="B985" s="131"/>
      <c r="C985" s="157"/>
      <c r="D985" s="158"/>
      <c r="E985" s="158"/>
      <c r="F985" s="15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131"/>
      <c r="B986" s="131"/>
      <c r="C986" s="157"/>
      <c r="D986" s="158"/>
      <c r="E986" s="158"/>
      <c r="F986" s="15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131"/>
      <c r="B987" s="131"/>
      <c r="C987" s="157"/>
      <c r="D987" s="158"/>
      <c r="E987" s="158"/>
      <c r="F987" s="15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131"/>
      <c r="B988" s="131"/>
      <c r="C988" s="157"/>
      <c r="D988" s="158"/>
      <c r="E988" s="158"/>
      <c r="F988" s="15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131"/>
      <c r="B989" s="131"/>
      <c r="C989" s="157"/>
      <c r="D989" s="158"/>
      <c r="E989" s="158"/>
      <c r="F989" s="15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131"/>
      <c r="B990" s="131"/>
      <c r="C990" s="157"/>
      <c r="D990" s="158"/>
      <c r="E990" s="158"/>
      <c r="F990" s="15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131"/>
      <c r="B991" s="131"/>
      <c r="C991" s="157"/>
      <c r="D991" s="158"/>
      <c r="E991" s="158"/>
      <c r="F991" s="15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131"/>
      <c r="B992" s="131"/>
      <c r="C992" s="157"/>
      <c r="D992" s="158"/>
      <c r="E992" s="158"/>
      <c r="F992" s="15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131"/>
      <c r="B993" s="131"/>
      <c r="C993" s="157"/>
      <c r="D993" s="158"/>
      <c r="E993" s="158"/>
      <c r="F993" s="15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131"/>
      <c r="B994" s="131"/>
      <c r="C994" s="157"/>
      <c r="D994" s="158"/>
      <c r="E994" s="158"/>
      <c r="F994" s="15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131"/>
      <c r="B995" s="131"/>
      <c r="C995" s="157"/>
      <c r="D995" s="158"/>
      <c r="E995" s="158"/>
      <c r="F995" s="15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131"/>
      <c r="B996" s="131"/>
      <c r="C996" s="157"/>
      <c r="D996" s="158"/>
      <c r="E996" s="158"/>
      <c r="F996" s="15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131"/>
      <c r="B997" s="131"/>
      <c r="C997" s="157"/>
      <c r="D997" s="158"/>
      <c r="E997" s="158"/>
      <c r="F997" s="15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131"/>
      <c r="B998" s="131"/>
      <c r="C998" s="157"/>
      <c r="D998" s="158"/>
      <c r="E998" s="158"/>
      <c r="F998" s="15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131"/>
      <c r="B999" s="131"/>
      <c r="C999" s="157"/>
      <c r="D999" s="158"/>
      <c r="E999" s="158"/>
      <c r="F999" s="15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131"/>
      <c r="B1000" s="131"/>
      <c r="C1000" s="157"/>
      <c r="D1000" s="158"/>
      <c r="E1000" s="158"/>
      <c r="F1000" s="15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unka3"/>
  <dimension ref="A1:B1000"/>
  <sheetViews>
    <sheetView workbookViewId="0"/>
  </sheetViews>
  <sheetFormatPr defaultColWidth="14.44140625" defaultRowHeight="15" customHeight="1" x14ac:dyDescent="0.3"/>
  <cols>
    <col min="1" max="1" width="10.5546875" customWidth="1"/>
    <col min="2" max="2" width="4" customWidth="1"/>
    <col min="3" max="26" width="8.6640625" customWidth="1"/>
  </cols>
  <sheetData>
    <row r="1" spans="1:2" ht="14.25" customHeight="1" x14ac:dyDescent="0.3">
      <c r="A1" s="1" t="s">
        <v>798</v>
      </c>
      <c r="B1" s="160" t="s">
        <v>799</v>
      </c>
    </row>
    <row r="2" spans="1:2" ht="14.25" customHeight="1" x14ac:dyDescent="0.3">
      <c r="A2" s="1" t="s">
        <v>338</v>
      </c>
      <c r="B2" s="1">
        <v>53</v>
      </c>
    </row>
    <row r="3" spans="1:2" ht="14.25" customHeight="1" x14ac:dyDescent="0.3">
      <c r="A3" s="1" t="s">
        <v>398</v>
      </c>
      <c r="B3" s="1">
        <v>106</v>
      </c>
    </row>
    <row r="4" spans="1:2" ht="14.25" customHeight="1" x14ac:dyDescent="0.3"/>
    <row r="5" spans="1:2" ht="14.25" customHeight="1" x14ac:dyDescent="0.3"/>
    <row r="6" spans="1:2" ht="14.25" customHeight="1" x14ac:dyDescent="0.3"/>
    <row r="7" spans="1:2" ht="14.25" customHeight="1" x14ac:dyDescent="0.3"/>
    <row r="8" spans="1:2" ht="14.25" customHeight="1" x14ac:dyDescent="0.3"/>
    <row r="9" spans="1:2" ht="14.25" customHeight="1" x14ac:dyDescent="0.3"/>
    <row r="10" spans="1:2" ht="14.25" customHeight="1" x14ac:dyDescent="0.3"/>
    <row r="11" spans="1:2" ht="14.25" customHeight="1" x14ac:dyDescent="0.3"/>
    <row r="12" spans="1:2" ht="14.25" customHeight="1" x14ac:dyDescent="0.3"/>
    <row r="13" spans="1:2" ht="14.25" customHeight="1" x14ac:dyDescent="0.3"/>
    <row r="14" spans="1:2" ht="14.25" customHeight="1" x14ac:dyDescent="0.3"/>
    <row r="15" spans="1:2" ht="14.25" customHeight="1" x14ac:dyDescent="0.3"/>
    <row r="16" spans="1:2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1000"/>
  <sheetViews>
    <sheetView workbookViewId="0"/>
  </sheetViews>
  <sheetFormatPr defaultColWidth="14.44140625" defaultRowHeight="15" customHeight="1" x14ac:dyDescent="0.3"/>
  <cols>
    <col min="1" max="1" width="9.6640625" customWidth="1"/>
    <col min="2" max="26" width="8.6640625" customWidth="1"/>
  </cols>
  <sheetData>
    <row r="1" spans="1:5" ht="14.25" customHeight="1" x14ac:dyDescent="0.3">
      <c r="A1" s="1" t="s">
        <v>800</v>
      </c>
      <c r="C1" s="1" t="s">
        <v>801</v>
      </c>
      <c r="E1" s="1">
        <v>0</v>
      </c>
    </row>
    <row r="2" spans="1:5" ht="14.25" customHeight="1" x14ac:dyDescent="0.3">
      <c r="A2" s="1">
        <v>14</v>
      </c>
      <c r="C2" s="1" t="s">
        <v>802</v>
      </c>
      <c r="E2" s="1">
        <v>2</v>
      </c>
    </row>
    <row r="3" spans="1:5" ht="14.25" customHeight="1" x14ac:dyDescent="0.3">
      <c r="A3" s="1">
        <v>15</v>
      </c>
      <c r="C3" s="1" t="s">
        <v>105</v>
      </c>
    </row>
    <row r="4" spans="1:5" ht="14.25" customHeight="1" x14ac:dyDescent="0.3">
      <c r="A4" s="1">
        <v>16</v>
      </c>
    </row>
    <row r="5" spans="1:5" ht="14.25" customHeight="1" x14ac:dyDescent="0.3">
      <c r="A5" s="1">
        <v>18</v>
      </c>
    </row>
    <row r="6" spans="1:5" ht="14.25" customHeight="1" x14ac:dyDescent="0.3">
      <c r="A6" s="1">
        <v>20</v>
      </c>
    </row>
    <row r="7" spans="1:5" ht="14.25" customHeight="1" x14ac:dyDescent="0.3">
      <c r="A7" s="1">
        <v>21</v>
      </c>
    </row>
    <row r="8" spans="1:5" ht="14.25" customHeight="1" x14ac:dyDescent="0.3">
      <c r="A8" s="1">
        <v>22</v>
      </c>
    </row>
    <row r="9" spans="1:5" ht="14.25" customHeight="1" x14ac:dyDescent="0.3">
      <c r="A9" s="1">
        <v>23</v>
      </c>
    </row>
    <row r="10" spans="1:5" ht="14.25" customHeight="1" x14ac:dyDescent="0.3">
      <c r="A10" s="1">
        <v>24</v>
      </c>
    </row>
    <row r="11" spans="1:5" ht="14.25" customHeight="1" x14ac:dyDescent="0.3">
      <c r="A11" s="160" t="s">
        <v>803</v>
      </c>
    </row>
    <row r="12" spans="1:5" ht="14.25" customHeight="1" x14ac:dyDescent="0.3">
      <c r="A12" s="160">
        <v>26</v>
      </c>
    </row>
    <row r="13" spans="1:5" ht="14.25" customHeight="1" x14ac:dyDescent="0.3">
      <c r="A13" s="1">
        <v>28</v>
      </c>
    </row>
    <row r="14" spans="1:5" ht="14.25" customHeight="1" x14ac:dyDescent="0.3">
      <c r="A14" s="1">
        <v>29</v>
      </c>
    </row>
    <row r="15" spans="1:5" ht="14.25" customHeight="1" x14ac:dyDescent="0.3">
      <c r="A15" s="1">
        <v>30</v>
      </c>
    </row>
    <row r="16" spans="1:5" ht="14.25" customHeight="1" x14ac:dyDescent="0.3">
      <c r="A16" s="1">
        <v>31</v>
      </c>
    </row>
    <row r="17" spans="1:1" ht="14.25" customHeight="1" x14ac:dyDescent="0.3">
      <c r="A17" s="1">
        <v>32</v>
      </c>
    </row>
    <row r="18" spans="1:1" ht="14.25" customHeight="1" x14ac:dyDescent="0.3">
      <c r="A18" s="1">
        <v>33</v>
      </c>
    </row>
    <row r="19" spans="1:1" ht="14.25" customHeight="1" x14ac:dyDescent="0.3">
      <c r="A19" s="1">
        <v>34</v>
      </c>
    </row>
    <row r="20" spans="1:1" ht="14.25" customHeight="1" x14ac:dyDescent="0.3">
      <c r="A20" s="1">
        <v>36</v>
      </c>
    </row>
    <row r="21" spans="1:1" ht="14.25" customHeight="1" x14ac:dyDescent="0.3">
      <c r="A21" s="1">
        <v>38</v>
      </c>
    </row>
    <row r="22" spans="1:1" ht="14.25" customHeight="1" x14ac:dyDescent="0.3">
      <c r="A22" s="1">
        <v>40</v>
      </c>
    </row>
    <row r="23" spans="1:1" ht="14.25" customHeight="1" x14ac:dyDescent="0.3">
      <c r="A23" s="1">
        <v>42</v>
      </c>
    </row>
    <row r="24" spans="1:1" ht="14.25" customHeight="1" x14ac:dyDescent="0.3">
      <c r="A24" s="1">
        <v>44</v>
      </c>
    </row>
    <row r="25" spans="1:1" ht="14.25" customHeight="1" x14ac:dyDescent="0.3">
      <c r="A25" s="1">
        <v>45</v>
      </c>
    </row>
    <row r="26" spans="1:1" ht="14.25" customHeight="1" x14ac:dyDescent="0.3">
      <c r="A26" s="1">
        <v>46</v>
      </c>
    </row>
    <row r="27" spans="1:1" ht="14.25" customHeight="1" x14ac:dyDescent="0.3">
      <c r="A27" s="1">
        <v>48</v>
      </c>
    </row>
    <row r="28" spans="1:1" ht="14.25" customHeight="1" x14ac:dyDescent="0.3">
      <c r="A28" s="1">
        <v>50</v>
      </c>
    </row>
    <row r="29" spans="1:1" ht="14.25" customHeight="1" x14ac:dyDescent="0.3">
      <c r="A29" s="1">
        <v>52</v>
      </c>
    </row>
    <row r="30" spans="1:1" ht="14.25" customHeight="1" x14ac:dyDescent="0.3">
      <c r="A30" s="1">
        <v>54</v>
      </c>
    </row>
    <row r="31" spans="1:1" ht="14.25" customHeight="1" x14ac:dyDescent="0.3">
      <c r="A31" s="1" t="s">
        <v>804</v>
      </c>
    </row>
    <row r="32" spans="1:1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unka4"/>
  <dimension ref="A1:F1000"/>
  <sheetViews>
    <sheetView workbookViewId="0"/>
  </sheetViews>
  <sheetFormatPr defaultColWidth="14.44140625" defaultRowHeight="15" customHeight="1" x14ac:dyDescent="0.3"/>
  <cols>
    <col min="1" max="3" width="18" customWidth="1"/>
    <col min="4" max="4" width="9.5546875" customWidth="1"/>
    <col min="5" max="26" width="18" customWidth="1"/>
  </cols>
  <sheetData>
    <row r="1" spans="1:6" ht="14.25" customHeight="1" x14ac:dyDescent="0.3">
      <c r="A1" s="161" t="s">
        <v>75</v>
      </c>
      <c r="B1" s="162" t="s">
        <v>77</v>
      </c>
      <c r="C1" s="163" t="s">
        <v>89</v>
      </c>
      <c r="D1" s="164" t="s">
        <v>91</v>
      </c>
      <c r="E1" s="165" t="s">
        <v>750</v>
      </c>
      <c r="F1" s="166" t="s">
        <v>751</v>
      </c>
    </row>
    <row r="2" spans="1:6" ht="14.25" customHeight="1" x14ac:dyDescent="0.3"/>
    <row r="3" spans="1:6" ht="14.25" customHeight="1" x14ac:dyDescent="0.3">
      <c r="A3" s="167" t="s">
        <v>767</v>
      </c>
      <c r="B3" s="168" t="s">
        <v>768</v>
      </c>
      <c r="C3" s="169">
        <v>53</v>
      </c>
      <c r="D3" s="170">
        <f t="shared" ref="D3:D78" si="0">ROUNDUP(C3-C3*15/100,0)</f>
        <v>46</v>
      </c>
      <c r="E3" s="171" t="s">
        <v>753</v>
      </c>
      <c r="F3" s="172">
        <v>43831</v>
      </c>
    </row>
    <row r="4" spans="1:6" ht="14.25" customHeight="1" x14ac:dyDescent="0.3">
      <c r="A4" s="167" t="s">
        <v>715</v>
      </c>
      <c r="B4" s="168" t="s">
        <v>769</v>
      </c>
      <c r="C4" s="169">
        <v>50</v>
      </c>
      <c r="D4" s="170">
        <f t="shared" si="0"/>
        <v>43</v>
      </c>
      <c r="E4" s="171" t="s">
        <v>753</v>
      </c>
      <c r="F4" s="172">
        <v>43831</v>
      </c>
    </row>
    <row r="5" spans="1:6" ht="14.25" customHeight="1" x14ac:dyDescent="0.3">
      <c r="A5" s="167" t="s">
        <v>339</v>
      </c>
      <c r="B5" s="168" t="s">
        <v>770</v>
      </c>
      <c r="C5" s="169">
        <v>55</v>
      </c>
      <c r="D5" s="170">
        <f t="shared" si="0"/>
        <v>47</v>
      </c>
      <c r="E5" s="171" t="s">
        <v>753</v>
      </c>
      <c r="F5" s="172">
        <v>43831</v>
      </c>
    </row>
    <row r="6" spans="1:6" ht="14.25" customHeight="1" x14ac:dyDescent="0.3">
      <c r="A6" s="167" t="s">
        <v>350</v>
      </c>
      <c r="B6" s="168" t="s">
        <v>771</v>
      </c>
      <c r="C6" s="169">
        <v>80</v>
      </c>
      <c r="D6" s="170">
        <f t="shared" si="0"/>
        <v>68</v>
      </c>
      <c r="E6" s="171" t="s">
        <v>753</v>
      </c>
      <c r="F6" s="172">
        <v>43831</v>
      </c>
    </row>
    <row r="7" spans="1:6" ht="14.25" customHeight="1" x14ac:dyDescent="0.3">
      <c r="A7" s="167" t="s">
        <v>444</v>
      </c>
      <c r="B7" s="168" t="s">
        <v>772</v>
      </c>
      <c r="C7" s="169">
        <v>150</v>
      </c>
      <c r="D7" s="170">
        <f t="shared" si="0"/>
        <v>128</v>
      </c>
      <c r="E7" s="171" t="s">
        <v>753</v>
      </c>
      <c r="F7" s="172">
        <v>43831</v>
      </c>
    </row>
    <row r="8" spans="1:6" ht="14.25" customHeight="1" x14ac:dyDescent="0.3">
      <c r="A8" s="167" t="s">
        <v>765</v>
      </c>
      <c r="B8" s="168" t="s">
        <v>766</v>
      </c>
      <c r="C8" s="169">
        <v>180</v>
      </c>
      <c r="D8" s="170">
        <f t="shared" si="0"/>
        <v>153</v>
      </c>
      <c r="E8" s="171" t="s">
        <v>753</v>
      </c>
      <c r="F8" s="172">
        <v>43831</v>
      </c>
    </row>
    <row r="9" spans="1:6" ht="14.25" customHeight="1" x14ac:dyDescent="0.3">
      <c r="A9" s="167" t="s">
        <v>421</v>
      </c>
      <c r="B9" s="168" t="s">
        <v>755</v>
      </c>
      <c r="C9" s="169">
        <v>65</v>
      </c>
      <c r="D9" s="170">
        <f t="shared" si="0"/>
        <v>56</v>
      </c>
      <c r="E9" s="171" t="s">
        <v>753</v>
      </c>
      <c r="F9" s="172">
        <v>43831</v>
      </c>
    </row>
    <row r="10" spans="1:6" ht="14.25" customHeight="1" x14ac:dyDescent="0.3">
      <c r="A10" s="167" t="s">
        <v>354</v>
      </c>
      <c r="B10" s="168" t="s">
        <v>775</v>
      </c>
      <c r="C10" s="169">
        <v>65</v>
      </c>
      <c r="D10" s="170">
        <f t="shared" si="0"/>
        <v>56</v>
      </c>
      <c r="E10" s="171" t="s">
        <v>753</v>
      </c>
      <c r="F10" s="172">
        <v>43831</v>
      </c>
    </row>
    <row r="11" spans="1:6" ht="14.25" customHeight="1" x14ac:dyDescent="0.3">
      <c r="A11" s="167" t="s">
        <v>433</v>
      </c>
      <c r="B11" s="168" t="s">
        <v>774</v>
      </c>
      <c r="C11" s="169">
        <v>65</v>
      </c>
      <c r="D11" s="170">
        <f t="shared" si="0"/>
        <v>56</v>
      </c>
      <c r="E11" s="171" t="s">
        <v>753</v>
      </c>
      <c r="F11" s="172">
        <v>43831</v>
      </c>
    </row>
    <row r="12" spans="1:6" ht="14.25" customHeight="1" x14ac:dyDescent="0.3">
      <c r="A12" s="167" t="s">
        <v>358</v>
      </c>
      <c r="B12" s="168" t="s">
        <v>762</v>
      </c>
      <c r="C12" s="169">
        <v>78</v>
      </c>
      <c r="D12" s="170">
        <f t="shared" si="0"/>
        <v>67</v>
      </c>
      <c r="E12" s="171" t="s">
        <v>753</v>
      </c>
      <c r="F12" s="172">
        <v>43831</v>
      </c>
    </row>
    <row r="13" spans="1:6" ht="14.25" customHeight="1" x14ac:dyDescent="0.3">
      <c r="A13" s="167" t="s">
        <v>362</v>
      </c>
      <c r="B13" s="168" t="s">
        <v>773</v>
      </c>
      <c r="C13" s="169">
        <v>115</v>
      </c>
      <c r="D13" s="170">
        <f t="shared" si="0"/>
        <v>98</v>
      </c>
      <c r="E13" s="171" t="s">
        <v>753</v>
      </c>
      <c r="F13" s="172">
        <v>43831</v>
      </c>
    </row>
    <row r="14" spans="1:6" ht="14.25" customHeight="1" x14ac:dyDescent="0.3">
      <c r="A14" s="167" t="s">
        <v>448</v>
      </c>
      <c r="B14" s="168" t="s">
        <v>776</v>
      </c>
      <c r="C14" s="169">
        <v>115</v>
      </c>
      <c r="D14" s="170">
        <f t="shared" si="0"/>
        <v>98</v>
      </c>
      <c r="E14" s="171" t="s">
        <v>753</v>
      </c>
      <c r="F14" s="172">
        <v>43831</v>
      </c>
    </row>
    <row r="15" spans="1:6" ht="14.25" customHeight="1" x14ac:dyDescent="0.3">
      <c r="A15" s="167" t="s">
        <v>439</v>
      </c>
      <c r="B15" s="168" t="s">
        <v>757</v>
      </c>
      <c r="C15" s="169">
        <v>135</v>
      </c>
      <c r="D15" s="170">
        <f t="shared" si="0"/>
        <v>115</v>
      </c>
      <c r="E15" s="171" t="s">
        <v>753</v>
      </c>
      <c r="F15" s="172">
        <v>43831</v>
      </c>
    </row>
    <row r="16" spans="1:6" ht="14.25" customHeight="1" x14ac:dyDescent="0.3">
      <c r="A16" s="167" t="s">
        <v>364</v>
      </c>
      <c r="B16" s="168" t="s">
        <v>756</v>
      </c>
      <c r="C16" s="169">
        <v>135</v>
      </c>
      <c r="D16" s="170">
        <f t="shared" si="0"/>
        <v>115</v>
      </c>
      <c r="E16" s="171" t="s">
        <v>753</v>
      </c>
      <c r="F16" s="172">
        <v>43831</v>
      </c>
    </row>
    <row r="17" spans="1:6" ht="14.25" customHeight="1" x14ac:dyDescent="0.3">
      <c r="A17" s="167" t="s">
        <v>435</v>
      </c>
      <c r="B17" s="168" t="s">
        <v>435</v>
      </c>
      <c r="C17" s="169">
        <v>135</v>
      </c>
      <c r="D17" s="170">
        <f t="shared" si="0"/>
        <v>115</v>
      </c>
      <c r="E17" s="171" t="s">
        <v>753</v>
      </c>
      <c r="F17" s="172">
        <v>43831</v>
      </c>
    </row>
    <row r="18" spans="1:6" ht="14.25" customHeight="1" x14ac:dyDescent="0.3">
      <c r="A18" s="167" t="s">
        <v>368</v>
      </c>
      <c r="B18" s="168" t="s">
        <v>778</v>
      </c>
      <c r="C18" s="169">
        <v>130</v>
      </c>
      <c r="D18" s="170">
        <f t="shared" si="0"/>
        <v>111</v>
      </c>
      <c r="E18" s="171" t="s">
        <v>753</v>
      </c>
      <c r="F18" s="172">
        <v>43831</v>
      </c>
    </row>
    <row r="19" spans="1:6" ht="14.25" customHeight="1" x14ac:dyDescent="0.3">
      <c r="A19" s="167" t="s">
        <v>475</v>
      </c>
      <c r="B19" s="168" t="s">
        <v>777</v>
      </c>
      <c r="C19" s="169">
        <v>130</v>
      </c>
      <c r="D19" s="170">
        <f t="shared" si="0"/>
        <v>111</v>
      </c>
      <c r="E19" s="171" t="s">
        <v>753</v>
      </c>
      <c r="F19" s="172">
        <v>43831</v>
      </c>
    </row>
    <row r="20" spans="1:6" ht="14.25" customHeight="1" x14ac:dyDescent="0.3">
      <c r="A20" s="167" t="s">
        <v>370</v>
      </c>
      <c r="B20" s="168" t="s">
        <v>761</v>
      </c>
      <c r="C20" s="169">
        <v>160</v>
      </c>
      <c r="D20" s="170">
        <f t="shared" si="0"/>
        <v>136</v>
      </c>
      <c r="E20" s="171" t="s">
        <v>753</v>
      </c>
      <c r="F20" s="172">
        <v>43831</v>
      </c>
    </row>
    <row r="21" spans="1:6" ht="14.25" customHeight="1" x14ac:dyDescent="0.3">
      <c r="A21" s="167" t="s">
        <v>571</v>
      </c>
      <c r="B21" s="168" t="s">
        <v>759</v>
      </c>
      <c r="C21" s="169">
        <v>160</v>
      </c>
      <c r="D21" s="170">
        <f t="shared" si="0"/>
        <v>136</v>
      </c>
      <c r="E21" s="171" t="s">
        <v>753</v>
      </c>
      <c r="F21" s="172">
        <v>43831</v>
      </c>
    </row>
    <row r="22" spans="1:6" ht="14.25" customHeight="1" x14ac:dyDescent="0.3">
      <c r="A22" s="167" t="s">
        <v>473</v>
      </c>
      <c r="B22" s="168" t="s">
        <v>760</v>
      </c>
      <c r="C22" s="169">
        <v>160</v>
      </c>
      <c r="D22" s="170">
        <f t="shared" si="0"/>
        <v>136</v>
      </c>
      <c r="E22" s="171" t="s">
        <v>753</v>
      </c>
      <c r="F22" s="172">
        <v>43831</v>
      </c>
    </row>
    <row r="23" spans="1:6" ht="14.25" customHeight="1" x14ac:dyDescent="0.3">
      <c r="A23" s="167" t="s">
        <v>497</v>
      </c>
      <c r="B23" s="168" t="s">
        <v>758</v>
      </c>
      <c r="C23" s="169">
        <v>160</v>
      </c>
      <c r="D23" s="170">
        <f t="shared" si="0"/>
        <v>136</v>
      </c>
      <c r="E23" s="171" t="s">
        <v>753</v>
      </c>
      <c r="F23" s="172">
        <v>43831</v>
      </c>
    </row>
    <row r="24" spans="1:6" ht="14.25" customHeight="1" x14ac:dyDescent="0.3">
      <c r="A24" s="167" t="s">
        <v>374</v>
      </c>
      <c r="B24" s="168" t="s">
        <v>782</v>
      </c>
      <c r="C24" s="169">
        <v>130</v>
      </c>
      <c r="D24" s="170">
        <f t="shared" si="0"/>
        <v>111</v>
      </c>
      <c r="E24" s="171" t="s">
        <v>753</v>
      </c>
      <c r="F24" s="172">
        <v>43831</v>
      </c>
    </row>
    <row r="25" spans="1:6" ht="14.25" customHeight="1" x14ac:dyDescent="0.3">
      <c r="A25" s="167" t="s">
        <v>378</v>
      </c>
      <c r="B25" s="168" t="s">
        <v>378</v>
      </c>
      <c r="C25" s="169">
        <v>140</v>
      </c>
      <c r="D25" s="170">
        <f t="shared" si="0"/>
        <v>119</v>
      </c>
      <c r="E25" s="171" t="s">
        <v>753</v>
      </c>
      <c r="F25" s="172">
        <v>43831</v>
      </c>
    </row>
    <row r="26" spans="1:6" ht="14.25" customHeight="1" x14ac:dyDescent="0.3">
      <c r="A26" s="167" t="s">
        <v>382</v>
      </c>
      <c r="B26" s="168" t="s">
        <v>779</v>
      </c>
      <c r="C26" s="169">
        <v>120</v>
      </c>
      <c r="D26" s="170">
        <f t="shared" si="0"/>
        <v>102</v>
      </c>
      <c r="E26" s="171" t="s">
        <v>753</v>
      </c>
      <c r="F26" s="172">
        <v>43831</v>
      </c>
    </row>
    <row r="27" spans="1:6" ht="14.25" customHeight="1" x14ac:dyDescent="0.3">
      <c r="A27" s="167" t="s">
        <v>780</v>
      </c>
      <c r="B27" s="168" t="s">
        <v>781</v>
      </c>
      <c r="C27" s="169">
        <v>200</v>
      </c>
      <c r="D27" s="170">
        <f t="shared" si="0"/>
        <v>170</v>
      </c>
      <c r="E27" s="171" t="s">
        <v>753</v>
      </c>
      <c r="F27" s="172">
        <v>43831</v>
      </c>
    </row>
    <row r="28" spans="1:6" ht="14.25" customHeight="1" x14ac:dyDescent="0.3">
      <c r="A28" s="167" t="s">
        <v>631</v>
      </c>
      <c r="B28" s="168" t="s">
        <v>805</v>
      </c>
      <c r="C28" s="169">
        <v>1950</v>
      </c>
      <c r="D28" s="170">
        <f t="shared" si="0"/>
        <v>1658</v>
      </c>
      <c r="E28" s="171" t="s">
        <v>753</v>
      </c>
      <c r="F28" s="172">
        <v>43831</v>
      </c>
    </row>
    <row r="29" spans="1:6" ht="14.25" customHeight="1" x14ac:dyDescent="0.3">
      <c r="A29" s="167" t="s">
        <v>343</v>
      </c>
      <c r="B29" s="168" t="s">
        <v>784</v>
      </c>
      <c r="C29" s="169">
        <v>54</v>
      </c>
      <c r="D29" s="170">
        <f t="shared" si="0"/>
        <v>46</v>
      </c>
      <c r="E29" s="171" t="s">
        <v>753</v>
      </c>
      <c r="F29" s="172">
        <v>43831</v>
      </c>
    </row>
    <row r="30" spans="1:6" ht="14.25" customHeight="1" x14ac:dyDescent="0.3">
      <c r="A30" s="167" t="s">
        <v>386</v>
      </c>
      <c r="B30" s="168" t="s">
        <v>806</v>
      </c>
      <c r="C30" s="169">
        <v>170</v>
      </c>
      <c r="D30" s="170">
        <f t="shared" si="0"/>
        <v>145</v>
      </c>
      <c r="E30" s="171" t="s">
        <v>753</v>
      </c>
      <c r="F30" s="172">
        <v>43831</v>
      </c>
    </row>
    <row r="31" spans="1:6" ht="14.25" customHeight="1" x14ac:dyDescent="0.3">
      <c r="A31" s="167" t="s">
        <v>390</v>
      </c>
      <c r="B31" s="168" t="s">
        <v>789</v>
      </c>
      <c r="C31" s="169">
        <v>175</v>
      </c>
      <c r="D31" s="170">
        <f t="shared" si="0"/>
        <v>149</v>
      </c>
      <c r="E31" s="171" t="s">
        <v>753</v>
      </c>
      <c r="F31" s="172">
        <v>43831</v>
      </c>
    </row>
    <row r="32" spans="1:6" ht="14.25" customHeight="1" x14ac:dyDescent="0.3">
      <c r="A32" s="167" t="s">
        <v>394</v>
      </c>
      <c r="B32" s="168" t="s">
        <v>807</v>
      </c>
      <c r="C32" s="169">
        <v>125</v>
      </c>
      <c r="D32" s="170">
        <f t="shared" si="0"/>
        <v>107</v>
      </c>
      <c r="E32" s="171" t="s">
        <v>753</v>
      </c>
      <c r="F32" s="172">
        <v>43831</v>
      </c>
    </row>
    <row r="33" spans="1:6" ht="14.25" customHeight="1" x14ac:dyDescent="0.3">
      <c r="A33" s="167" t="s">
        <v>785</v>
      </c>
      <c r="B33" s="168" t="s">
        <v>786</v>
      </c>
      <c r="C33" s="169">
        <v>200</v>
      </c>
      <c r="D33" s="170">
        <f t="shared" si="0"/>
        <v>170</v>
      </c>
      <c r="E33" s="171" t="s">
        <v>753</v>
      </c>
      <c r="F33" s="172">
        <v>43831</v>
      </c>
    </row>
    <row r="34" spans="1:6" ht="14.25" customHeight="1" x14ac:dyDescent="0.3">
      <c r="A34" s="167" t="s">
        <v>787</v>
      </c>
      <c r="B34" s="168" t="s">
        <v>788</v>
      </c>
      <c r="C34" s="169">
        <v>290</v>
      </c>
      <c r="D34" s="170">
        <f t="shared" si="0"/>
        <v>247</v>
      </c>
      <c r="E34" s="171" t="s">
        <v>753</v>
      </c>
      <c r="F34" s="172">
        <v>43831</v>
      </c>
    </row>
    <row r="35" spans="1:6" ht="14.25" customHeight="1" x14ac:dyDescent="0.3">
      <c r="A35" s="167" t="s">
        <v>644</v>
      </c>
      <c r="B35" s="168" t="s">
        <v>754</v>
      </c>
      <c r="C35" s="169">
        <v>70</v>
      </c>
      <c r="D35" s="170">
        <f t="shared" si="0"/>
        <v>60</v>
      </c>
      <c r="E35" s="171" t="s">
        <v>753</v>
      </c>
      <c r="F35" s="172">
        <v>43831</v>
      </c>
    </row>
    <row r="36" spans="1:6" ht="14.25" customHeight="1" x14ac:dyDescent="0.3">
      <c r="A36" s="167" t="s">
        <v>347</v>
      </c>
      <c r="B36" s="168" t="s">
        <v>752</v>
      </c>
      <c r="C36" s="169">
        <v>65</v>
      </c>
      <c r="D36" s="170">
        <f t="shared" si="0"/>
        <v>56</v>
      </c>
      <c r="E36" s="171" t="s">
        <v>753</v>
      </c>
      <c r="F36" s="172">
        <v>43831</v>
      </c>
    </row>
    <row r="37" spans="1:6" ht="14.25" customHeight="1" x14ac:dyDescent="0.3">
      <c r="A37" s="167" t="s">
        <v>526</v>
      </c>
      <c r="B37" s="168" t="s">
        <v>526</v>
      </c>
      <c r="C37" s="169">
        <v>130</v>
      </c>
      <c r="D37" s="170">
        <f t="shared" si="0"/>
        <v>111</v>
      </c>
      <c r="E37" s="171" t="s">
        <v>753</v>
      </c>
      <c r="F37" s="172">
        <v>43831</v>
      </c>
    </row>
    <row r="38" spans="1:6" ht="14.25" customHeight="1" x14ac:dyDescent="0.3">
      <c r="A38" s="173" t="s">
        <v>596</v>
      </c>
      <c r="B38" s="174" t="s">
        <v>783</v>
      </c>
      <c r="C38" s="175">
        <v>90</v>
      </c>
      <c r="D38" s="176">
        <f t="shared" si="0"/>
        <v>77</v>
      </c>
      <c r="E38" s="177" t="s">
        <v>753</v>
      </c>
      <c r="F38" s="178">
        <v>43831</v>
      </c>
    </row>
    <row r="39" spans="1:6" ht="14.25" customHeight="1" x14ac:dyDescent="0.3">
      <c r="A39" s="179" t="s">
        <v>347</v>
      </c>
      <c r="B39" s="179" t="s">
        <v>752</v>
      </c>
      <c r="C39" s="179">
        <v>85</v>
      </c>
      <c r="D39" s="179">
        <f t="shared" si="0"/>
        <v>73</v>
      </c>
      <c r="E39" s="179" t="s">
        <v>753</v>
      </c>
      <c r="F39" s="180">
        <v>43831</v>
      </c>
    </row>
    <row r="40" spans="1:6" ht="14.25" customHeight="1" x14ac:dyDescent="0.3">
      <c r="A40" s="167" t="s">
        <v>644</v>
      </c>
      <c r="B40" s="167" t="s">
        <v>754</v>
      </c>
      <c r="C40" s="167">
        <v>91</v>
      </c>
      <c r="D40" s="167">
        <f t="shared" si="0"/>
        <v>78</v>
      </c>
      <c r="E40" s="167" t="s">
        <v>753</v>
      </c>
      <c r="F40" s="172">
        <v>43831</v>
      </c>
    </row>
    <row r="41" spans="1:6" ht="14.25" customHeight="1" x14ac:dyDescent="0.3">
      <c r="A41" s="167" t="s">
        <v>421</v>
      </c>
      <c r="B41" s="167" t="s">
        <v>755</v>
      </c>
      <c r="C41" s="167">
        <v>85</v>
      </c>
      <c r="D41" s="167">
        <f t="shared" si="0"/>
        <v>73</v>
      </c>
      <c r="E41" s="167" t="s">
        <v>753</v>
      </c>
      <c r="F41" s="172">
        <v>43831</v>
      </c>
    </row>
    <row r="42" spans="1:6" ht="14.25" customHeight="1" x14ac:dyDescent="0.3">
      <c r="A42" s="167" t="s">
        <v>435</v>
      </c>
      <c r="B42" s="167" t="s">
        <v>435</v>
      </c>
      <c r="C42" s="167">
        <v>176</v>
      </c>
      <c r="D42" s="167">
        <f t="shared" si="0"/>
        <v>150</v>
      </c>
      <c r="E42" s="167" t="s">
        <v>753</v>
      </c>
      <c r="F42" s="172">
        <v>43831</v>
      </c>
    </row>
    <row r="43" spans="1:6" ht="14.25" customHeight="1" x14ac:dyDescent="0.3">
      <c r="A43" s="167" t="s">
        <v>364</v>
      </c>
      <c r="B43" s="167" t="s">
        <v>756</v>
      </c>
      <c r="C43" s="167">
        <v>176</v>
      </c>
      <c r="D43" s="167">
        <f t="shared" si="0"/>
        <v>150</v>
      </c>
      <c r="E43" s="167" t="s">
        <v>753</v>
      </c>
      <c r="F43" s="172">
        <v>43831</v>
      </c>
    </row>
    <row r="44" spans="1:6" ht="14.25" customHeight="1" x14ac:dyDescent="0.3">
      <c r="A44" s="167" t="s">
        <v>439</v>
      </c>
      <c r="B44" s="167" t="s">
        <v>757</v>
      </c>
      <c r="C44" s="167">
        <v>176</v>
      </c>
      <c r="D44" s="167">
        <f t="shared" si="0"/>
        <v>150</v>
      </c>
      <c r="E44" s="167" t="s">
        <v>753</v>
      </c>
      <c r="F44" s="172">
        <v>43831</v>
      </c>
    </row>
    <row r="45" spans="1:6" ht="14.25" customHeight="1" x14ac:dyDescent="0.3">
      <c r="A45" s="167" t="s">
        <v>497</v>
      </c>
      <c r="B45" s="167" t="s">
        <v>758</v>
      </c>
      <c r="C45" s="167">
        <v>208</v>
      </c>
      <c r="D45" s="167">
        <f t="shared" si="0"/>
        <v>177</v>
      </c>
      <c r="E45" s="167" t="s">
        <v>753</v>
      </c>
      <c r="F45" s="172">
        <v>43831</v>
      </c>
    </row>
    <row r="46" spans="1:6" ht="14.25" customHeight="1" x14ac:dyDescent="0.3">
      <c r="A46" s="167" t="s">
        <v>571</v>
      </c>
      <c r="B46" s="167" t="s">
        <v>759</v>
      </c>
      <c r="C46" s="167">
        <v>208</v>
      </c>
      <c r="D46" s="167">
        <f t="shared" si="0"/>
        <v>177</v>
      </c>
      <c r="E46" s="167" t="s">
        <v>753</v>
      </c>
      <c r="F46" s="172">
        <v>43831</v>
      </c>
    </row>
    <row r="47" spans="1:6" ht="14.25" customHeight="1" x14ac:dyDescent="0.3">
      <c r="A47" s="167" t="s">
        <v>473</v>
      </c>
      <c r="B47" s="167" t="s">
        <v>760</v>
      </c>
      <c r="C47" s="167">
        <v>208</v>
      </c>
      <c r="D47" s="167">
        <f t="shared" si="0"/>
        <v>177</v>
      </c>
      <c r="E47" s="167" t="s">
        <v>753</v>
      </c>
      <c r="F47" s="172">
        <v>43831</v>
      </c>
    </row>
    <row r="48" spans="1:6" ht="14.25" customHeight="1" x14ac:dyDescent="0.3">
      <c r="A48" s="167" t="s">
        <v>370</v>
      </c>
      <c r="B48" s="167" t="s">
        <v>761</v>
      </c>
      <c r="C48" s="167">
        <v>208</v>
      </c>
      <c r="D48" s="167">
        <f t="shared" si="0"/>
        <v>177</v>
      </c>
      <c r="E48" s="167" t="s">
        <v>753</v>
      </c>
      <c r="F48" s="172">
        <v>43831</v>
      </c>
    </row>
    <row r="49" spans="1:6" ht="14.25" customHeight="1" x14ac:dyDescent="0.3">
      <c r="A49" s="167" t="s">
        <v>358</v>
      </c>
      <c r="B49" s="167" t="s">
        <v>762</v>
      </c>
      <c r="C49" s="167">
        <v>102</v>
      </c>
      <c r="D49" s="167">
        <f t="shared" si="0"/>
        <v>87</v>
      </c>
      <c r="E49" s="167" t="s">
        <v>753</v>
      </c>
      <c r="F49" s="172">
        <v>43831</v>
      </c>
    </row>
    <row r="50" spans="1:6" ht="14.25" customHeight="1" x14ac:dyDescent="0.3">
      <c r="A50" s="167" t="s">
        <v>386</v>
      </c>
      <c r="B50" s="167" t="s">
        <v>806</v>
      </c>
      <c r="C50" s="167">
        <v>191</v>
      </c>
      <c r="D50" s="167">
        <f t="shared" si="0"/>
        <v>163</v>
      </c>
      <c r="E50" s="167" t="s">
        <v>753</v>
      </c>
      <c r="F50" s="172">
        <v>43831</v>
      </c>
    </row>
    <row r="51" spans="1:6" ht="14.25" customHeight="1" x14ac:dyDescent="0.3">
      <c r="A51" s="167" t="s">
        <v>648</v>
      </c>
      <c r="B51" s="167" t="s">
        <v>808</v>
      </c>
      <c r="C51" s="167">
        <v>449</v>
      </c>
      <c r="D51" s="167">
        <f t="shared" si="0"/>
        <v>382</v>
      </c>
      <c r="E51" s="167" t="s">
        <v>753</v>
      </c>
      <c r="F51" s="172">
        <v>44754</v>
      </c>
    </row>
    <row r="52" spans="1:6" ht="14.25" customHeight="1" x14ac:dyDescent="0.3">
      <c r="A52" s="167" t="s">
        <v>765</v>
      </c>
      <c r="B52" s="167" t="s">
        <v>766</v>
      </c>
      <c r="C52" s="167">
        <v>198</v>
      </c>
      <c r="D52" s="167">
        <f t="shared" si="0"/>
        <v>169</v>
      </c>
      <c r="E52" s="167" t="s">
        <v>753</v>
      </c>
      <c r="F52" s="172">
        <v>43831</v>
      </c>
    </row>
    <row r="53" spans="1:6" ht="14.25" customHeight="1" x14ac:dyDescent="0.3">
      <c r="A53" s="167" t="s">
        <v>767</v>
      </c>
      <c r="B53" s="167" t="s">
        <v>768</v>
      </c>
      <c r="C53" s="167">
        <v>70</v>
      </c>
      <c r="D53" s="167">
        <f t="shared" si="0"/>
        <v>60</v>
      </c>
      <c r="E53" s="167" t="s">
        <v>753</v>
      </c>
      <c r="F53" s="172">
        <v>43831</v>
      </c>
    </row>
    <row r="54" spans="1:6" ht="14.25" customHeight="1" x14ac:dyDescent="0.3">
      <c r="A54" s="167" t="s">
        <v>715</v>
      </c>
      <c r="B54" s="167" t="s">
        <v>769</v>
      </c>
      <c r="C54" s="167">
        <v>65</v>
      </c>
      <c r="D54" s="167">
        <f t="shared" si="0"/>
        <v>56</v>
      </c>
      <c r="E54" s="167" t="s">
        <v>753</v>
      </c>
      <c r="F54" s="172">
        <v>43831</v>
      </c>
    </row>
    <row r="55" spans="1:6" ht="14.25" customHeight="1" x14ac:dyDescent="0.3">
      <c r="A55" s="167" t="s">
        <v>339</v>
      </c>
      <c r="B55" s="167" t="s">
        <v>770</v>
      </c>
      <c r="C55" s="167">
        <v>72</v>
      </c>
      <c r="D55" s="167">
        <f t="shared" si="0"/>
        <v>62</v>
      </c>
      <c r="E55" s="167" t="s">
        <v>753</v>
      </c>
      <c r="F55" s="172">
        <v>44396</v>
      </c>
    </row>
    <row r="56" spans="1:6" ht="14.25" customHeight="1" x14ac:dyDescent="0.3">
      <c r="A56" s="167" t="s">
        <v>809</v>
      </c>
      <c r="B56" s="167" t="s">
        <v>770</v>
      </c>
      <c r="C56" s="167">
        <v>67</v>
      </c>
      <c r="D56" s="167">
        <f t="shared" si="0"/>
        <v>57</v>
      </c>
      <c r="E56" s="167" t="s">
        <v>810</v>
      </c>
      <c r="F56" s="172">
        <v>44396</v>
      </c>
    </row>
    <row r="57" spans="1:6" ht="14.25" customHeight="1" x14ac:dyDescent="0.3">
      <c r="A57" s="167" t="s">
        <v>350</v>
      </c>
      <c r="B57" s="167" t="s">
        <v>771</v>
      </c>
      <c r="C57" s="167">
        <v>104</v>
      </c>
      <c r="D57" s="167">
        <f t="shared" si="0"/>
        <v>89</v>
      </c>
      <c r="E57" s="167" t="s">
        <v>753</v>
      </c>
      <c r="F57" s="172">
        <v>43831</v>
      </c>
    </row>
    <row r="58" spans="1:6" ht="14.25" customHeight="1" x14ac:dyDescent="0.3">
      <c r="A58" s="167" t="s">
        <v>444</v>
      </c>
      <c r="B58" s="167" t="s">
        <v>772</v>
      </c>
      <c r="C58" s="167">
        <v>165</v>
      </c>
      <c r="D58" s="167">
        <f t="shared" si="0"/>
        <v>141</v>
      </c>
      <c r="E58" s="167" t="s">
        <v>753</v>
      </c>
      <c r="F58" s="172">
        <v>43831</v>
      </c>
    </row>
    <row r="59" spans="1:6" ht="14.25" customHeight="1" x14ac:dyDescent="0.3">
      <c r="A59" s="167" t="s">
        <v>362</v>
      </c>
      <c r="B59" s="167" t="s">
        <v>773</v>
      </c>
      <c r="C59" s="167">
        <v>127</v>
      </c>
      <c r="D59" s="167">
        <f t="shared" si="0"/>
        <v>108</v>
      </c>
      <c r="E59" s="167" t="s">
        <v>753</v>
      </c>
      <c r="F59" s="172">
        <v>43831</v>
      </c>
    </row>
    <row r="60" spans="1:6" ht="14.25" customHeight="1" x14ac:dyDescent="0.3">
      <c r="A60" s="167" t="s">
        <v>433</v>
      </c>
      <c r="B60" s="167" t="s">
        <v>774</v>
      </c>
      <c r="C60" s="167">
        <v>85</v>
      </c>
      <c r="D60" s="167">
        <f t="shared" si="0"/>
        <v>73</v>
      </c>
      <c r="E60" s="167" t="s">
        <v>753</v>
      </c>
      <c r="F60" s="172">
        <v>43831</v>
      </c>
    </row>
    <row r="61" spans="1:6" ht="14.25" customHeight="1" x14ac:dyDescent="0.3">
      <c r="A61" s="167" t="s">
        <v>354</v>
      </c>
      <c r="B61" s="167" t="s">
        <v>775</v>
      </c>
      <c r="C61" s="167">
        <v>85</v>
      </c>
      <c r="D61" s="167">
        <f t="shared" si="0"/>
        <v>73</v>
      </c>
      <c r="E61" s="167" t="s">
        <v>753</v>
      </c>
      <c r="F61" s="172">
        <v>43831</v>
      </c>
    </row>
    <row r="62" spans="1:6" ht="14.25" customHeight="1" x14ac:dyDescent="0.3">
      <c r="A62" s="167" t="s">
        <v>526</v>
      </c>
      <c r="B62" s="167" t="s">
        <v>526</v>
      </c>
      <c r="C62" s="167">
        <v>169</v>
      </c>
      <c r="D62" s="167">
        <f t="shared" si="0"/>
        <v>144</v>
      </c>
      <c r="E62" s="167" t="s">
        <v>753</v>
      </c>
      <c r="F62" s="172">
        <v>43831</v>
      </c>
    </row>
    <row r="63" spans="1:6" ht="14.25" customHeight="1" x14ac:dyDescent="0.3">
      <c r="A63" s="167" t="s">
        <v>448</v>
      </c>
      <c r="B63" s="167" t="s">
        <v>776</v>
      </c>
      <c r="C63" s="167">
        <v>127</v>
      </c>
      <c r="D63" s="167">
        <f t="shared" si="0"/>
        <v>108</v>
      </c>
      <c r="E63" s="167" t="s">
        <v>753</v>
      </c>
      <c r="F63" s="172">
        <v>43831</v>
      </c>
    </row>
    <row r="64" spans="1:6" ht="14.25" customHeight="1" x14ac:dyDescent="0.3">
      <c r="A64" s="167" t="s">
        <v>475</v>
      </c>
      <c r="B64" s="167" t="s">
        <v>777</v>
      </c>
      <c r="C64" s="167">
        <v>169</v>
      </c>
      <c r="D64" s="167">
        <f t="shared" si="0"/>
        <v>144</v>
      </c>
      <c r="E64" s="167" t="s">
        <v>753</v>
      </c>
      <c r="F64" s="172">
        <v>43831</v>
      </c>
    </row>
    <row r="65" spans="1:6" ht="14.25" customHeight="1" x14ac:dyDescent="0.3">
      <c r="A65" s="167" t="s">
        <v>368</v>
      </c>
      <c r="B65" s="167" t="s">
        <v>778</v>
      </c>
      <c r="C65" s="167">
        <v>169</v>
      </c>
      <c r="D65" s="167">
        <f t="shared" si="0"/>
        <v>144</v>
      </c>
      <c r="E65" s="167" t="s">
        <v>753</v>
      </c>
      <c r="F65" s="172">
        <v>43831</v>
      </c>
    </row>
    <row r="66" spans="1:6" ht="14.25" customHeight="1" x14ac:dyDescent="0.3">
      <c r="A66" s="167" t="s">
        <v>382</v>
      </c>
      <c r="B66" s="167" t="s">
        <v>779</v>
      </c>
      <c r="C66" s="167">
        <v>132</v>
      </c>
      <c r="D66" s="167">
        <f t="shared" si="0"/>
        <v>113</v>
      </c>
      <c r="E66" s="167" t="s">
        <v>753</v>
      </c>
      <c r="F66" s="172">
        <v>43831</v>
      </c>
    </row>
    <row r="67" spans="1:6" ht="14.25" customHeight="1" x14ac:dyDescent="0.3">
      <c r="A67" s="167" t="s">
        <v>780</v>
      </c>
      <c r="B67" s="167" t="s">
        <v>781</v>
      </c>
      <c r="C67" s="167">
        <v>220</v>
      </c>
      <c r="D67" s="167">
        <f t="shared" si="0"/>
        <v>187</v>
      </c>
      <c r="E67" s="167" t="s">
        <v>753</v>
      </c>
      <c r="F67" s="172">
        <v>43831</v>
      </c>
    </row>
    <row r="68" spans="1:6" ht="14.25" customHeight="1" x14ac:dyDescent="0.3">
      <c r="A68" s="167" t="s">
        <v>374</v>
      </c>
      <c r="B68" s="167" t="s">
        <v>782</v>
      </c>
      <c r="C68" s="167">
        <v>132</v>
      </c>
      <c r="D68" s="167">
        <f t="shared" si="0"/>
        <v>113</v>
      </c>
      <c r="E68" s="167" t="s">
        <v>753</v>
      </c>
      <c r="F68" s="172">
        <v>43831</v>
      </c>
    </row>
    <row r="69" spans="1:6" ht="14.25" customHeight="1" x14ac:dyDescent="0.3">
      <c r="A69" s="167" t="s">
        <v>596</v>
      </c>
      <c r="B69" s="167" t="s">
        <v>783</v>
      </c>
      <c r="C69" s="167">
        <v>170</v>
      </c>
      <c r="D69" s="167">
        <f t="shared" si="0"/>
        <v>145</v>
      </c>
      <c r="E69" s="167" t="s">
        <v>753</v>
      </c>
      <c r="F69" s="172">
        <v>43831</v>
      </c>
    </row>
    <row r="70" spans="1:6" ht="14.25" customHeight="1" x14ac:dyDescent="0.3">
      <c r="A70" s="167" t="s">
        <v>343</v>
      </c>
      <c r="B70" s="167" t="s">
        <v>784</v>
      </c>
      <c r="C70" s="167">
        <v>88</v>
      </c>
      <c r="D70" s="167">
        <f t="shared" si="0"/>
        <v>75</v>
      </c>
      <c r="E70" s="167" t="s">
        <v>753</v>
      </c>
      <c r="F70" s="172">
        <v>43831</v>
      </c>
    </row>
    <row r="71" spans="1:6" ht="14.25" customHeight="1" x14ac:dyDescent="0.3">
      <c r="A71" s="167" t="s">
        <v>811</v>
      </c>
      <c r="B71" s="167" t="s">
        <v>784</v>
      </c>
      <c r="C71" s="167">
        <v>80</v>
      </c>
      <c r="D71" s="167">
        <f t="shared" si="0"/>
        <v>68</v>
      </c>
      <c r="E71" s="167" t="s">
        <v>810</v>
      </c>
      <c r="F71" s="172">
        <v>44396</v>
      </c>
    </row>
    <row r="72" spans="1:6" ht="14.25" customHeight="1" x14ac:dyDescent="0.3">
      <c r="A72" s="167" t="s">
        <v>785</v>
      </c>
      <c r="B72" s="167" t="s">
        <v>786</v>
      </c>
      <c r="C72" s="167">
        <v>200</v>
      </c>
      <c r="D72" s="167">
        <f t="shared" si="0"/>
        <v>170</v>
      </c>
      <c r="E72" s="167" t="s">
        <v>753</v>
      </c>
      <c r="F72" s="172">
        <v>43831</v>
      </c>
    </row>
    <row r="73" spans="1:6" ht="14.25" customHeight="1" x14ac:dyDescent="0.3">
      <c r="A73" s="167" t="s">
        <v>787</v>
      </c>
      <c r="B73" s="167" t="s">
        <v>788</v>
      </c>
      <c r="C73" s="167">
        <v>290</v>
      </c>
      <c r="D73" s="167">
        <f t="shared" si="0"/>
        <v>247</v>
      </c>
      <c r="E73" s="167" t="s">
        <v>753</v>
      </c>
      <c r="F73" s="172">
        <v>43831</v>
      </c>
    </row>
    <row r="74" spans="1:6" ht="14.25" customHeight="1" x14ac:dyDescent="0.3">
      <c r="A74" s="167" t="s">
        <v>390</v>
      </c>
      <c r="B74" s="167" t="s">
        <v>789</v>
      </c>
      <c r="C74" s="167">
        <v>195</v>
      </c>
      <c r="D74" s="167">
        <f t="shared" si="0"/>
        <v>166</v>
      </c>
      <c r="E74" s="167" t="s">
        <v>753</v>
      </c>
      <c r="F74" s="172">
        <v>43831</v>
      </c>
    </row>
    <row r="75" spans="1:6" ht="14.25" customHeight="1" x14ac:dyDescent="0.3">
      <c r="A75" s="167" t="s">
        <v>378</v>
      </c>
      <c r="B75" s="167" t="s">
        <v>378</v>
      </c>
      <c r="C75" s="167">
        <v>154</v>
      </c>
      <c r="D75" s="167">
        <f t="shared" si="0"/>
        <v>131</v>
      </c>
      <c r="E75" s="167" t="s">
        <v>753</v>
      </c>
      <c r="F75" s="172">
        <v>43831</v>
      </c>
    </row>
    <row r="76" spans="1:6" ht="14.25" customHeight="1" x14ac:dyDescent="0.3">
      <c r="A76" s="167" t="s">
        <v>394</v>
      </c>
      <c r="B76" s="167" t="s">
        <v>790</v>
      </c>
      <c r="C76" s="167">
        <v>199</v>
      </c>
      <c r="D76" s="167">
        <f t="shared" si="0"/>
        <v>170</v>
      </c>
      <c r="E76" s="167" t="s">
        <v>753</v>
      </c>
      <c r="F76" s="172">
        <v>43831</v>
      </c>
    </row>
    <row r="77" spans="1:6" ht="14.25" customHeight="1" x14ac:dyDescent="0.3">
      <c r="A77" s="167" t="s">
        <v>631</v>
      </c>
      <c r="B77" s="167" t="s">
        <v>805</v>
      </c>
      <c r="C77" s="167">
        <v>1950</v>
      </c>
      <c r="D77" s="167">
        <f t="shared" si="0"/>
        <v>1658</v>
      </c>
      <c r="E77" s="167" t="s">
        <v>753</v>
      </c>
      <c r="F77" s="172">
        <v>43831</v>
      </c>
    </row>
    <row r="78" spans="1:6" ht="14.25" customHeight="1" x14ac:dyDescent="0.3">
      <c r="A78" s="173" t="s">
        <v>667</v>
      </c>
      <c r="B78" s="173" t="s">
        <v>792</v>
      </c>
      <c r="C78" s="173">
        <v>510</v>
      </c>
      <c r="D78" s="173">
        <f t="shared" si="0"/>
        <v>434</v>
      </c>
      <c r="E78" s="173" t="s">
        <v>793</v>
      </c>
      <c r="F78" s="178" t="s">
        <v>812</v>
      </c>
    </row>
    <row r="79" spans="1:6" ht="14.25" customHeight="1" x14ac:dyDescent="0.3"/>
    <row r="80" spans="1:6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Munka8"/>
  <dimension ref="A1:C1000"/>
  <sheetViews>
    <sheetView workbookViewId="0"/>
  </sheetViews>
  <sheetFormatPr defaultColWidth="14.44140625" defaultRowHeight="15" customHeight="1" x14ac:dyDescent="0.3"/>
  <cols>
    <col min="1" max="1" width="10.88671875" customWidth="1"/>
    <col min="2" max="2" width="12.33203125" customWidth="1"/>
    <col min="3" max="3" width="20.109375" customWidth="1"/>
    <col min="4" max="26" width="8.6640625" customWidth="1"/>
  </cols>
  <sheetData>
    <row r="1" spans="1:3" ht="14.25" customHeight="1" x14ac:dyDescent="0.3">
      <c r="A1" s="1" t="s">
        <v>813</v>
      </c>
      <c r="B1" s="1" t="s">
        <v>814</v>
      </c>
      <c r="C1" s="1" t="s">
        <v>815</v>
      </c>
    </row>
    <row r="2" spans="1:3" ht="14.25" customHeight="1" x14ac:dyDescent="0.3">
      <c r="A2" s="1" t="s">
        <v>816</v>
      </c>
      <c r="B2" s="1" t="s">
        <v>816</v>
      </c>
      <c r="C2" s="1" t="s">
        <v>816</v>
      </c>
    </row>
    <row r="3" spans="1:3" ht="14.25" customHeight="1" x14ac:dyDescent="0.3">
      <c r="A3" s="1" t="s">
        <v>120</v>
      </c>
      <c r="B3" s="1" t="s">
        <v>122</v>
      </c>
      <c r="C3" s="1" t="s">
        <v>118</v>
      </c>
    </row>
    <row r="4" spans="1:3" ht="14.25" customHeight="1" x14ac:dyDescent="0.3">
      <c r="C4" s="1" t="s">
        <v>817</v>
      </c>
    </row>
    <row r="5" spans="1:3" ht="14.25" customHeight="1" x14ac:dyDescent="0.3"/>
    <row r="6" spans="1:3" ht="14.25" customHeight="1" x14ac:dyDescent="0.3"/>
    <row r="7" spans="1:3" ht="14.25" customHeight="1" x14ac:dyDescent="0.3"/>
    <row r="8" spans="1:3" ht="14.25" customHeight="1" x14ac:dyDescent="0.3"/>
    <row r="9" spans="1:3" ht="14.25" customHeight="1" x14ac:dyDescent="0.3"/>
    <row r="10" spans="1:3" ht="14.25" customHeight="1" x14ac:dyDescent="0.3"/>
    <row r="11" spans="1:3" ht="14.25" customHeight="1" x14ac:dyDescent="0.3"/>
    <row r="12" spans="1:3" ht="14.25" customHeight="1" x14ac:dyDescent="0.3"/>
    <row r="13" spans="1:3" ht="14.25" customHeight="1" x14ac:dyDescent="0.3"/>
    <row r="14" spans="1:3" ht="14.25" customHeight="1" x14ac:dyDescent="0.3"/>
    <row r="15" spans="1:3" ht="14.25" customHeight="1" x14ac:dyDescent="0.3"/>
    <row r="16" spans="1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Cimke</vt:lpstr>
      <vt:lpstr>OlvassEl</vt:lpstr>
      <vt:lpstr>Teruletszamitas</vt:lpstr>
      <vt:lpstr>Arlista</vt:lpstr>
      <vt:lpstr>Nyomtatas</vt:lpstr>
      <vt:lpstr>TSzTeljes</vt:lpstr>
      <vt:lpstr>MegrendelesSzam</vt:lpstr>
      <vt:lpstr>Keszlet</vt:lpstr>
      <vt:lpstr>keszlet 0-II</vt:lpstr>
      <vt:lpstr>Kobezol</vt:lpstr>
      <vt:lpstr>Orban, Gergely</vt:lpstr>
      <vt:lpstr>TermekKod</vt:lpstr>
      <vt:lpstr>EgyediTermekKod</vt:lpstr>
      <vt:lpstr>Termositas</vt:lpstr>
      <vt:lpstr>Vastagsag</vt:lpstr>
      <vt:lpstr>EgyediTermekKodArhiv</vt:lpstr>
      <vt:lpstr>Adalekok</vt:lpstr>
      <vt:lpstr>MegrendelSzam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Tibi</dc:creator>
  <cp:lastModifiedBy>Bocz, Réka</cp:lastModifiedBy>
  <dcterms:created xsi:type="dcterms:W3CDTF">2014-07-31T07:49:28Z</dcterms:created>
  <dcterms:modified xsi:type="dcterms:W3CDTF">2025-02-24T09:10:41Z</dcterms:modified>
</cp:coreProperties>
</file>