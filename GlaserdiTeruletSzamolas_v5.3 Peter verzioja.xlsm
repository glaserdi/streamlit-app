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bor\Documents\Munka\Glaserdi\Petertol\"/>
    </mc:Choice>
  </mc:AlternateContent>
  <xr:revisionPtr revIDLastSave="0" documentId="13_ncr:1_{DE115346-7AD3-41FD-A02F-616A350BE35F}" xr6:coauthVersionLast="47" xr6:coauthVersionMax="47" xr10:uidLastSave="{00000000-0000-0000-0000-000000000000}"/>
  <bookViews>
    <workbookView xWindow="-120" yWindow="-120" windowWidth="27690" windowHeight="16440" tabRatio="733" firstSheet="2" activeTab="2" xr2:uid="{979CE765-8584-4AF4-A4A2-FA8BAA62E3E1}"/>
  </bookViews>
  <sheets>
    <sheet name="Cimke" sheetId="23" state="hidden" r:id="rId1"/>
    <sheet name="OlvassEl" sheetId="24" r:id="rId2"/>
    <sheet name="Teruletszamitas" sheetId="12" r:id="rId3"/>
    <sheet name="Nyomtatas" sheetId="14" r:id="rId4"/>
    <sheet name="TSzTeljes" sheetId="22" state="hidden" r:id="rId5"/>
    <sheet name="MegrendelesSzam" sheetId="21" state="hidden" r:id="rId6"/>
    <sheet name="Keszlet" sheetId="15" r:id="rId7"/>
    <sheet name="keszlet 0-II" sheetId="25" state="hidden" r:id="rId8"/>
    <sheet name="Kobezol" sheetId="26" state="hidden" r:id="rId9"/>
    <sheet name="Orban, Gergely" sheetId="28" state="hidden" r:id="rId10"/>
    <sheet name="TermekKod" sheetId="13" r:id="rId11"/>
    <sheet name="EgyediTermekKod" sheetId="16" r:id="rId12"/>
    <sheet name="Termositas" sheetId="18" r:id="rId13"/>
    <sheet name="Vastagsag" sheetId="17" state="hidden" r:id="rId14"/>
    <sheet name="EgyediTermekKodArhiv" sheetId="19" r:id="rId15"/>
    <sheet name="Adalekok" sheetId="30" r:id="rId16"/>
  </sheets>
  <functionGroups builtInGroupCount="19"/>
  <definedNames>
    <definedName name="_xlnm._FilterDatabase" localSheetId="6" hidden="1">Keszlet!$A$1:$J$120</definedName>
    <definedName name="_xlnm._FilterDatabase" localSheetId="1" hidden="1">OlvassEl!$A$1:$F$1</definedName>
    <definedName name="_xlnm._FilterDatabase" localSheetId="10" hidden="1">TermekKod!$A$1:$K$199</definedName>
    <definedName name="EgyediTermekKod_data">OFFSET(EgyediTermekKod!$A$1,0,0,EgyediTermekKod_lrow,EgyediTermekKod_lcol)</definedName>
    <definedName name="EgyediTermekKod_lcol">COUNTA(EgyediTermekKod!$1:$1)</definedName>
    <definedName name="EgyediTermekKod_list">OFFSET(EgyediTermekKod!$A$2,0,0,EgyediTermekKod_lrow-1,1)</definedName>
    <definedName name="EgyediTermekKod_lrow">COUNTA(EgyediTermekKod!$A:$A)</definedName>
    <definedName name="Keszlet_data">OFFSET(Keszlet!$A$1,0,0,Keszlet_lrow,Keszlet_lcol)</definedName>
    <definedName name="Keszlet_lcol">COUNTA(Keszlet!$1:$1)</definedName>
    <definedName name="Keszlet_list">OFFSET(Keszlet!$A$2,0,0,Keszlet_lrow-1,1)</definedName>
    <definedName name="Keszlet_lrow">COUNTA(Keszlet!$A:$A)</definedName>
    <definedName name="lcol">COUNTA(Teruletszamitas!$1:$1)</definedName>
    <definedName name="lrow">COUNTA(Teruletszamitas!$A:$A)</definedName>
    <definedName name="MegrendelSzam">MegrendelesSzam!$A$1</definedName>
    <definedName name="melegPerem">#REF!</definedName>
    <definedName name="myData">Teruletszamitas!$A$1:INDEX(Teruletszamitas!$1:$1048576,lrow,lcol)</definedName>
    <definedName name="_xlnm.Print_Area" localSheetId="3">Nyomtatas!$A$1:$O$28</definedName>
    <definedName name="_xlnm.Print_Area" localSheetId="2">Teruletszamitas!$A$1:$I$29</definedName>
    <definedName name="TermekKod_data">OFFSET(TermekKod!$A$1,0,0,TermekKod_lrow,TermekKod_lcol)</definedName>
    <definedName name="TermekKod_lcol">COUNTA(TermekKod!$1:$1)</definedName>
    <definedName name="TermekKod_list">OFFSET(TermekKod!$A$2,0,0,TermekKod_lrow-1,1)</definedName>
    <definedName name="TermekKod_lrow">COUNTA(TermekKod!$A:$A)</definedName>
    <definedName name="Termositas_data">OFFSET(Termositas!$A$1,0,0,Termositas_lrow,Termositas_lcol)</definedName>
    <definedName name="Termositas_lcol">COUNTA(Termositas!$1:$1)</definedName>
    <definedName name="Termositas_list">OFFSET(Termositas!$A$2,0,0,Termositas_lrow-1,1)</definedName>
    <definedName name="Termositas_lrow">COUNTA(Termositas!$A:$A)</definedName>
    <definedName name="Vastagsag_data">OFFSET(Vastagsag!$A$1,0,0,Vastagsag_lrow,Vastagsag_lcol)</definedName>
    <definedName name="Vastagsag_lcol">COUNTA(Vastagsag!$1:$1)</definedName>
    <definedName name="Vastagsag_list">OFFSET(Vastagsag!$A$3,0,0,Vastagsag_lrow-1,1)</definedName>
    <definedName name="Vastagsag_lrow">COUNTA(Vastagsag!$A:$A)</definedName>
  </definedNames>
  <calcPr calcId="181029"/>
</workbook>
</file>

<file path=xl/calcChain.xml><?xml version="1.0" encoding="utf-8"?>
<calcChain xmlns="http://schemas.openxmlformats.org/spreadsheetml/2006/main">
  <c r="G5" i="12" l="1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T4" i="12"/>
  <c r="O1" i="14" s="1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A2" i="13"/>
  <c r="B2" i="13"/>
  <c r="C2" i="13"/>
  <c r="G2" i="13" s="1"/>
  <c r="H2" i="13" s="1"/>
  <c r="K2" i="13"/>
  <c r="A3" i="13"/>
  <c r="B3" i="13"/>
  <c r="C3" i="13"/>
  <c r="G3" i="13"/>
  <c r="H3" i="13" s="1"/>
  <c r="K3" i="13"/>
  <c r="A4" i="13"/>
  <c r="B4" i="13"/>
  <c r="B20" i="15" s="1"/>
  <c r="C4" i="13"/>
  <c r="G4" i="13" s="1"/>
  <c r="H4" i="13" s="1"/>
  <c r="D20" i="15" s="1"/>
  <c r="K4" i="13"/>
  <c r="A5" i="13"/>
  <c r="B5" i="13"/>
  <c r="C5" i="13"/>
  <c r="G5" i="13" s="1"/>
  <c r="H5" i="13" s="1"/>
  <c r="I5" i="13" s="1"/>
  <c r="H4" i="15" s="1"/>
  <c r="K5" i="13"/>
  <c r="A6" i="13"/>
  <c r="B6" i="13"/>
  <c r="C6" i="13"/>
  <c r="G6" i="13" s="1"/>
  <c r="H6" i="13" s="1"/>
  <c r="K6" i="13"/>
  <c r="A7" i="13"/>
  <c r="B7" i="13"/>
  <c r="C7" i="13"/>
  <c r="G7" i="13" s="1"/>
  <c r="H7" i="13" s="1"/>
  <c r="K7" i="13"/>
  <c r="A8" i="13"/>
  <c r="B8" i="13"/>
  <c r="C8" i="13"/>
  <c r="G8" i="13" s="1"/>
  <c r="H8" i="13" s="1"/>
  <c r="I8" i="13" s="1"/>
  <c r="B55" i="26" s="1"/>
  <c r="C55" i="26" s="1"/>
  <c r="K8" i="13"/>
  <c r="A9" i="13"/>
  <c r="B9" i="13"/>
  <c r="C9" i="13"/>
  <c r="G9" i="13" s="1"/>
  <c r="H9" i="13" s="1"/>
  <c r="K9" i="13"/>
  <c r="A10" i="13"/>
  <c r="B10" i="13"/>
  <c r="C10" i="13"/>
  <c r="G10" i="13" s="1"/>
  <c r="H10" i="13" s="1"/>
  <c r="K10" i="13"/>
  <c r="A11" i="13"/>
  <c r="B11" i="13"/>
  <c r="C11" i="13"/>
  <c r="G11" i="13" s="1"/>
  <c r="H11" i="13" s="1"/>
  <c r="I11" i="13" s="1"/>
  <c r="H33" i="25" s="1"/>
  <c r="K11" i="13"/>
  <c r="A12" i="13"/>
  <c r="B12" i="13"/>
  <c r="B9" i="25" s="1"/>
  <c r="C12" i="13"/>
  <c r="G12" i="13" s="1"/>
  <c r="H12" i="13" s="1"/>
  <c r="K12" i="13"/>
  <c r="A13" i="13"/>
  <c r="B13" i="13"/>
  <c r="C13" i="13"/>
  <c r="G13" i="13" s="1"/>
  <c r="H13" i="13" s="1"/>
  <c r="K13" i="13"/>
  <c r="A14" i="13"/>
  <c r="B14" i="13"/>
  <c r="C14" i="13"/>
  <c r="G14" i="13"/>
  <c r="H14" i="13" s="1"/>
  <c r="K14" i="13"/>
  <c r="A15" i="13"/>
  <c r="B15" i="13"/>
  <c r="C15" i="13"/>
  <c r="G15" i="13" s="1"/>
  <c r="H15" i="13" s="1"/>
  <c r="I15" i="13" s="1"/>
  <c r="K15" i="13"/>
  <c r="A16" i="13"/>
  <c r="B16" i="13"/>
  <c r="B5" i="15" s="1"/>
  <c r="C16" i="13"/>
  <c r="G16" i="13"/>
  <c r="H16" i="13" s="1"/>
  <c r="K16" i="13"/>
  <c r="A17" i="13"/>
  <c r="B17" i="13"/>
  <c r="C17" i="13"/>
  <c r="G17" i="13" s="1"/>
  <c r="H17" i="13" s="1"/>
  <c r="I17" i="13" s="1"/>
  <c r="K17" i="13"/>
  <c r="A18" i="13"/>
  <c r="B18" i="13"/>
  <c r="C18" i="13"/>
  <c r="G18" i="13" s="1"/>
  <c r="H18" i="13" s="1"/>
  <c r="K18" i="13"/>
  <c r="A19" i="13"/>
  <c r="B19" i="13"/>
  <c r="C19" i="13"/>
  <c r="G19" i="13" s="1"/>
  <c r="H19" i="13" s="1"/>
  <c r="K19" i="13"/>
  <c r="A20" i="13"/>
  <c r="B20" i="13"/>
  <c r="C20" i="13"/>
  <c r="G20" i="13" s="1"/>
  <c r="H20" i="13" s="1"/>
  <c r="K20" i="13"/>
  <c r="A21" i="13"/>
  <c r="B21" i="13"/>
  <c r="C21" i="13"/>
  <c r="G21" i="13" s="1"/>
  <c r="H21" i="13" s="1"/>
  <c r="I21" i="13" s="1"/>
  <c r="K21" i="13"/>
  <c r="A22" i="13"/>
  <c r="B22" i="13"/>
  <c r="C22" i="13"/>
  <c r="G22" i="13" s="1"/>
  <c r="H22" i="13" s="1"/>
  <c r="K22" i="13"/>
  <c r="A23" i="13"/>
  <c r="B23" i="13"/>
  <c r="C23" i="13"/>
  <c r="G23" i="13"/>
  <c r="H23" i="13" s="1"/>
  <c r="I23" i="13" s="1"/>
  <c r="H18" i="15" s="1"/>
  <c r="K23" i="13"/>
  <c r="A24" i="13"/>
  <c r="B24" i="13"/>
  <c r="B22" i="25" s="1"/>
  <c r="C24" i="13"/>
  <c r="G24" i="13" s="1"/>
  <c r="H24" i="13" s="1"/>
  <c r="I24" i="13" s="1"/>
  <c r="K24" i="13"/>
  <c r="A25" i="13"/>
  <c r="B25" i="13"/>
  <c r="C25" i="13"/>
  <c r="G25" i="13" s="1"/>
  <c r="H25" i="13" s="1"/>
  <c r="K25" i="13"/>
  <c r="A26" i="13"/>
  <c r="B26" i="13"/>
  <c r="C26" i="13"/>
  <c r="G26" i="13" s="1"/>
  <c r="H26" i="13" s="1"/>
  <c r="D21" i="25" s="1"/>
  <c r="K26" i="13"/>
  <c r="A27" i="13"/>
  <c r="B27" i="13"/>
  <c r="C27" i="13"/>
  <c r="G27" i="13" s="1"/>
  <c r="H27" i="13" s="1"/>
  <c r="I27" i="13" s="1"/>
  <c r="K27" i="13"/>
  <c r="A28" i="13"/>
  <c r="B28" i="13"/>
  <c r="C28" i="13"/>
  <c r="G28" i="13" s="1"/>
  <c r="H28" i="13" s="1"/>
  <c r="K28" i="13"/>
  <c r="A29" i="13"/>
  <c r="B29" i="13"/>
  <c r="C29" i="13"/>
  <c r="G29" i="13" s="1"/>
  <c r="H29" i="13" s="1"/>
  <c r="I29" i="13" s="1"/>
  <c r="B25" i="28" s="1"/>
  <c r="K29" i="13"/>
  <c r="A30" i="13"/>
  <c r="B30" i="13"/>
  <c r="C30" i="13"/>
  <c r="G30" i="13"/>
  <c r="H30" i="13" s="1"/>
  <c r="D26" i="25" s="1"/>
  <c r="K30" i="13"/>
  <c r="A31" i="13"/>
  <c r="B31" i="13"/>
  <c r="C31" i="13"/>
  <c r="G31" i="13" s="1"/>
  <c r="H31" i="13" s="1"/>
  <c r="I31" i="13" s="1"/>
  <c r="B27" i="28" s="1"/>
  <c r="K31" i="13"/>
  <c r="A32" i="13"/>
  <c r="B32" i="13"/>
  <c r="B28" i="15" s="1"/>
  <c r="C32" i="13"/>
  <c r="G32" i="13" s="1"/>
  <c r="H32" i="13" s="1"/>
  <c r="K32" i="13"/>
  <c r="A33" i="13"/>
  <c r="B33" i="13"/>
  <c r="B30" i="15" s="1"/>
  <c r="C33" i="13"/>
  <c r="G33" i="13" s="1"/>
  <c r="H33" i="13" s="1"/>
  <c r="I33" i="13" s="1"/>
  <c r="K33" i="13"/>
  <c r="A34" i="13"/>
  <c r="B34" i="13"/>
  <c r="C34" i="13"/>
  <c r="G34" i="13"/>
  <c r="H34" i="13" s="1"/>
  <c r="K34" i="13"/>
  <c r="A35" i="13"/>
  <c r="B35" i="13"/>
  <c r="C35" i="13"/>
  <c r="G35" i="13" s="1"/>
  <c r="H35" i="13" s="1"/>
  <c r="D34" i="15" s="1"/>
  <c r="K35" i="13"/>
  <c r="A36" i="13"/>
  <c r="B36" i="13"/>
  <c r="B35" i="15" s="1"/>
  <c r="C36" i="13"/>
  <c r="G36" i="13"/>
  <c r="H36" i="13" s="1"/>
  <c r="K36" i="13"/>
  <c r="A37" i="13"/>
  <c r="B37" i="13"/>
  <c r="C37" i="13"/>
  <c r="G37" i="13" s="1"/>
  <c r="H37" i="13" s="1"/>
  <c r="K37" i="13"/>
  <c r="A38" i="13"/>
  <c r="B38" i="13"/>
  <c r="B37" i="15" s="1"/>
  <c r="C38" i="13"/>
  <c r="G38" i="13" s="1"/>
  <c r="H38" i="13" s="1"/>
  <c r="D37" i="25" s="1"/>
  <c r="K38" i="13"/>
  <c r="A39" i="13"/>
  <c r="B39" i="13"/>
  <c r="C39" i="13"/>
  <c r="G39" i="13"/>
  <c r="H39" i="13" s="1"/>
  <c r="K39" i="13"/>
  <c r="A40" i="13"/>
  <c r="B40" i="13"/>
  <c r="C40" i="13"/>
  <c r="G40" i="13" s="1"/>
  <c r="H40" i="13" s="1"/>
  <c r="I40" i="13" s="1"/>
  <c r="O39" i="15" s="1"/>
  <c r="P39" i="15" s="1"/>
  <c r="K40" i="13"/>
  <c r="A41" i="13"/>
  <c r="B41" i="13"/>
  <c r="C41" i="13"/>
  <c r="G41" i="13"/>
  <c r="H41" i="13" s="1"/>
  <c r="I41" i="13" s="1"/>
  <c r="K41" i="13"/>
  <c r="A42" i="13"/>
  <c r="B42" i="13"/>
  <c r="C42" i="13"/>
  <c r="G42" i="13" s="1"/>
  <c r="H42" i="13" s="1"/>
  <c r="D41" i="25" s="1"/>
  <c r="K42" i="13"/>
  <c r="A43" i="13"/>
  <c r="B43" i="13"/>
  <c r="B42" i="15" s="1"/>
  <c r="C43" i="13"/>
  <c r="G43" i="13" s="1"/>
  <c r="H43" i="13" s="1"/>
  <c r="K43" i="13"/>
  <c r="A44" i="13"/>
  <c r="B44" i="13"/>
  <c r="B44" i="25" s="1"/>
  <c r="C44" i="13"/>
  <c r="G44" i="13" s="1"/>
  <c r="H44" i="13" s="1"/>
  <c r="D44" i="15" s="1"/>
  <c r="K44" i="13"/>
  <c r="A45" i="13"/>
  <c r="B45" i="13"/>
  <c r="C45" i="13"/>
  <c r="G45" i="13"/>
  <c r="H45" i="13" s="1"/>
  <c r="K45" i="13"/>
  <c r="A46" i="13"/>
  <c r="B46" i="13"/>
  <c r="C46" i="13"/>
  <c r="G46" i="13" s="1"/>
  <c r="H46" i="13" s="1"/>
  <c r="I46" i="13" s="1"/>
  <c r="B45" i="26" s="1"/>
  <c r="C45" i="26" s="1"/>
  <c r="K46" i="13"/>
  <c r="A47" i="13"/>
  <c r="B47" i="13"/>
  <c r="C47" i="13"/>
  <c r="G47" i="13" s="1"/>
  <c r="H47" i="13" s="1"/>
  <c r="K47" i="13"/>
  <c r="A48" i="13"/>
  <c r="B48" i="13"/>
  <c r="B48" i="25" s="1"/>
  <c r="C48" i="13"/>
  <c r="G48" i="13" s="1"/>
  <c r="H48" i="13" s="1"/>
  <c r="K48" i="13"/>
  <c r="A49" i="13"/>
  <c r="B49" i="13"/>
  <c r="C49" i="13"/>
  <c r="G49" i="13" s="1"/>
  <c r="H49" i="13" s="1"/>
  <c r="D49" i="15" s="1"/>
  <c r="K49" i="13"/>
  <c r="A50" i="13"/>
  <c r="B50" i="13"/>
  <c r="B50" i="25" s="1"/>
  <c r="C50" i="13"/>
  <c r="G50" i="13" s="1"/>
  <c r="H50" i="13" s="1"/>
  <c r="K50" i="13"/>
  <c r="A51" i="13"/>
  <c r="B51" i="13"/>
  <c r="B51" i="15" s="1"/>
  <c r="C51" i="13"/>
  <c r="G51" i="13"/>
  <c r="H51" i="13" s="1"/>
  <c r="K51" i="13"/>
  <c r="A52" i="13"/>
  <c r="B52" i="13"/>
  <c r="B52" i="15" s="1"/>
  <c r="C52" i="13"/>
  <c r="G52" i="13"/>
  <c r="H52" i="13" s="1"/>
  <c r="I52" i="13" s="1"/>
  <c r="H52" i="15" s="1"/>
  <c r="K52" i="13"/>
  <c r="A53" i="13"/>
  <c r="B53" i="13"/>
  <c r="C53" i="13"/>
  <c r="G53" i="13" s="1"/>
  <c r="H53" i="13" s="1"/>
  <c r="K53" i="13"/>
  <c r="A54" i="13"/>
  <c r="B54" i="13"/>
  <c r="C54" i="13"/>
  <c r="G54" i="13" s="1"/>
  <c r="H54" i="13" s="1"/>
  <c r="D54" i="15" s="1"/>
  <c r="K54" i="13"/>
  <c r="A55" i="13"/>
  <c r="B55" i="13"/>
  <c r="C55" i="13"/>
  <c r="G55" i="13" s="1"/>
  <c r="H55" i="13" s="1"/>
  <c r="K55" i="13"/>
  <c r="A56" i="13"/>
  <c r="B56" i="13"/>
  <c r="C56" i="13"/>
  <c r="G56" i="13"/>
  <c r="H56" i="13" s="1"/>
  <c r="D57" i="25" s="1"/>
  <c r="K56" i="13"/>
  <c r="A57" i="13"/>
  <c r="B57" i="13"/>
  <c r="C57" i="13"/>
  <c r="G57" i="13" s="1"/>
  <c r="H57" i="13" s="1"/>
  <c r="I57" i="13" s="1"/>
  <c r="K57" i="13"/>
  <c r="A58" i="13"/>
  <c r="B58" i="13"/>
  <c r="B59" i="25" s="1"/>
  <c r="C58" i="13"/>
  <c r="G58" i="13"/>
  <c r="H58" i="13" s="1"/>
  <c r="I58" i="13" s="1"/>
  <c r="K58" i="13"/>
  <c r="A59" i="13"/>
  <c r="B59" i="13"/>
  <c r="B60" i="15" s="1"/>
  <c r="C59" i="13"/>
  <c r="G59" i="13" s="1"/>
  <c r="H59" i="13" s="1"/>
  <c r="K59" i="13"/>
  <c r="A60" i="13"/>
  <c r="B60" i="13"/>
  <c r="B61" i="25" s="1"/>
  <c r="C60" i="13"/>
  <c r="G60" i="13"/>
  <c r="H60" i="13" s="1"/>
  <c r="D61" i="15" s="1"/>
  <c r="K60" i="13"/>
  <c r="A61" i="13"/>
  <c r="B61" i="13"/>
  <c r="C61" i="13"/>
  <c r="G61" i="13" s="1"/>
  <c r="H61" i="13" s="1"/>
  <c r="K61" i="13"/>
  <c r="A62" i="13"/>
  <c r="B62" i="13"/>
  <c r="C62" i="13"/>
  <c r="G62" i="13" s="1"/>
  <c r="H62" i="13" s="1"/>
  <c r="K62" i="13"/>
  <c r="A63" i="13"/>
  <c r="B63" i="13"/>
  <c r="B64" i="25" s="1"/>
  <c r="C63" i="13"/>
  <c r="G63" i="13" s="1"/>
  <c r="H63" i="13" s="1"/>
  <c r="I63" i="13" s="1"/>
  <c r="K63" i="13"/>
  <c r="A64" i="13"/>
  <c r="B64" i="13"/>
  <c r="C64" i="13"/>
  <c r="G64" i="13" s="1"/>
  <c r="H64" i="13" s="1"/>
  <c r="I64" i="13" s="1"/>
  <c r="K64" i="13"/>
  <c r="A65" i="13"/>
  <c r="B65" i="13"/>
  <c r="C65" i="13"/>
  <c r="G65" i="13" s="1"/>
  <c r="H65" i="13" s="1"/>
  <c r="K65" i="13"/>
  <c r="A66" i="13"/>
  <c r="B66" i="13"/>
  <c r="B67" i="25" s="1"/>
  <c r="C66" i="13"/>
  <c r="G66" i="13"/>
  <c r="H66" i="13" s="1"/>
  <c r="K66" i="13"/>
  <c r="A67" i="13"/>
  <c r="B67" i="13"/>
  <c r="C67" i="13"/>
  <c r="G67" i="13" s="1"/>
  <c r="H67" i="13" s="1"/>
  <c r="I67" i="13" s="1"/>
  <c r="K67" i="13"/>
  <c r="A68" i="13"/>
  <c r="B68" i="13"/>
  <c r="C68" i="13"/>
  <c r="G68" i="13" s="1"/>
  <c r="H68" i="13" s="1"/>
  <c r="I68" i="13" s="1"/>
  <c r="O69" i="15" s="1"/>
  <c r="P69" i="15" s="1"/>
  <c r="K68" i="13"/>
  <c r="A69" i="13"/>
  <c r="B69" i="13"/>
  <c r="B70" i="15" s="1"/>
  <c r="C69" i="13"/>
  <c r="G69" i="13" s="1"/>
  <c r="H69" i="13" s="1"/>
  <c r="I69" i="13" s="1"/>
  <c r="B70" i="28" s="1"/>
  <c r="K69" i="13"/>
  <c r="A70" i="13"/>
  <c r="B70" i="13"/>
  <c r="C70" i="13"/>
  <c r="G70" i="13" s="1"/>
  <c r="H70" i="13" s="1"/>
  <c r="K70" i="13"/>
  <c r="A71" i="13"/>
  <c r="B71" i="13"/>
  <c r="C71" i="13"/>
  <c r="G71" i="13"/>
  <c r="H71" i="13" s="1"/>
  <c r="I71" i="13" s="1"/>
  <c r="K71" i="13"/>
  <c r="A72" i="13"/>
  <c r="B72" i="13"/>
  <c r="B72" i="25" s="1"/>
  <c r="C72" i="13"/>
  <c r="G72" i="13"/>
  <c r="H72" i="13" s="1"/>
  <c r="K72" i="13"/>
  <c r="A73" i="13"/>
  <c r="B73" i="13"/>
  <c r="B73" i="25" s="1"/>
  <c r="C73" i="13"/>
  <c r="G73" i="13" s="1"/>
  <c r="H73" i="13" s="1"/>
  <c r="K73" i="13"/>
  <c r="A74" i="13"/>
  <c r="B74" i="13"/>
  <c r="B74" i="15" s="1"/>
  <c r="C74" i="13"/>
  <c r="G74" i="13" s="1"/>
  <c r="H74" i="13" s="1"/>
  <c r="D74" i="15" s="1"/>
  <c r="K74" i="13"/>
  <c r="A75" i="13"/>
  <c r="B75" i="13"/>
  <c r="C75" i="13"/>
  <c r="G75" i="13"/>
  <c r="H75" i="13" s="1"/>
  <c r="I75" i="13" s="1"/>
  <c r="K75" i="13"/>
  <c r="A76" i="13"/>
  <c r="B76" i="13"/>
  <c r="C76" i="13"/>
  <c r="G76" i="13" s="1"/>
  <c r="H76" i="13" s="1"/>
  <c r="I76" i="13" s="1"/>
  <c r="K76" i="13"/>
  <c r="A77" i="13"/>
  <c r="B77" i="13"/>
  <c r="C77" i="13"/>
  <c r="G77" i="13" s="1"/>
  <c r="H77" i="13" s="1"/>
  <c r="D77" i="25" s="1"/>
  <c r="K77" i="13"/>
  <c r="A78" i="13"/>
  <c r="B78" i="13"/>
  <c r="C78" i="13"/>
  <c r="G78" i="13" s="1"/>
  <c r="H78" i="13" s="1"/>
  <c r="K78" i="13"/>
  <c r="A79" i="13"/>
  <c r="B79" i="13"/>
  <c r="C79" i="13"/>
  <c r="G79" i="13" s="1"/>
  <c r="H79" i="13" s="1"/>
  <c r="I79" i="13" s="1"/>
  <c r="K79" i="13"/>
  <c r="A80" i="13"/>
  <c r="B80" i="13"/>
  <c r="B80" i="25" s="1"/>
  <c r="C80" i="13"/>
  <c r="G80" i="13" s="1"/>
  <c r="H80" i="13" s="1"/>
  <c r="I80" i="13" s="1"/>
  <c r="K80" i="13"/>
  <c r="A81" i="13"/>
  <c r="B81" i="13"/>
  <c r="C81" i="13"/>
  <c r="G81" i="13"/>
  <c r="H81" i="13" s="1"/>
  <c r="K81" i="13"/>
  <c r="A82" i="13"/>
  <c r="B82" i="13"/>
  <c r="C82" i="13"/>
  <c r="G82" i="13"/>
  <c r="H82" i="13" s="1"/>
  <c r="D82" i="15" s="1"/>
  <c r="K82" i="13"/>
  <c r="A83" i="13"/>
  <c r="B83" i="13"/>
  <c r="B83" i="15" s="1"/>
  <c r="C83" i="13"/>
  <c r="G83" i="13" s="1"/>
  <c r="H83" i="13" s="1"/>
  <c r="I83" i="13" s="1"/>
  <c r="O83" i="15" s="1"/>
  <c r="P83" i="15" s="1"/>
  <c r="T83" i="15" s="1"/>
  <c r="S83" i="15" s="1"/>
  <c r="K83" i="13"/>
  <c r="A84" i="13"/>
  <c r="B84" i="13"/>
  <c r="C84" i="13"/>
  <c r="G84" i="13" s="1"/>
  <c r="H84" i="13" s="1"/>
  <c r="I84" i="13" s="1"/>
  <c r="B84" i="28" s="1"/>
  <c r="K84" i="13"/>
  <c r="A85" i="13"/>
  <c r="B85" i="13"/>
  <c r="B85" i="15" s="1"/>
  <c r="C85" i="13"/>
  <c r="G85" i="13"/>
  <c r="H85" i="13" s="1"/>
  <c r="D85" i="15" s="1"/>
  <c r="K85" i="13"/>
  <c r="A86" i="13"/>
  <c r="B86" i="13"/>
  <c r="B86" i="25" s="1"/>
  <c r="C86" i="13"/>
  <c r="G86" i="13" s="1"/>
  <c r="H86" i="13" s="1"/>
  <c r="K86" i="13"/>
  <c r="A87" i="13"/>
  <c r="B87" i="13"/>
  <c r="B87" i="25" s="1"/>
  <c r="C87" i="13"/>
  <c r="G87" i="13" s="1"/>
  <c r="H87" i="13" s="1"/>
  <c r="K87" i="13"/>
  <c r="A88" i="13"/>
  <c r="B88" i="13"/>
  <c r="C88" i="13"/>
  <c r="G88" i="13" s="1"/>
  <c r="H88" i="13" s="1"/>
  <c r="I88" i="13" s="1"/>
  <c r="K88" i="13"/>
  <c r="A89" i="13"/>
  <c r="B89" i="13"/>
  <c r="B89" i="15" s="1"/>
  <c r="C89" i="13"/>
  <c r="G89" i="13" s="1"/>
  <c r="H89" i="13" s="1"/>
  <c r="K89" i="13"/>
  <c r="A90" i="13"/>
  <c r="B90" i="13"/>
  <c r="B90" i="15" s="1"/>
  <c r="C90" i="13"/>
  <c r="G90" i="13" s="1"/>
  <c r="H90" i="13" s="1"/>
  <c r="K90" i="13"/>
  <c r="A91" i="13"/>
  <c r="B91" i="13"/>
  <c r="C91" i="13"/>
  <c r="G91" i="13"/>
  <c r="H91" i="13" s="1"/>
  <c r="I91" i="13" s="1"/>
  <c r="K91" i="13"/>
  <c r="A92" i="13"/>
  <c r="B92" i="13"/>
  <c r="C92" i="13"/>
  <c r="G92" i="13"/>
  <c r="H92" i="13" s="1"/>
  <c r="K92" i="13"/>
  <c r="A93" i="13"/>
  <c r="B93" i="13"/>
  <c r="C93" i="13"/>
  <c r="G93" i="13" s="1"/>
  <c r="H93" i="13" s="1"/>
  <c r="I93" i="13" s="1"/>
  <c r="K93" i="13"/>
  <c r="A94" i="13"/>
  <c r="B94" i="13"/>
  <c r="B94" i="25" s="1"/>
  <c r="C94" i="13"/>
  <c r="G94" i="13"/>
  <c r="H94" i="13" s="1"/>
  <c r="I94" i="13" s="1"/>
  <c r="O94" i="15" s="1"/>
  <c r="P94" i="15" s="1"/>
  <c r="T94" i="15" s="1"/>
  <c r="S94" i="15" s="1"/>
  <c r="K94" i="13"/>
  <c r="A95" i="13"/>
  <c r="B95" i="13"/>
  <c r="C95" i="13"/>
  <c r="G95" i="13" s="1"/>
  <c r="H95" i="13" s="1"/>
  <c r="I95" i="13" s="1"/>
  <c r="B94" i="26" s="1"/>
  <c r="C94" i="26" s="1"/>
  <c r="F94" i="26" s="1"/>
  <c r="E94" i="26" s="1"/>
  <c r="K95" i="13"/>
  <c r="A96" i="13"/>
  <c r="B96" i="13"/>
  <c r="B96" i="15" s="1"/>
  <c r="C96" i="13"/>
  <c r="G96" i="13" s="1"/>
  <c r="H96" i="13" s="1"/>
  <c r="I96" i="13" s="1"/>
  <c r="K96" i="13"/>
  <c r="A97" i="13"/>
  <c r="B97" i="13"/>
  <c r="B97" i="15" s="1"/>
  <c r="C97" i="13"/>
  <c r="G97" i="13" s="1"/>
  <c r="H97" i="13" s="1"/>
  <c r="I97" i="13" s="1"/>
  <c r="B96" i="26" s="1"/>
  <c r="C96" i="26" s="1"/>
  <c r="G96" i="26" s="1"/>
  <c r="K97" i="13"/>
  <c r="A98" i="13"/>
  <c r="B98" i="13"/>
  <c r="C98" i="13"/>
  <c r="G98" i="13" s="1"/>
  <c r="H98" i="13" s="1"/>
  <c r="D98" i="25" s="1"/>
  <c r="K98" i="13"/>
  <c r="A99" i="13"/>
  <c r="B99" i="13"/>
  <c r="B99" i="25" s="1"/>
  <c r="C99" i="13"/>
  <c r="G99" i="13" s="1"/>
  <c r="H99" i="13" s="1"/>
  <c r="I99" i="13" s="1"/>
  <c r="B99" i="28" s="1"/>
  <c r="K99" i="13"/>
  <c r="A100" i="13"/>
  <c r="B100" i="13"/>
  <c r="B100" i="15" s="1"/>
  <c r="C100" i="13"/>
  <c r="G100" i="13" s="1"/>
  <c r="H100" i="13" s="1"/>
  <c r="D100" i="15" s="1"/>
  <c r="K100" i="13"/>
  <c r="A101" i="13"/>
  <c r="B101" i="13"/>
  <c r="C101" i="13"/>
  <c r="G101" i="13" s="1"/>
  <c r="H101" i="13" s="1"/>
  <c r="D101" i="25" s="1"/>
  <c r="K101" i="13"/>
  <c r="A102" i="13"/>
  <c r="B102" i="13"/>
  <c r="B102" i="25" s="1"/>
  <c r="C102" i="13"/>
  <c r="G102" i="13" s="1"/>
  <c r="H102" i="13" s="1"/>
  <c r="I102" i="13" s="1"/>
  <c r="B101" i="26" s="1"/>
  <c r="C101" i="26" s="1"/>
  <c r="K102" i="13"/>
  <c r="A103" i="13"/>
  <c r="B103" i="13"/>
  <c r="B103" i="15" s="1"/>
  <c r="C103" i="13"/>
  <c r="G103" i="13" s="1"/>
  <c r="H103" i="13" s="1"/>
  <c r="I103" i="13" s="1"/>
  <c r="K103" i="13"/>
  <c r="A104" i="13"/>
  <c r="B104" i="13"/>
  <c r="C104" i="13"/>
  <c r="G104" i="13" s="1"/>
  <c r="H104" i="13" s="1"/>
  <c r="I104" i="13" s="1"/>
  <c r="H104" i="15" s="1"/>
  <c r="K104" i="13"/>
  <c r="A105" i="13"/>
  <c r="B105" i="13"/>
  <c r="B105" i="15" s="1"/>
  <c r="C105" i="13"/>
  <c r="G105" i="13" s="1"/>
  <c r="H105" i="13" s="1"/>
  <c r="I105" i="13" s="1"/>
  <c r="K105" i="13"/>
  <c r="A106" i="13"/>
  <c r="B106" i="13"/>
  <c r="B106" i="15" s="1"/>
  <c r="C106" i="13"/>
  <c r="G106" i="13" s="1"/>
  <c r="H106" i="13" s="1"/>
  <c r="I106" i="13" s="1"/>
  <c r="O106" i="15" s="1"/>
  <c r="P106" i="15" s="1"/>
  <c r="U106" i="15" s="1"/>
  <c r="K106" i="13"/>
  <c r="A107" i="13"/>
  <c r="B107" i="13"/>
  <c r="C107" i="13"/>
  <c r="G107" i="13" s="1"/>
  <c r="H107" i="13" s="1"/>
  <c r="D107" i="25" s="1"/>
  <c r="K107" i="13"/>
  <c r="A108" i="13"/>
  <c r="B108" i="13"/>
  <c r="B108" i="15" s="1"/>
  <c r="C108" i="13"/>
  <c r="G108" i="13" s="1"/>
  <c r="H108" i="13" s="1"/>
  <c r="I108" i="13" s="1"/>
  <c r="B107" i="26" s="1"/>
  <c r="C107" i="26" s="1"/>
  <c r="K108" i="13"/>
  <c r="A109" i="13"/>
  <c r="B109" i="13"/>
  <c r="B109" i="25" s="1"/>
  <c r="C109" i="13"/>
  <c r="G109" i="13" s="1"/>
  <c r="H109" i="13" s="1"/>
  <c r="D109" i="25" s="1"/>
  <c r="K109" i="13"/>
  <c r="A110" i="13"/>
  <c r="B110" i="13"/>
  <c r="C110" i="13"/>
  <c r="G110" i="13" s="1"/>
  <c r="H110" i="13" s="1"/>
  <c r="I110" i="13" s="1"/>
  <c r="H110" i="25" s="1"/>
  <c r="K110" i="13"/>
  <c r="A111" i="13"/>
  <c r="B111" i="13"/>
  <c r="B111" i="25" s="1"/>
  <c r="C111" i="13"/>
  <c r="G111" i="13" s="1"/>
  <c r="H111" i="13" s="1"/>
  <c r="D111" i="25" s="1"/>
  <c r="K111" i="13"/>
  <c r="A112" i="13"/>
  <c r="B112" i="13"/>
  <c r="B112" i="15" s="1"/>
  <c r="C112" i="13"/>
  <c r="G112" i="13" s="1"/>
  <c r="H112" i="13" s="1"/>
  <c r="I112" i="13" s="1"/>
  <c r="K112" i="13"/>
  <c r="A113" i="13"/>
  <c r="B113" i="13"/>
  <c r="C113" i="13"/>
  <c r="G113" i="13" s="1"/>
  <c r="H113" i="13" s="1"/>
  <c r="I113" i="13" s="1"/>
  <c r="B112" i="26" s="1"/>
  <c r="C112" i="26" s="1"/>
  <c r="F112" i="26" s="1"/>
  <c r="E112" i="26" s="1"/>
  <c r="K113" i="13"/>
  <c r="A114" i="13"/>
  <c r="B114" i="13"/>
  <c r="B114" i="15" s="1"/>
  <c r="C114" i="13"/>
  <c r="G114" i="13" s="1"/>
  <c r="H114" i="13" s="1"/>
  <c r="I114" i="13" s="1"/>
  <c r="H114" i="15" s="1"/>
  <c r="K114" i="13"/>
  <c r="A115" i="13"/>
  <c r="B115" i="13"/>
  <c r="B115" i="15" s="1"/>
  <c r="C115" i="13"/>
  <c r="G115" i="13" s="1"/>
  <c r="H115" i="13" s="1"/>
  <c r="D115" i="15" s="1"/>
  <c r="K115" i="13"/>
  <c r="A116" i="13"/>
  <c r="B116" i="13"/>
  <c r="C116" i="13"/>
  <c r="G116" i="13" s="1"/>
  <c r="H116" i="13" s="1"/>
  <c r="D116" i="15" s="1"/>
  <c r="K116" i="13"/>
  <c r="A117" i="13"/>
  <c r="B117" i="13"/>
  <c r="B117" i="25" s="1"/>
  <c r="C117" i="13"/>
  <c r="G117" i="13"/>
  <c r="H117" i="13" s="1"/>
  <c r="D117" i="15" s="1"/>
  <c r="K117" i="13"/>
  <c r="A118" i="13"/>
  <c r="B118" i="13"/>
  <c r="C118" i="13"/>
  <c r="G118" i="13" s="1"/>
  <c r="H118" i="13" s="1"/>
  <c r="K118" i="13"/>
  <c r="A119" i="13"/>
  <c r="B119" i="13"/>
  <c r="C119" i="13"/>
  <c r="G119" i="13"/>
  <c r="H119" i="13" s="1"/>
  <c r="I119" i="13" s="1"/>
  <c r="K119" i="13"/>
  <c r="A120" i="13"/>
  <c r="B120" i="13"/>
  <c r="C120" i="13"/>
  <c r="G120" i="13" s="1"/>
  <c r="H120" i="13" s="1"/>
  <c r="I120" i="13" s="1"/>
  <c r="H120" i="25" s="1"/>
  <c r="K120" i="13"/>
  <c r="A121" i="13"/>
  <c r="B121" i="13"/>
  <c r="C121" i="13"/>
  <c r="G121" i="13"/>
  <c r="H121" i="13" s="1"/>
  <c r="K121" i="13"/>
  <c r="A122" i="13"/>
  <c r="B122" i="13"/>
  <c r="C122" i="13"/>
  <c r="G122" i="13" s="1"/>
  <c r="H122" i="13" s="1"/>
  <c r="I122" i="13" s="1"/>
  <c r="H123" i="25" s="1"/>
  <c r="K122" i="13"/>
  <c r="A123" i="13"/>
  <c r="B123" i="13"/>
  <c r="C123" i="13"/>
  <c r="G123" i="13"/>
  <c r="H123" i="13" s="1"/>
  <c r="D124" i="15" s="1"/>
  <c r="K123" i="13"/>
  <c r="A124" i="13"/>
  <c r="B124" i="13"/>
  <c r="C124" i="13"/>
  <c r="G124" i="13"/>
  <c r="H124" i="13" s="1"/>
  <c r="I124" i="13" s="1"/>
  <c r="K124" i="13"/>
  <c r="A125" i="13"/>
  <c r="B125" i="13"/>
  <c r="C125" i="13"/>
  <c r="G125" i="13" s="1"/>
  <c r="H125" i="13" s="1"/>
  <c r="I125" i="13" s="1"/>
  <c r="H127" i="15" s="1"/>
  <c r="K125" i="13"/>
  <c r="A126" i="13"/>
  <c r="B126" i="13"/>
  <c r="C126" i="13"/>
  <c r="G126" i="13" s="1"/>
  <c r="H126" i="13" s="1"/>
  <c r="K126" i="13"/>
  <c r="A127" i="13"/>
  <c r="B127" i="13"/>
  <c r="C127" i="13"/>
  <c r="G127" i="13" s="1"/>
  <c r="H127" i="13" s="1"/>
  <c r="K127" i="13"/>
  <c r="A128" i="13"/>
  <c r="B128" i="13"/>
  <c r="B130" i="15" s="1"/>
  <c r="C128" i="13"/>
  <c r="G128" i="13" s="1"/>
  <c r="H128" i="13" s="1"/>
  <c r="I128" i="13" s="1"/>
  <c r="H130" i="15" s="1"/>
  <c r="K128" i="13"/>
  <c r="A129" i="13"/>
  <c r="B129" i="13"/>
  <c r="C129" i="13"/>
  <c r="G129" i="13" s="1"/>
  <c r="H129" i="13" s="1"/>
  <c r="I129" i="13" s="1"/>
  <c r="K129" i="13"/>
  <c r="A130" i="13"/>
  <c r="B130" i="13"/>
  <c r="C130" i="13"/>
  <c r="G130" i="13" s="1"/>
  <c r="H130" i="13" s="1"/>
  <c r="I130" i="13" s="1"/>
  <c r="K130" i="13"/>
  <c r="A131" i="13"/>
  <c r="B131" i="13"/>
  <c r="C131" i="13"/>
  <c r="G131" i="13" s="1"/>
  <c r="H131" i="13" s="1"/>
  <c r="D133" i="15" s="1"/>
  <c r="K131" i="13"/>
  <c r="A132" i="13"/>
  <c r="B132" i="13"/>
  <c r="C132" i="13"/>
  <c r="G132" i="13" s="1"/>
  <c r="H132" i="13" s="1"/>
  <c r="K132" i="13"/>
  <c r="A133" i="13"/>
  <c r="B133" i="13"/>
  <c r="C133" i="13"/>
  <c r="G133" i="13" s="1"/>
  <c r="H133" i="13" s="1"/>
  <c r="K133" i="13"/>
  <c r="A134" i="13"/>
  <c r="B134" i="13"/>
  <c r="C134" i="13"/>
  <c r="G134" i="13" s="1"/>
  <c r="H134" i="13" s="1"/>
  <c r="I134" i="13" s="1"/>
  <c r="K134" i="13"/>
  <c r="A135" i="13"/>
  <c r="B135" i="13"/>
  <c r="C135" i="13"/>
  <c r="G135" i="13"/>
  <c r="H135" i="13" s="1"/>
  <c r="K135" i="13"/>
  <c r="G136" i="13"/>
  <c r="H136" i="13" s="1"/>
  <c r="I136" i="13" s="1"/>
  <c r="B139" i="28" s="1"/>
  <c r="K136" i="13"/>
  <c r="A137" i="13"/>
  <c r="B137" i="13"/>
  <c r="C137" i="13"/>
  <c r="G137" i="13"/>
  <c r="H137" i="13" s="1"/>
  <c r="I137" i="13" s="1"/>
  <c r="B140" i="28" s="1"/>
  <c r="K137" i="13"/>
  <c r="A138" i="13"/>
  <c r="B138" i="13"/>
  <c r="C138" i="13"/>
  <c r="G138" i="13" s="1"/>
  <c r="H138" i="13" s="1"/>
  <c r="K138" i="13"/>
  <c r="A139" i="13"/>
  <c r="B139" i="13"/>
  <c r="C139" i="13"/>
  <c r="G139" i="13" s="1"/>
  <c r="H139" i="13" s="1"/>
  <c r="I139" i="13" s="1"/>
  <c r="K139" i="13"/>
  <c r="A140" i="13"/>
  <c r="B140" i="13"/>
  <c r="C140" i="13"/>
  <c r="G140" i="13" s="1"/>
  <c r="H140" i="13" s="1"/>
  <c r="I140" i="13" s="1"/>
  <c r="K140" i="13"/>
  <c r="A141" i="13"/>
  <c r="B141" i="13"/>
  <c r="C141" i="13"/>
  <c r="G141" i="13" s="1"/>
  <c r="H141" i="13" s="1"/>
  <c r="I141" i="13" s="1"/>
  <c r="K141" i="13"/>
  <c r="A142" i="13"/>
  <c r="B142" i="13"/>
  <c r="C142" i="13"/>
  <c r="G142" i="13" s="1"/>
  <c r="H142" i="13" s="1"/>
  <c r="K142" i="13"/>
  <c r="A143" i="13"/>
  <c r="B143" i="13"/>
  <c r="C143" i="13"/>
  <c r="G143" i="13" s="1"/>
  <c r="H143" i="13" s="1"/>
  <c r="D146" i="15" s="1"/>
  <c r="K143" i="13"/>
  <c r="A144" i="13"/>
  <c r="B144" i="13"/>
  <c r="C144" i="13"/>
  <c r="G144" i="13" s="1"/>
  <c r="H144" i="13" s="1"/>
  <c r="I144" i="13" s="1"/>
  <c r="K144" i="13"/>
  <c r="A145" i="13"/>
  <c r="B145" i="13"/>
  <c r="C145" i="13"/>
  <c r="G145" i="13" s="1"/>
  <c r="H145" i="13" s="1"/>
  <c r="K145" i="13"/>
  <c r="A146" i="13"/>
  <c r="B146" i="13"/>
  <c r="C146" i="13"/>
  <c r="G146" i="13" s="1"/>
  <c r="H146" i="13" s="1"/>
  <c r="I146" i="13" s="1"/>
  <c r="K146" i="13"/>
  <c r="G147" i="13"/>
  <c r="H147" i="13" s="1"/>
  <c r="I147" i="13" s="1"/>
  <c r="K147" i="13"/>
  <c r="A148" i="13"/>
  <c r="B148" i="13"/>
  <c r="C148" i="13"/>
  <c r="G148" i="13" s="1"/>
  <c r="H148" i="13" s="1"/>
  <c r="I148" i="13" s="1"/>
  <c r="K148" i="13"/>
  <c r="A149" i="13"/>
  <c r="B149" i="13"/>
  <c r="C149" i="13"/>
  <c r="G149" i="13" s="1"/>
  <c r="H149" i="13" s="1"/>
  <c r="I149" i="13" s="1"/>
  <c r="H151" i="15" s="1"/>
  <c r="K149" i="13"/>
  <c r="A150" i="13"/>
  <c r="B150" i="13"/>
  <c r="C150" i="13"/>
  <c r="G150" i="13" s="1"/>
  <c r="H150" i="13" s="1"/>
  <c r="D152" i="15" s="1"/>
  <c r="K150" i="13"/>
  <c r="A151" i="13"/>
  <c r="B151" i="13"/>
  <c r="C151" i="13"/>
  <c r="G151" i="13" s="1"/>
  <c r="H151" i="13" s="1"/>
  <c r="I151" i="13" s="1"/>
  <c r="K151" i="13"/>
  <c r="A152" i="13"/>
  <c r="B152" i="13"/>
  <c r="C152" i="13"/>
  <c r="G152" i="13" s="1"/>
  <c r="H152" i="13" s="1"/>
  <c r="I152" i="13" s="1"/>
  <c r="K152" i="13"/>
  <c r="G153" i="13"/>
  <c r="H153" i="13" s="1"/>
  <c r="I153" i="13" s="1"/>
  <c r="H154" i="15" s="1"/>
  <c r="G154" i="13"/>
  <c r="H154" i="13" s="1"/>
  <c r="I154" i="13" s="1"/>
  <c r="H155" i="15" s="1"/>
  <c r="K154" i="13"/>
  <c r="G155" i="13"/>
  <c r="H155" i="13" s="1"/>
  <c r="D156" i="15" s="1"/>
  <c r="K155" i="13"/>
  <c r="A156" i="13"/>
  <c r="B156" i="13"/>
  <c r="C156" i="13"/>
  <c r="G156" i="13" s="1"/>
  <c r="H156" i="13" s="1"/>
  <c r="I156" i="13" s="1"/>
  <c r="K156" i="13"/>
  <c r="A157" i="13"/>
  <c r="B157" i="13"/>
  <c r="C157" i="13"/>
  <c r="G157" i="13" s="1"/>
  <c r="H157" i="13" s="1"/>
  <c r="I157" i="13" s="1"/>
  <c r="H158" i="15" s="1"/>
  <c r="K157" i="13"/>
  <c r="A158" i="13"/>
  <c r="B158" i="13"/>
  <c r="C158" i="13"/>
  <c r="G158" i="13" s="1"/>
  <c r="H158" i="13" s="1"/>
  <c r="I158" i="13" s="1"/>
  <c r="K158" i="13"/>
  <c r="A159" i="13"/>
  <c r="B159" i="13"/>
  <c r="C159" i="13"/>
  <c r="G159" i="13" s="1"/>
  <c r="H159" i="13" s="1"/>
  <c r="I159" i="13" s="1"/>
  <c r="H160" i="15" s="1"/>
  <c r="K159" i="13"/>
  <c r="A160" i="13"/>
  <c r="B160" i="13"/>
  <c r="C160" i="13"/>
  <c r="G160" i="13" s="1"/>
  <c r="H160" i="13" s="1"/>
  <c r="I160" i="13" s="1"/>
  <c r="H161" i="15" s="1"/>
  <c r="K160" i="13"/>
  <c r="A161" i="13"/>
  <c r="B161" i="13"/>
  <c r="C161" i="13"/>
  <c r="G161" i="13" s="1"/>
  <c r="H161" i="13" s="1"/>
  <c r="I161" i="13" s="1"/>
  <c r="K161" i="13"/>
  <c r="A162" i="13"/>
  <c r="B162" i="13"/>
  <c r="C162" i="13"/>
  <c r="G162" i="13"/>
  <c r="H162" i="13" s="1"/>
  <c r="I162" i="13" s="1"/>
  <c r="K162" i="13"/>
  <c r="A163" i="13"/>
  <c r="B163" i="13"/>
  <c r="C163" i="13"/>
  <c r="G163" i="13" s="1"/>
  <c r="H163" i="13" s="1"/>
  <c r="I163" i="13" s="1"/>
  <c r="K163" i="13"/>
  <c r="A164" i="13"/>
  <c r="B164" i="13"/>
  <c r="C164" i="13"/>
  <c r="G164" i="13"/>
  <c r="H164" i="13" s="1"/>
  <c r="K164" i="13"/>
  <c r="A165" i="13"/>
  <c r="B165" i="13"/>
  <c r="C165" i="13"/>
  <c r="G165" i="13" s="1"/>
  <c r="H165" i="13" s="1"/>
  <c r="I165" i="13" s="1"/>
  <c r="H166" i="15" s="1"/>
  <c r="K165" i="13"/>
  <c r="A166" i="13"/>
  <c r="B166" i="13"/>
  <c r="C166" i="13"/>
  <c r="G166" i="13"/>
  <c r="H166" i="13" s="1"/>
  <c r="I166" i="13" s="1"/>
  <c r="K166" i="13"/>
  <c r="A167" i="13"/>
  <c r="B167" i="13"/>
  <c r="C167" i="13"/>
  <c r="G167" i="13" s="1"/>
  <c r="H167" i="13" s="1"/>
  <c r="I167" i="13" s="1"/>
  <c r="K167" i="13"/>
  <c r="A168" i="13"/>
  <c r="B168" i="13"/>
  <c r="C168" i="13"/>
  <c r="G168" i="13" s="1"/>
  <c r="H168" i="13" s="1"/>
  <c r="I168" i="13" s="1"/>
  <c r="H169" i="15" s="1"/>
  <c r="K168" i="13"/>
  <c r="A169" i="13"/>
  <c r="B169" i="13"/>
  <c r="C169" i="13"/>
  <c r="G169" i="13" s="1"/>
  <c r="H169" i="13" s="1"/>
  <c r="I169" i="13" s="1"/>
  <c r="H170" i="15" s="1"/>
  <c r="K169" i="13"/>
  <c r="A170" i="13"/>
  <c r="B170" i="13"/>
  <c r="C170" i="13"/>
  <c r="G170" i="13" s="1"/>
  <c r="H170" i="13" s="1"/>
  <c r="I170" i="13" s="1"/>
  <c r="K170" i="13"/>
  <c r="A171" i="13"/>
  <c r="B171" i="13"/>
  <c r="C171" i="13"/>
  <c r="G171" i="13"/>
  <c r="H171" i="13" s="1"/>
  <c r="I171" i="13" s="1"/>
  <c r="K171" i="13"/>
  <c r="A172" i="13"/>
  <c r="B172" i="13"/>
  <c r="C172" i="13"/>
  <c r="G172" i="13"/>
  <c r="H172" i="13" s="1"/>
  <c r="I172" i="13" s="1"/>
  <c r="K172" i="13"/>
  <c r="A173" i="13"/>
  <c r="B173" i="13"/>
  <c r="C173" i="13"/>
  <c r="G173" i="13"/>
  <c r="H173" i="13" s="1"/>
  <c r="I173" i="13" s="1"/>
  <c r="K173" i="13"/>
  <c r="A174" i="13"/>
  <c r="B174" i="13"/>
  <c r="C174" i="13"/>
  <c r="G174" i="13" s="1"/>
  <c r="H174" i="13" s="1"/>
  <c r="I174" i="13" s="1"/>
  <c r="K174" i="13"/>
  <c r="A175" i="13"/>
  <c r="B175" i="13"/>
  <c r="C175" i="13"/>
  <c r="G175" i="13" s="1"/>
  <c r="H175" i="13" s="1"/>
  <c r="I175" i="13" s="1"/>
  <c r="K175" i="13"/>
  <c r="A176" i="13"/>
  <c r="B176" i="13"/>
  <c r="C176" i="13"/>
  <c r="G176" i="13" s="1"/>
  <c r="H176" i="13" s="1"/>
  <c r="I176" i="13" s="1"/>
  <c r="K176" i="13"/>
  <c r="A177" i="13"/>
  <c r="B177" i="13"/>
  <c r="C177" i="13"/>
  <c r="G177" i="13"/>
  <c r="H177" i="13" s="1"/>
  <c r="I177" i="13" s="1"/>
  <c r="K177" i="13"/>
  <c r="A178" i="13"/>
  <c r="B178" i="13"/>
  <c r="C178" i="13"/>
  <c r="G178" i="13" s="1"/>
  <c r="H178" i="13" s="1"/>
  <c r="I178" i="13" s="1"/>
  <c r="K178" i="13"/>
  <c r="A179" i="13"/>
  <c r="B179" i="13"/>
  <c r="C179" i="13"/>
  <c r="G179" i="13" s="1"/>
  <c r="H179" i="13" s="1"/>
  <c r="I179" i="13" s="1"/>
  <c r="K179" i="13"/>
  <c r="A180" i="13"/>
  <c r="B180" i="13"/>
  <c r="C180" i="13"/>
  <c r="G180" i="13"/>
  <c r="H180" i="13" s="1"/>
  <c r="I180" i="13" s="1"/>
  <c r="K180" i="13"/>
  <c r="A181" i="13"/>
  <c r="B181" i="13"/>
  <c r="C181" i="13"/>
  <c r="G181" i="13" s="1"/>
  <c r="H181" i="13" s="1"/>
  <c r="I181" i="13" s="1"/>
  <c r="K181" i="13"/>
  <c r="A182" i="13"/>
  <c r="B182" i="13"/>
  <c r="C182" i="13"/>
  <c r="G182" i="13"/>
  <c r="H182" i="13" s="1"/>
  <c r="I182" i="13" s="1"/>
  <c r="K182" i="13"/>
  <c r="A183" i="13"/>
  <c r="B183" i="13"/>
  <c r="C183" i="13"/>
  <c r="G183" i="13" s="1"/>
  <c r="H183" i="13" s="1"/>
  <c r="I183" i="13" s="1"/>
  <c r="K183" i="13"/>
  <c r="A184" i="13"/>
  <c r="B184" i="13"/>
  <c r="C184" i="13"/>
  <c r="G184" i="13" s="1"/>
  <c r="H184" i="13" s="1"/>
  <c r="I184" i="13" s="1"/>
  <c r="K184" i="13"/>
  <c r="A185" i="13"/>
  <c r="B185" i="13"/>
  <c r="C185" i="13"/>
  <c r="G185" i="13" s="1"/>
  <c r="H185" i="13" s="1"/>
  <c r="I185" i="13" s="1"/>
  <c r="K185" i="13"/>
  <c r="A186" i="13"/>
  <c r="B186" i="13"/>
  <c r="C186" i="13"/>
  <c r="G186" i="13"/>
  <c r="H186" i="13" s="1"/>
  <c r="I186" i="13" s="1"/>
  <c r="K186" i="13"/>
  <c r="A187" i="13"/>
  <c r="B187" i="13"/>
  <c r="C187" i="13"/>
  <c r="G187" i="13" s="1"/>
  <c r="H187" i="13" s="1"/>
  <c r="I187" i="13" s="1"/>
  <c r="K187" i="13"/>
  <c r="A188" i="13"/>
  <c r="B188" i="13"/>
  <c r="C188" i="13"/>
  <c r="G188" i="13"/>
  <c r="H188" i="13" s="1"/>
  <c r="I188" i="13" s="1"/>
  <c r="K188" i="13"/>
  <c r="A189" i="13"/>
  <c r="B189" i="13"/>
  <c r="C189" i="13"/>
  <c r="G189" i="13" s="1"/>
  <c r="H189" i="13" s="1"/>
  <c r="I189" i="13" s="1"/>
  <c r="K189" i="13"/>
  <c r="A190" i="13"/>
  <c r="B190" i="13"/>
  <c r="C190" i="13"/>
  <c r="G190" i="13" s="1"/>
  <c r="H190" i="13" s="1"/>
  <c r="I190" i="13" s="1"/>
  <c r="K190" i="13"/>
  <c r="A191" i="13"/>
  <c r="B191" i="13"/>
  <c r="C191" i="13"/>
  <c r="G191" i="13" s="1"/>
  <c r="H191" i="13" s="1"/>
  <c r="I191" i="13" s="1"/>
  <c r="K191" i="13"/>
  <c r="A192" i="13"/>
  <c r="B192" i="13"/>
  <c r="C192" i="13"/>
  <c r="G192" i="13"/>
  <c r="H192" i="13" s="1"/>
  <c r="I192" i="13" s="1"/>
  <c r="K192" i="13"/>
  <c r="A193" i="13"/>
  <c r="B193" i="13"/>
  <c r="C193" i="13"/>
  <c r="G193" i="13" s="1"/>
  <c r="H193" i="13" s="1"/>
  <c r="I193" i="13" s="1"/>
  <c r="K193" i="13"/>
  <c r="A194" i="13"/>
  <c r="B194" i="13"/>
  <c r="C194" i="13"/>
  <c r="G194" i="13" s="1"/>
  <c r="H194" i="13" s="1"/>
  <c r="I194" i="13" s="1"/>
  <c r="K194" i="13"/>
  <c r="A195" i="13"/>
  <c r="B195" i="13"/>
  <c r="C195" i="13"/>
  <c r="G195" i="13"/>
  <c r="H195" i="13" s="1"/>
  <c r="I195" i="13" s="1"/>
  <c r="K195" i="13"/>
  <c r="A196" i="13"/>
  <c r="B196" i="13"/>
  <c r="C196" i="13"/>
  <c r="G196" i="13" s="1"/>
  <c r="H196" i="13" s="1"/>
  <c r="I196" i="13" s="1"/>
  <c r="K196" i="13"/>
  <c r="A197" i="13"/>
  <c r="B197" i="13"/>
  <c r="C197" i="13"/>
  <c r="G197" i="13" s="1"/>
  <c r="H197" i="13" s="1"/>
  <c r="I197" i="13" s="1"/>
  <c r="K197" i="13"/>
  <c r="A198" i="13"/>
  <c r="B198" i="13"/>
  <c r="C198" i="13"/>
  <c r="G198" i="13"/>
  <c r="H198" i="13" s="1"/>
  <c r="I198" i="13" s="1"/>
  <c r="K198" i="13"/>
  <c r="C117" i="26"/>
  <c r="F117" i="26"/>
  <c r="E117" i="26" s="1"/>
  <c r="G117" i="26"/>
  <c r="C118" i="26"/>
  <c r="C119" i="26"/>
  <c r="C120" i="26"/>
  <c r="F120" i="26" s="1"/>
  <c r="E120" i="26" s="1"/>
  <c r="G120" i="26"/>
  <c r="C121" i="26"/>
  <c r="F121" i="26" s="1"/>
  <c r="E121" i="26"/>
  <c r="C122" i="26"/>
  <c r="C123" i="26"/>
  <c r="F123" i="26" s="1"/>
  <c r="E123" i="26" s="1"/>
  <c r="G123" i="26"/>
  <c r="C124" i="26"/>
  <c r="F124" i="26" s="1"/>
  <c r="E124" i="26" s="1"/>
  <c r="A124" i="26" s="1"/>
  <c r="C125" i="26"/>
  <c r="F125" i="26" s="1"/>
  <c r="E125" i="26" s="1"/>
  <c r="A125" i="26" s="1"/>
  <c r="C126" i="26"/>
  <c r="P118" i="15"/>
  <c r="T118" i="15" s="1"/>
  <c r="S118" i="15" s="1"/>
  <c r="P119" i="15"/>
  <c r="T119" i="15" s="1"/>
  <c r="S119" i="15"/>
  <c r="P120" i="15"/>
  <c r="T120" i="15" s="1"/>
  <c r="S120" i="15" s="1"/>
  <c r="P121" i="15"/>
  <c r="T121" i="15"/>
  <c r="S121" i="15" s="1"/>
  <c r="P122" i="15"/>
  <c r="T122" i="15" s="1"/>
  <c r="S122" i="15" s="1"/>
  <c r="P123" i="15"/>
  <c r="T123" i="15" s="1"/>
  <c r="S123" i="15" s="1"/>
  <c r="P124" i="15"/>
  <c r="T124" i="15" s="1"/>
  <c r="S124" i="15"/>
  <c r="P125" i="15"/>
  <c r="U125" i="15" s="1"/>
  <c r="T125" i="15"/>
  <c r="S125" i="15" s="1"/>
  <c r="B1" i="14"/>
  <c r="C1" i="14"/>
  <c r="J1" i="14"/>
  <c r="K1" i="14"/>
  <c r="F2" i="14"/>
  <c r="N2" i="14"/>
  <c r="B3" i="14"/>
  <c r="J3" i="14"/>
  <c r="A4" i="14"/>
  <c r="B4" i="14"/>
  <c r="C4" i="14"/>
  <c r="D4" i="14"/>
  <c r="E4" i="14"/>
  <c r="G4" i="14"/>
  <c r="I4" i="14"/>
  <c r="J4" i="14"/>
  <c r="K4" i="14"/>
  <c r="L4" i="14"/>
  <c r="M4" i="14"/>
  <c r="N4" i="14"/>
  <c r="O4" i="14"/>
  <c r="A5" i="14"/>
  <c r="B5" i="14"/>
  <c r="C5" i="14"/>
  <c r="D5" i="14"/>
  <c r="J5" i="14"/>
  <c r="K5" i="14"/>
  <c r="L5" i="14"/>
  <c r="A6" i="14"/>
  <c r="B6" i="14"/>
  <c r="C6" i="14"/>
  <c r="D6" i="14"/>
  <c r="J6" i="14"/>
  <c r="K6" i="14"/>
  <c r="L6" i="14"/>
  <c r="A7" i="14"/>
  <c r="B7" i="14"/>
  <c r="C7" i="14"/>
  <c r="D7" i="14"/>
  <c r="J7" i="14"/>
  <c r="K7" i="14"/>
  <c r="L7" i="14"/>
  <c r="A8" i="14"/>
  <c r="B8" i="14"/>
  <c r="C8" i="14"/>
  <c r="D8" i="14"/>
  <c r="J8" i="14"/>
  <c r="K8" i="14"/>
  <c r="L8" i="14"/>
  <c r="A9" i="14"/>
  <c r="B9" i="14"/>
  <c r="C9" i="14"/>
  <c r="D9" i="14"/>
  <c r="J9" i="14"/>
  <c r="K9" i="14"/>
  <c r="L9" i="14"/>
  <c r="A10" i="14"/>
  <c r="B10" i="14"/>
  <c r="C10" i="14"/>
  <c r="D10" i="14"/>
  <c r="J10" i="14"/>
  <c r="K10" i="14"/>
  <c r="L10" i="14"/>
  <c r="A11" i="14"/>
  <c r="B11" i="14"/>
  <c r="C11" i="14"/>
  <c r="D11" i="14"/>
  <c r="J11" i="14"/>
  <c r="K11" i="14"/>
  <c r="L11" i="14"/>
  <c r="A12" i="14"/>
  <c r="B12" i="14"/>
  <c r="C12" i="14"/>
  <c r="D12" i="14"/>
  <c r="J12" i="14"/>
  <c r="K12" i="14"/>
  <c r="L12" i="14"/>
  <c r="A13" i="14"/>
  <c r="B13" i="14"/>
  <c r="C13" i="14"/>
  <c r="D13" i="14"/>
  <c r="J13" i="14"/>
  <c r="K13" i="14"/>
  <c r="L13" i="14"/>
  <c r="A14" i="14"/>
  <c r="B14" i="14"/>
  <c r="C14" i="14"/>
  <c r="D14" i="14"/>
  <c r="J14" i="14"/>
  <c r="K14" i="14"/>
  <c r="L14" i="14"/>
  <c r="A15" i="14"/>
  <c r="B15" i="14"/>
  <c r="C15" i="14"/>
  <c r="D15" i="14"/>
  <c r="J15" i="14"/>
  <c r="K15" i="14"/>
  <c r="L15" i="14"/>
  <c r="A16" i="14"/>
  <c r="B16" i="14"/>
  <c r="C16" i="14"/>
  <c r="D16" i="14"/>
  <c r="J16" i="14"/>
  <c r="K16" i="14"/>
  <c r="L16" i="14"/>
  <c r="A17" i="14"/>
  <c r="B17" i="14"/>
  <c r="C17" i="14"/>
  <c r="D17" i="14"/>
  <c r="J17" i="14"/>
  <c r="K17" i="14"/>
  <c r="L17" i="14"/>
  <c r="A18" i="14"/>
  <c r="B18" i="14"/>
  <c r="C18" i="14"/>
  <c r="D18" i="14"/>
  <c r="J18" i="14"/>
  <c r="K18" i="14"/>
  <c r="L18" i="14"/>
  <c r="A19" i="14"/>
  <c r="B19" i="14"/>
  <c r="C19" i="14"/>
  <c r="D19" i="14"/>
  <c r="J19" i="14"/>
  <c r="K19" i="14"/>
  <c r="L19" i="14"/>
  <c r="A20" i="14"/>
  <c r="B20" i="14"/>
  <c r="C20" i="14"/>
  <c r="D20" i="14"/>
  <c r="J20" i="14"/>
  <c r="K20" i="14"/>
  <c r="L20" i="14"/>
  <c r="A21" i="14"/>
  <c r="B21" i="14"/>
  <c r="C21" i="14"/>
  <c r="D21" i="14"/>
  <c r="J21" i="14"/>
  <c r="K21" i="14"/>
  <c r="L21" i="14"/>
  <c r="A22" i="14"/>
  <c r="B22" i="14"/>
  <c r="C22" i="14"/>
  <c r="D22" i="14"/>
  <c r="J22" i="14"/>
  <c r="K22" i="14"/>
  <c r="L22" i="14"/>
  <c r="A23" i="14"/>
  <c r="B23" i="14"/>
  <c r="C23" i="14"/>
  <c r="D23" i="14"/>
  <c r="J23" i="14"/>
  <c r="K23" i="14"/>
  <c r="L23" i="14"/>
  <c r="A24" i="14"/>
  <c r="B24" i="14"/>
  <c r="C24" i="14"/>
  <c r="D24" i="14"/>
  <c r="J24" i="14"/>
  <c r="K24" i="14"/>
  <c r="L24" i="14"/>
  <c r="C25" i="14"/>
  <c r="K25" i="14" s="1"/>
  <c r="E28" i="14"/>
  <c r="M28" i="14"/>
  <c r="C2" i="12"/>
  <c r="J2" i="12"/>
  <c r="B3" i="12"/>
  <c r="H5" i="12"/>
  <c r="F5" i="14" s="1"/>
  <c r="H6" i="12"/>
  <c r="F6" i="14" s="1"/>
  <c r="H7" i="12"/>
  <c r="F7" i="14" s="1"/>
  <c r="H8" i="12"/>
  <c r="F8" i="14" s="1"/>
  <c r="H9" i="12"/>
  <c r="F9" i="14" s="1"/>
  <c r="H10" i="12"/>
  <c r="F10" i="14" s="1"/>
  <c r="H11" i="12"/>
  <c r="F11" i="14" s="1"/>
  <c r="H12" i="12"/>
  <c r="F12" i="14" s="1"/>
  <c r="H13" i="12"/>
  <c r="F13" i="14" s="1"/>
  <c r="H14" i="12"/>
  <c r="F14" i="14" s="1"/>
  <c r="H15" i="12"/>
  <c r="F15" i="14" s="1"/>
  <c r="H16" i="12"/>
  <c r="F16" i="14" s="1"/>
  <c r="H17" i="12"/>
  <c r="F17" i="14" s="1"/>
  <c r="H18" i="12"/>
  <c r="F18" i="14" s="1"/>
  <c r="H19" i="12"/>
  <c r="F19" i="14" s="1"/>
  <c r="H20" i="12"/>
  <c r="F20" i="14" s="1"/>
  <c r="H21" i="12"/>
  <c r="F21" i="14" s="1"/>
  <c r="H22" i="12"/>
  <c r="F22" i="14" s="1"/>
  <c r="H23" i="12"/>
  <c r="F23" i="14" s="1"/>
  <c r="E24" i="12"/>
  <c r="E24" i="14" s="1"/>
  <c r="F24" i="12"/>
  <c r="N24" i="14" s="1"/>
  <c r="H24" i="12"/>
  <c r="F24" i="14" s="1"/>
  <c r="D25" i="12"/>
  <c r="D25" i="14" s="1"/>
  <c r="L25" i="14" s="1"/>
  <c r="I26" i="12"/>
  <c r="U124" i="15"/>
  <c r="U122" i="15"/>
  <c r="U121" i="15"/>
  <c r="U119" i="15"/>
  <c r="E23" i="12"/>
  <c r="I23" i="12" s="1"/>
  <c r="F23" i="12"/>
  <c r="N23" i="14" s="1"/>
  <c r="F22" i="12"/>
  <c r="N22" i="14" s="1"/>
  <c r="E22" i="12"/>
  <c r="E22" i="14" s="1"/>
  <c r="E21" i="12"/>
  <c r="G21" i="14" s="1"/>
  <c r="F21" i="12"/>
  <c r="N21" i="14" s="1"/>
  <c r="E20" i="12"/>
  <c r="E20" i="14" s="1"/>
  <c r="F20" i="12"/>
  <c r="N20" i="14" s="1"/>
  <c r="F19" i="12"/>
  <c r="N19" i="14" s="1"/>
  <c r="E19" i="12"/>
  <c r="E19" i="14" s="1"/>
  <c r="I19" i="13"/>
  <c r="B14" i="26" s="1"/>
  <c r="C14" i="26" s="1"/>
  <c r="D392" i="15"/>
  <c r="J187" i="15"/>
  <c r="H403" i="15"/>
  <c r="D283" i="15"/>
  <c r="D220" i="15"/>
  <c r="J108" i="25"/>
  <c r="D15" i="28"/>
  <c r="J144" i="15"/>
  <c r="J285" i="15"/>
  <c r="D65" i="28"/>
  <c r="B278" i="15"/>
  <c r="D286" i="15"/>
  <c r="D91" i="28"/>
  <c r="J71" i="15"/>
  <c r="D274" i="15"/>
  <c r="D12" i="28"/>
  <c r="D267" i="15"/>
  <c r="H432" i="15"/>
  <c r="J97" i="25"/>
  <c r="D57" i="28"/>
  <c r="H407" i="15"/>
  <c r="D282" i="15"/>
  <c r="D257" i="15"/>
  <c r="J260" i="15"/>
  <c r="D356" i="15"/>
  <c r="B139" i="15"/>
  <c r="J88" i="15"/>
  <c r="J38" i="25"/>
  <c r="D37" i="28"/>
  <c r="D175" i="15"/>
  <c r="J101" i="15"/>
  <c r="J30" i="15"/>
  <c r="D221" i="15"/>
  <c r="J306" i="15"/>
  <c r="B259" i="15"/>
  <c r="B283" i="15"/>
  <c r="D277" i="15"/>
  <c r="H330" i="15"/>
  <c r="B248" i="15"/>
  <c r="B247" i="15"/>
  <c r="J428" i="15"/>
  <c r="B322" i="15"/>
  <c r="B333" i="15"/>
  <c r="J434" i="15"/>
  <c r="D284" i="15"/>
  <c r="J42" i="15"/>
  <c r="J393" i="15"/>
  <c r="H345" i="15"/>
  <c r="B182" i="15"/>
  <c r="J118" i="15"/>
  <c r="J443" i="15"/>
  <c r="H425" i="15"/>
  <c r="D377" i="15"/>
  <c r="J376" i="15"/>
  <c r="J62" i="15"/>
  <c r="B18" i="15"/>
  <c r="B17" i="25"/>
  <c r="B14" i="15"/>
  <c r="B45" i="15"/>
  <c r="B49" i="25"/>
  <c r="B6" i="25"/>
  <c r="B13" i="15"/>
  <c r="B71" i="25"/>
  <c r="B38" i="15"/>
  <c r="B27" i="25"/>
  <c r="B4" i="25"/>
  <c r="B6" i="15"/>
  <c r="B26" i="25"/>
  <c r="B32" i="25"/>
  <c r="D13" i="15"/>
  <c r="B53" i="15"/>
  <c r="I59" i="13"/>
  <c r="B59" i="26" s="1"/>
  <c r="C59" i="26" s="1"/>
  <c r="B54" i="15"/>
  <c r="D16" i="15"/>
  <c r="H173" i="15"/>
  <c r="B68" i="25"/>
  <c r="G1" i="14"/>
  <c r="D79" i="25"/>
  <c r="I32" i="13"/>
  <c r="D28" i="25"/>
  <c r="D28" i="15"/>
  <c r="D76" i="25"/>
  <c r="D76" i="15"/>
  <c r="D33" i="15"/>
  <c r="D65" i="15"/>
  <c r="D65" i="25"/>
  <c r="I43" i="13"/>
  <c r="H42" i="25" s="1"/>
  <c r="I28" i="13"/>
  <c r="B23" i="26" s="1"/>
  <c r="C23" i="26" s="1"/>
  <c r="F23" i="26" s="1"/>
  <c r="E23" i="26" s="1"/>
  <c r="D24" i="15"/>
  <c r="D48" i="25"/>
  <c r="D62" i="25"/>
  <c r="D66" i="15"/>
  <c r="I39" i="13"/>
  <c r="H38" i="15" s="1"/>
  <c r="D38" i="25"/>
  <c r="D96" i="15"/>
  <c r="D2" i="15"/>
  <c r="I3" i="13"/>
  <c r="H2" i="15" s="1"/>
  <c r="D45" i="25"/>
  <c r="I45" i="13"/>
  <c r="H45" i="15" s="1"/>
  <c r="D45" i="15"/>
  <c r="I132" i="13"/>
  <c r="B134" i="28" s="1"/>
  <c r="D121" i="15"/>
  <c r="D79" i="15"/>
  <c r="I61" i="13"/>
  <c r="B61" i="26" s="1"/>
  <c r="C61" i="26" s="1"/>
  <c r="G61" i="26" s="1"/>
  <c r="D62" i="15"/>
  <c r="D172" i="15"/>
  <c r="D51" i="25"/>
  <c r="I51" i="13"/>
  <c r="O51" i="15" s="1"/>
  <c r="P51" i="15" s="1"/>
  <c r="B119" i="28"/>
  <c r="B75" i="28"/>
  <c r="H75" i="15"/>
  <c r="E18" i="12"/>
  <c r="E18" i="14" s="1"/>
  <c r="F18" i="12"/>
  <c r="N18" i="14" s="1"/>
  <c r="F17" i="12"/>
  <c r="N17" i="14" s="1"/>
  <c r="E17" i="12"/>
  <c r="E17" i="14" s="1"/>
  <c r="F16" i="12"/>
  <c r="N16" i="14" s="1"/>
  <c r="E16" i="12"/>
  <c r="E16" i="14" s="1"/>
  <c r="E15" i="12"/>
  <c r="M15" i="14" s="1"/>
  <c r="F15" i="12"/>
  <c r="N15" i="14" s="1"/>
  <c r="E14" i="12"/>
  <c r="M14" i="14" s="1"/>
  <c r="F14" i="12"/>
  <c r="N14" i="14" s="1"/>
  <c r="E13" i="12"/>
  <c r="M13" i="14" s="1"/>
  <c r="F13" i="12"/>
  <c r="N13" i="14" s="1"/>
  <c r="E12" i="12"/>
  <c r="E12" i="14" s="1"/>
  <c r="F12" i="12"/>
  <c r="N12" i="14" s="1"/>
  <c r="F11" i="12"/>
  <c r="N11" i="14" s="1"/>
  <c r="E11" i="12"/>
  <c r="E10" i="12"/>
  <c r="M10" i="14" s="1"/>
  <c r="F10" i="12"/>
  <c r="N10" i="14" s="1"/>
  <c r="F9" i="12"/>
  <c r="N9" i="14" s="1"/>
  <c r="E9" i="12"/>
  <c r="G9" i="14" s="1"/>
  <c r="E8" i="12"/>
  <c r="M8" i="14" s="1"/>
  <c r="F8" i="12"/>
  <c r="N8" i="14" s="1"/>
  <c r="I22" i="13"/>
  <c r="B16" i="26" s="1"/>
  <c r="C16" i="26" s="1"/>
  <c r="I121" i="13"/>
  <c r="H121" i="15" s="1"/>
  <c r="B107" i="25"/>
  <c r="B34" i="25"/>
  <c r="B58" i="26"/>
  <c r="C58" i="26" s="1"/>
  <c r="F58" i="26" s="1"/>
  <c r="E58" i="26" s="1"/>
  <c r="I34" i="13"/>
  <c r="O32" i="15" s="1"/>
  <c r="P32" i="15" s="1"/>
  <c r="I6" i="13"/>
  <c r="H31" i="15" s="1"/>
  <c r="I2" i="13"/>
  <c r="O3" i="15" s="1"/>
  <c r="P3" i="15" s="1"/>
  <c r="B74" i="26"/>
  <c r="C74" i="26" s="1"/>
  <c r="H68" i="15"/>
  <c r="B68" i="28"/>
  <c r="D68" i="25"/>
  <c r="D75" i="15"/>
  <c r="D68" i="15"/>
  <c r="D75" i="25"/>
  <c r="B101" i="25"/>
  <c r="O68" i="15"/>
  <c r="P68" i="15" s="1"/>
  <c r="U68" i="15" s="1"/>
  <c r="H68" i="25"/>
  <c r="B81" i="15"/>
  <c r="H75" i="25"/>
  <c r="D125" i="25"/>
  <c r="B98" i="25"/>
  <c r="B82" i="25"/>
  <c r="D131" i="15"/>
  <c r="D32" i="25"/>
  <c r="B39" i="15"/>
  <c r="D95" i="25"/>
  <c r="D99" i="25"/>
  <c r="D99" i="15"/>
  <c r="I138" i="13"/>
  <c r="H141" i="15" s="1"/>
  <c r="B93" i="15"/>
  <c r="D125" i="15"/>
  <c r="D108" i="15"/>
  <c r="B110" i="15"/>
  <c r="I164" i="13"/>
  <c r="H165" i="15" s="1"/>
  <c r="B95" i="15"/>
  <c r="D50" i="15"/>
  <c r="B69" i="15"/>
  <c r="I50" i="13"/>
  <c r="O50" i="15" s="1"/>
  <c r="P50" i="15" s="1"/>
  <c r="T50" i="15" s="1"/>
  <c r="S50" i="15" s="1"/>
  <c r="D63" i="15"/>
  <c r="D59" i="15"/>
  <c r="H59" i="15"/>
  <c r="I62" i="13"/>
  <c r="B63" i="28" s="1"/>
  <c r="D17" i="15"/>
  <c r="B57" i="15"/>
  <c r="B136" i="28"/>
  <c r="O59" i="15"/>
  <c r="P59" i="15" s="1"/>
  <c r="I14" i="13"/>
  <c r="O12" i="15" s="1"/>
  <c r="P12" i="15" s="1"/>
  <c r="U12" i="15" s="1"/>
  <c r="D31" i="15"/>
  <c r="I70" i="13"/>
  <c r="H71" i="25" s="1"/>
  <c r="B24" i="25"/>
  <c r="D78" i="15"/>
  <c r="D59" i="25"/>
  <c r="D71" i="15"/>
  <c r="D136" i="15"/>
  <c r="D12" i="25"/>
  <c r="B65" i="15"/>
  <c r="B56" i="25"/>
  <c r="B15" i="15"/>
  <c r="B116" i="15"/>
  <c r="B107" i="15"/>
  <c r="H102" i="25"/>
  <c r="B84" i="25"/>
  <c r="B88" i="25"/>
  <c r="I78" i="13"/>
  <c r="B77" i="26" s="1"/>
  <c r="C77" i="26" s="1"/>
  <c r="F77" i="26" s="1"/>
  <c r="E77" i="26" s="1"/>
  <c r="B104" i="25"/>
  <c r="B76" i="15"/>
  <c r="B92" i="25"/>
  <c r="B132" i="28"/>
  <c r="H119" i="15"/>
  <c r="D119" i="15"/>
  <c r="B113" i="15"/>
  <c r="D119" i="25"/>
  <c r="D147" i="15"/>
  <c r="I127" i="13"/>
  <c r="H129" i="15" s="1"/>
  <c r="D163" i="15"/>
  <c r="D168" i="15"/>
  <c r="I142" i="13"/>
  <c r="H145" i="15" s="1"/>
  <c r="D150" i="15"/>
  <c r="D143" i="15"/>
  <c r="D132" i="15"/>
  <c r="I145" i="13"/>
  <c r="H148" i="15" s="1"/>
  <c r="D104" i="15"/>
  <c r="H125" i="15"/>
  <c r="H125" i="25"/>
  <c r="B125" i="28"/>
  <c r="I133" i="13"/>
  <c r="H135" i="15" s="1"/>
  <c r="D135" i="15"/>
  <c r="B131" i="28"/>
  <c r="B75" i="26"/>
  <c r="C75" i="26" s="1"/>
  <c r="F75" i="26" s="1"/>
  <c r="E75" i="26" s="1"/>
  <c r="H65" i="15"/>
  <c r="B143" i="28"/>
  <c r="D47" i="15"/>
  <c r="I47" i="13"/>
  <c r="B46" i="26" s="1"/>
  <c r="C46" i="26" s="1"/>
  <c r="D47" i="25"/>
  <c r="I73" i="13"/>
  <c r="H73" i="15" s="1"/>
  <c r="D73" i="25"/>
  <c r="D73" i="15"/>
  <c r="B76" i="28"/>
  <c r="I16" i="13"/>
  <c r="B5" i="28" s="1"/>
  <c r="D5" i="15"/>
  <c r="D5" i="25"/>
  <c r="I65" i="13"/>
  <c r="B66" i="28" s="1"/>
  <c r="D66" i="25"/>
  <c r="I12" i="13"/>
  <c r="B9" i="26" s="1"/>
  <c r="C9" i="26" s="1"/>
  <c r="D9" i="25"/>
  <c r="D9" i="15"/>
  <c r="D35" i="15"/>
  <c r="D35" i="25"/>
  <c r="I36" i="13"/>
  <c r="B34" i="26" s="1"/>
  <c r="C34" i="26" s="1"/>
  <c r="O76" i="15"/>
  <c r="P76" i="15" s="1"/>
  <c r="U76" i="15" s="1"/>
  <c r="D87" i="25"/>
  <c r="D87" i="15"/>
  <c r="I87" i="13"/>
  <c r="B86" i="26" s="1"/>
  <c r="C86" i="26" s="1"/>
  <c r="D90" i="25"/>
  <c r="D90" i="15"/>
  <c r="I90" i="13"/>
  <c r="H90" i="25" s="1"/>
  <c r="D86" i="15"/>
  <c r="I86" i="13"/>
  <c r="H86" i="25" s="1"/>
  <c r="D86" i="25"/>
  <c r="I20" i="13"/>
  <c r="O8" i="15" s="1"/>
  <c r="P8" i="15" s="1"/>
  <c r="D15" i="15"/>
  <c r="D8" i="15"/>
  <c r="I126" i="13"/>
  <c r="H128" i="15" s="1"/>
  <c r="D128" i="15"/>
  <c r="I89" i="13"/>
  <c r="D89" i="15"/>
  <c r="D89" i="25"/>
  <c r="I81" i="13"/>
  <c r="B81" i="28" s="1"/>
  <c r="D81" i="15"/>
  <c r="D81" i="25"/>
  <c r="D58" i="25"/>
  <c r="D53" i="25"/>
  <c r="D53" i="15"/>
  <c r="I53" i="13"/>
  <c r="H53" i="25" s="1"/>
  <c r="I118" i="13"/>
  <c r="B118" i="28" s="1"/>
  <c r="D118" i="25"/>
  <c r="D118" i="15"/>
  <c r="D92" i="15"/>
  <c r="D92" i="25"/>
  <c r="I92" i="13"/>
  <c r="O92" i="15" s="1"/>
  <c r="P92" i="15" s="1"/>
  <c r="D57" i="15"/>
  <c r="D37" i="15"/>
  <c r="I38" i="13"/>
  <c r="O37" i="15" s="1"/>
  <c r="P37" i="15" s="1"/>
  <c r="D72" i="15"/>
  <c r="D72" i="25"/>
  <c r="I72" i="13"/>
  <c r="H72" i="25" s="1"/>
  <c r="D19" i="15"/>
  <c r="D19" i="25"/>
  <c r="I25" i="13"/>
  <c r="H19" i="25" s="1"/>
  <c r="D138" i="15"/>
  <c r="I135" i="13"/>
  <c r="B138" i="28" s="1"/>
  <c r="I82" i="13"/>
  <c r="B82" i="28" s="1"/>
  <c r="D60" i="15"/>
  <c r="D60" i="25"/>
  <c r="D42" i="15"/>
  <c r="D42" i="25"/>
  <c r="D36" i="15"/>
  <c r="I37" i="13"/>
  <c r="H36" i="25" s="1"/>
  <c r="H65" i="25"/>
  <c r="O65" i="15"/>
  <c r="P65" i="15" s="1"/>
  <c r="U65" i="15" s="1"/>
  <c r="B65" i="28"/>
  <c r="D48" i="15"/>
  <c r="I48" i="13"/>
  <c r="H48" i="25" s="1"/>
  <c r="H76" i="15"/>
  <c r="H136" i="15"/>
  <c r="H59" i="25"/>
  <c r="D153" i="15"/>
  <c r="H108" i="15"/>
  <c r="F7" i="12"/>
  <c r="E7" i="12"/>
  <c r="F5" i="12"/>
  <c r="E6" i="12"/>
  <c r="E5" i="12"/>
  <c r="F6" i="12"/>
  <c r="H60" i="15" l="1"/>
  <c r="D113" i="15"/>
  <c r="I98" i="13"/>
  <c r="B98" i="28" s="1"/>
  <c r="D160" i="15"/>
  <c r="I56" i="13"/>
  <c r="D41" i="15"/>
  <c r="I42" i="13"/>
  <c r="H41" i="15" s="1"/>
  <c r="D4" i="15"/>
  <c r="D110" i="25"/>
  <c r="H113" i="25"/>
  <c r="D104" i="25"/>
  <c r="D110" i="15"/>
  <c r="O113" i="15"/>
  <c r="P113" i="15" s="1"/>
  <c r="T113" i="15" s="1"/>
  <c r="S113" i="15" s="1"/>
  <c r="I107" i="13"/>
  <c r="B107" i="28" s="1"/>
  <c r="D107" i="15"/>
  <c r="I101" i="13"/>
  <c r="O101" i="15" s="1"/>
  <c r="P101" i="15" s="1"/>
  <c r="B113" i="28"/>
  <c r="D116" i="25"/>
  <c r="H113" i="15"/>
  <c r="D122" i="25"/>
  <c r="I116" i="13"/>
  <c r="H116" i="15" s="1"/>
  <c r="D56" i="15"/>
  <c r="D84" i="15"/>
  <c r="D84" i="25"/>
  <c r="D56" i="25"/>
  <c r="H27" i="15"/>
  <c r="O27" i="15"/>
  <c r="P27" i="15" s="1"/>
  <c r="O13" i="14"/>
  <c r="G23" i="26"/>
  <c r="D123" i="15"/>
  <c r="I26" i="13"/>
  <c r="H21" i="25" s="1"/>
  <c r="D54" i="25"/>
  <c r="D21" i="15"/>
  <c r="D93" i="15"/>
  <c r="I54" i="13"/>
  <c r="H54" i="25" s="1"/>
  <c r="B142" i="28"/>
  <c r="O19" i="14"/>
  <c r="E13" i="14"/>
  <c r="I1" i="12"/>
  <c r="D18" i="15"/>
  <c r="D69" i="25"/>
  <c r="D93" i="25"/>
  <c r="D169" i="15"/>
  <c r="D114" i="25"/>
  <c r="I85" i="13"/>
  <c r="B85" i="28" s="1"/>
  <c r="D157" i="15"/>
  <c r="E15" i="14"/>
  <c r="O24" i="14"/>
  <c r="M20" i="14"/>
  <c r="O60" i="15"/>
  <c r="P60" i="15" s="1"/>
  <c r="T60" i="15" s="1"/>
  <c r="S60" i="15" s="1"/>
  <c r="H98" i="25"/>
  <c r="M19" i="14"/>
  <c r="I21" i="12"/>
  <c r="B60" i="28"/>
  <c r="H24" i="25"/>
  <c r="B24" i="28"/>
  <c r="O21" i="14"/>
  <c r="H24" i="15"/>
  <c r="M22" i="14"/>
  <c r="H12" i="25"/>
  <c r="O24" i="15"/>
  <c r="P24" i="15" s="1"/>
  <c r="U24" i="15" s="1"/>
  <c r="O45" i="15"/>
  <c r="P45" i="15" s="1"/>
  <c r="U45" i="15" s="1"/>
  <c r="M23" i="14"/>
  <c r="E23" i="14"/>
  <c r="E8" i="14"/>
  <c r="O10" i="14"/>
  <c r="E10" i="14"/>
  <c r="E14" i="14"/>
  <c r="M16" i="14"/>
  <c r="O20" i="14"/>
  <c r="H63" i="25"/>
  <c r="O23" i="14"/>
  <c r="G23" i="14"/>
  <c r="O95" i="15"/>
  <c r="P95" i="15" s="1"/>
  <c r="T95" i="15" s="1"/>
  <c r="S95" i="15" s="1"/>
  <c r="D154" i="15"/>
  <c r="H32" i="15"/>
  <c r="B9" i="28"/>
  <c r="H95" i="15"/>
  <c r="B95" i="28"/>
  <c r="H95" i="25"/>
  <c r="H51" i="25"/>
  <c r="B32" i="26"/>
  <c r="C32" i="26" s="1"/>
  <c r="F32" i="26" s="1"/>
  <c r="E32" i="26" s="1"/>
  <c r="B33" i="28"/>
  <c r="O33" i="15"/>
  <c r="P33" i="15" s="1"/>
  <c r="T33" i="15" s="1"/>
  <c r="S33" i="15" s="1"/>
  <c r="O5" i="15"/>
  <c r="P5" i="15" s="1"/>
  <c r="T5" i="15" s="1"/>
  <c r="S5" i="15" s="1"/>
  <c r="H32" i="25"/>
  <c r="H5" i="15"/>
  <c r="B5" i="26"/>
  <c r="C5" i="26" s="1"/>
  <c r="G5" i="26" s="1"/>
  <c r="B31" i="26"/>
  <c r="C31" i="26" s="1"/>
  <c r="F31" i="26" s="1"/>
  <c r="E31" i="26" s="1"/>
  <c r="B51" i="28"/>
  <c r="I109" i="13"/>
  <c r="H109" i="25" s="1"/>
  <c r="B32" i="28"/>
  <c r="H78" i="15"/>
  <c r="B50" i="26"/>
  <c r="C50" i="26" s="1"/>
  <c r="F50" i="26" s="1"/>
  <c r="E50" i="26" s="1"/>
  <c r="D97" i="15"/>
  <c r="D106" i="25"/>
  <c r="B102" i="26"/>
  <c r="C102" i="26" s="1"/>
  <c r="F102" i="26" s="1"/>
  <c r="E102" i="26" s="1"/>
  <c r="O103" i="15"/>
  <c r="P103" i="15" s="1"/>
  <c r="T103" i="15" s="1"/>
  <c r="S103" i="15" s="1"/>
  <c r="I155" i="13"/>
  <c r="H156" i="15" s="1"/>
  <c r="D103" i="25"/>
  <c r="H83" i="25"/>
  <c r="B82" i="26"/>
  <c r="C82" i="26" s="1"/>
  <c r="G82" i="26" s="1"/>
  <c r="D159" i="15"/>
  <c r="H38" i="25"/>
  <c r="D83" i="15"/>
  <c r="B83" i="28"/>
  <c r="O107" i="15"/>
  <c r="P107" i="15" s="1"/>
  <c r="U107" i="15" s="1"/>
  <c r="D100" i="25"/>
  <c r="D126" i="15"/>
  <c r="I100" i="13"/>
  <c r="B99" i="26" s="1"/>
  <c r="C99" i="26" s="1"/>
  <c r="F99" i="26" s="1"/>
  <c r="E99" i="26" s="1"/>
  <c r="D94" i="25"/>
  <c r="I115" i="13"/>
  <c r="H115" i="25" s="1"/>
  <c r="D83" i="25"/>
  <c r="H107" i="15"/>
  <c r="H107" i="25"/>
  <c r="I123" i="13"/>
  <c r="H124" i="25" s="1"/>
  <c r="H33" i="15"/>
  <c r="D97" i="25"/>
  <c r="D109" i="15"/>
  <c r="O38" i="15"/>
  <c r="P38" i="15" s="1"/>
  <c r="U38" i="15" s="1"/>
  <c r="B97" i="26"/>
  <c r="C97" i="26" s="1"/>
  <c r="G97" i="26" s="1"/>
  <c r="B62" i="26"/>
  <c r="C62" i="26" s="1"/>
  <c r="G62" i="26" s="1"/>
  <c r="H16" i="15"/>
  <c r="H16" i="25"/>
  <c r="O16" i="15"/>
  <c r="P16" i="15" s="1"/>
  <c r="U16" i="15" s="1"/>
  <c r="H103" i="25"/>
  <c r="D120" i="25"/>
  <c r="D155" i="15"/>
  <c r="H134" i="15"/>
  <c r="B101" i="28"/>
  <c r="I60" i="13"/>
  <c r="H61" i="15" s="1"/>
  <c r="I74" i="13"/>
  <c r="B74" i="28" s="1"/>
  <c r="H78" i="25"/>
  <c r="H101" i="15"/>
  <c r="B78" i="28"/>
  <c r="H103" i="15"/>
  <c r="G94" i="26"/>
  <c r="H139" i="15"/>
  <c r="H15" i="15"/>
  <c r="O78" i="15"/>
  <c r="P78" i="15" s="1"/>
  <c r="T78" i="15" s="1"/>
  <c r="S78" i="15" s="1"/>
  <c r="B103" i="28"/>
  <c r="O88" i="15"/>
  <c r="P88" i="15" s="1"/>
  <c r="U88" i="15" s="1"/>
  <c r="B88" i="28"/>
  <c r="H88" i="15"/>
  <c r="B87" i="26"/>
  <c r="C87" i="26" s="1"/>
  <c r="F87" i="26" s="1"/>
  <c r="E87" i="26" s="1"/>
  <c r="B137" i="28"/>
  <c r="H137" i="15"/>
  <c r="I117" i="13"/>
  <c r="H117" i="15" s="1"/>
  <c r="D85" i="25"/>
  <c r="H8" i="15"/>
  <c r="B122" i="28"/>
  <c r="B38" i="28"/>
  <c r="H14" i="25"/>
  <c r="I49" i="13"/>
  <c r="B49" i="28" s="1"/>
  <c r="B37" i="26"/>
  <c r="C37" i="26" s="1"/>
  <c r="D6" i="15"/>
  <c r="D144" i="15"/>
  <c r="B106" i="26"/>
  <c r="C106" i="26" s="1"/>
  <c r="F106" i="26" s="1"/>
  <c r="E106" i="26" s="1"/>
  <c r="H122" i="25"/>
  <c r="O63" i="15"/>
  <c r="P63" i="15" s="1"/>
  <c r="H144" i="15"/>
  <c r="F14" i="28"/>
  <c r="B14" i="28" s="1"/>
  <c r="D130" i="15"/>
  <c r="H14" i="15"/>
  <c r="H46" i="15"/>
  <c r="D34" i="25"/>
  <c r="D117" i="25"/>
  <c r="I131" i="13"/>
  <c r="B46" i="28"/>
  <c r="D142" i="15"/>
  <c r="H63" i="15"/>
  <c r="H122" i="15"/>
  <c r="B128" i="28"/>
  <c r="H12" i="15"/>
  <c r="D23" i="15"/>
  <c r="H97" i="25"/>
  <c r="D52" i="15"/>
  <c r="O97" i="15"/>
  <c r="P97" i="15" s="1"/>
  <c r="U97" i="15" s="1"/>
  <c r="B4" i="26"/>
  <c r="C4" i="26" s="1"/>
  <c r="G4" i="26" s="1"/>
  <c r="O4" i="15"/>
  <c r="P4" i="15" s="1"/>
  <c r="U4" i="15" s="1"/>
  <c r="B8" i="26"/>
  <c r="C8" i="26" s="1"/>
  <c r="F8" i="26" s="1"/>
  <c r="E8" i="26" s="1"/>
  <c r="H37" i="15"/>
  <c r="G19" i="14"/>
  <c r="B97" i="28"/>
  <c r="B12" i="28"/>
  <c r="B36" i="26"/>
  <c r="C36" i="26" s="1"/>
  <c r="F36" i="26" s="1"/>
  <c r="E36" i="26" s="1"/>
  <c r="H81" i="25"/>
  <c r="O15" i="15"/>
  <c r="P15" i="15" s="1"/>
  <c r="U15" i="15" s="1"/>
  <c r="H37" i="25"/>
  <c r="B37" i="28"/>
  <c r="F96" i="26"/>
  <c r="E96" i="26" s="1"/>
  <c r="T12" i="15"/>
  <c r="S12" i="15" s="1"/>
  <c r="B4" i="28"/>
  <c r="B17" i="26"/>
  <c r="C17" i="26" s="1"/>
  <c r="G17" i="26" s="1"/>
  <c r="O73" i="15"/>
  <c r="P73" i="15" s="1"/>
  <c r="T73" i="15" s="1"/>
  <c r="S73" i="15" s="1"/>
  <c r="B72" i="26"/>
  <c r="C72" i="26" s="1"/>
  <c r="O21" i="15"/>
  <c r="P21" i="15" s="1"/>
  <c r="U21" i="15" s="1"/>
  <c r="O18" i="15"/>
  <c r="P18" i="15" s="1"/>
  <c r="U18" i="15" s="1"/>
  <c r="I19" i="12"/>
  <c r="H4" i="25"/>
  <c r="H5" i="25"/>
  <c r="B93" i="26"/>
  <c r="C93" i="26" s="1"/>
  <c r="F93" i="26" s="1"/>
  <c r="E93" i="26" s="1"/>
  <c r="D162" i="15"/>
  <c r="O48" i="15"/>
  <c r="P48" i="15" s="1"/>
  <c r="U48" i="15" s="1"/>
  <c r="B48" i="28"/>
  <c r="H97" i="15"/>
  <c r="B36" i="28"/>
  <c r="H25" i="25"/>
  <c r="H118" i="15"/>
  <c r="H18" i="25"/>
  <c r="B18" i="26"/>
  <c r="C18" i="26" s="1"/>
  <c r="F18" i="26" s="1"/>
  <c r="E18" i="26" s="1"/>
  <c r="B41" i="26"/>
  <c r="C41" i="26" s="1"/>
  <c r="G41" i="26" s="1"/>
  <c r="U113" i="15"/>
  <c r="O25" i="15"/>
  <c r="P25" i="15" s="1"/>
  <c r="U25" i="15" s="1"/>
  <c r="H62" i="15"/>
  <c r="O42" i="15"/>
  <c r="P42" i="15" s="1"/>
  <c r="U42" i="15" s="1"/>
  <c r="B62" i="28"/>
  <c r="B42" i="28"/>
  <c r="H62" i="25"/>
  <c r="O2" i="15"/>
  <c r="P2" i="15" s="1"/>
  <c r="U2" i="15" s="1"/>
  <c r="O62" i="15"/>
  <c r="P62" i="15" s="1"/>
  <c r="U62" i="15" s="1"/>
  <c r="B24" i="26"/>
  <c r="C24" i="26" s="1"/>
  <c r="H25" i="15"/>
  <c r="H42" i="15"/>
  <c r="M21" i="14"/>
  <c r="H25" i="12"/>
  <c r="F25" i="14" s="1"/>
  <c r="G13" i="14"/>
  <c r="I13" i="12"/>
  <c r="M18" i="14"/>
  <c r="M12" i="14"/>
  <c r="E21" i="14"/>
  <c r="B35" i="26"/>
  <c r="C35" i="26" s="1"/>
  <c r="F35" i="26" s="1"/>
  <c r="E35" i="26" s="1"/>
  <c r="H118" i="25"/>
  <c r="B65" i="26"/>
  <c r="C65" i="26" s="1"/>
  <c r="G65" i="26" s="1"/>
  <c r="B70" i="26"/>
  <c r="C70" i="26" s="1"/>
  <c r="F70" i="26" s="1"/>
  <c r="E70" i="26" s="1"/>
  <c r="H66" i="25"/>
  <c r="H85" i="15"/>
  <c r="O66" i="15"/>
  <c r="P66" i="15" s="1"/>
  <c r="B84" i="26"/>
  <c r="C84" i="26" s="1"/>
  <c r="F84" i="26" s="1"/>
  <c r="E84" i="26" s="1"/>
  <c r="H66" i="15"/>
  <c r="O85" i="15"/>
  <c r="P85" i="15" s="1"/>
  <c r="T85" i="15" s="1"/>
  <c r="S85" i="15" s="1"/>
  <c r="T65" i="15"/>
  <c r="S65" i="15" s="1"/>
  <c r="O36" i="15"/>
  <c r="P36" i="15" s="1"/>
  <c r="T36" i="15" s="1"/>
  <c r="S36" i="15" s="1"/>
  <c r="G31" i="26"/>
  <c r="O35" i="15"/>
  <c r="P35" i="15" s="1"/>
  <c r="T35" i="15" s="1"/>
  <c r="S35" i="15" s="1"/>
  <c r="H85" i="25"/>
  <c r="H36" i="15"/>
  <c r="H41" i="25"/>
  <c r="B85" i="26"/>
  <c r="C85" i="26" s="1"/>
  <c r="F85" i="26" s="1"/>
  <c r="E85" i="26" s="1"/>
  <c r="O71" i="15"/>
  <c r="P71" i="15" s="1"/>
  <c r="B53" i="28"/>
  <c r="G112" i="26"/>
  <c r="O53" i="15"/>
  <c r="P53" i="15" s="1"/>
  <c r="U53" i="15" s="1"/>
  <c r="O86" i="15"/>
  <c r="P86" i="15" s="1"/>
  <c r="O104" i="15"/>
  <c r="P104" i="15" s="1"/>
  <c r="U104" i="15" s="1"/>
  <c r="H121" i="25"/>
  <c r="H72" i="15"/>
  <c r="O47" i="15"/>
  <c r="P47" i="15" s="1"/>
  <c r="U47" i="15" s="1"/>
  <c r="B41" i="28"/>
  <c r="H71" i="15"/>
  <c r="H47" i="15"/>
  <c r="B121" i="28"/>
  <c r="B52" i="26"/>
  <c r="C52" i="26" s="1"/>
  <c r="F52" i="26" s="1"/>
  <c r="E52" i="26" s="1"/>
  <c r="H47" i="25"/>
  <c r="B72" i="28"/>
  <c r="B71" i="28"/>
  <c r="H50" i="25"/>
  <c r="B47" i="28"/>
  <c r="B71" i="26"/>
  <c r="C71" i="26" s="1"/>
  <c r="H86" i="15"/>
  <c r="H50" i="15"/>
  <c r="H53" i="15"/>
  <c r="O72" i="15"/>
  <c r="P72" i="15" s="1"/>
  <c r="T72" i="15" s="1"/>
  <c r="S72" i="15" s="1"/>
  <c r="B86" i="28"/>
  <c r="F59" i="26"/>
  <c r="E59" i="26" s="1"/>
  <c r="G59" i="26"/>
  <c r="B103" i="26"/>
  <c r="C103" i="26" s="1"/>
  <c r="G103" i="26" s="1"/>
  <c r="B17" i="28"/>
  <c r="B44" i="26"/>
  <c r="C44" i="26" s="1"/>
  <c r="G44" i="26" s="1"/>
  <c r="B45" i="28"/>
  <c r="H104" i="25"/>
  <c r="B18" i="28"/>
  <c r="B56" i="28"/>
  <c r="O17" i="15"/>
  <c r="P17" i="15" s="1"/>
  <c r="U17" i="15" s="1"/>
  <c r="T68" i="15"/>
  <c r="S68" i="15" s="1"/>
  <c r="H17" i="15"/>
  <c r="T106" i="15"/>
  <c r="S106" i="15" s="1"/>
  <c r="H45" i="25"/>
  <c r="H17" i="25"/>
  <c r="B12" i="26"/>
  <c r="C12" i="26" s="1"/>
  <c r="G12" i="26" s="1"/>
  <c r="B104" i="28"/>
  <c r="G14" i="26"/>
  <c r="F14" i="26"/>
  <c r="E14" i="26" s="1"/>
  <c r="U95" i="15"/>
  <c r="H48" i="15"/>
  <c r="H73" i="25"/>
  <c r="H51" i="15"/>
  <c r="H3" i="15"/>
  <c r="B73" i="28"/>
  <c r="B141" i="28"/>
  <c r="O90" i="15"/>
  <c r="P90" i="15" s="1"/>
  <c r="U90" i="15" s="1"/>
  <c r="B90" i="28"/>
  <c r="B127" i="28"/>
  <c r="B89" i="26"/>
  <c r="C89" i="26" s="1"/>
  <c r="G89" i="26" s="1"/>
  <c r="B100" i="26"/>
  <c r="C100" i="26" s="1"/>
  <c r="G100" i="26" s="1"/>
  <c r="H70" i="25"/>
  <c r="O87" i="15"/>
  <c r="P87" i="15" s="1"/>
  <c r="U83" i="15"/>
  <c r="H117" i="25"/>
  <c r="H90" i="15"/>
  <c r="H101" i="25"/>
  <c r="O81" i="15"/>
  <c r="P81" i="15" s="1"/>
  <c r="U81" i="15" s="1"/>
  <c r="H87" i="15"/>
  <c r="H39" i="25"/>
  <c r="I150" i="13"/>
  <c r="H152" i="15" s="1"/>
  <c r="D167" i="15"/>
  <c r="B38" i="26"/>
  <c r="C38" i="26" s="1"/>
  <c r="H81" i="15"/>
  <c r="H94" i="15"/>
  <c r="B47" i="26"/>
  <c r="C47" i="26" s="1"/>
  <c r="B80" i="26"/>
  <c r="C80" i="26" s="1"/>
  <c r="G80" i="26" s="1"/>
  <c r="B39" i="28"/>
  <c r="H94" i="25"/>
  <c r="B94" i="28"/>
  <c r="H39" i="15"/>
  <c r="N6" i="14"/>
  <c r="M6" i="14"/>
  <c r="E6" i="14"/>
  <c r="F25" i="12"/>
  <c r="N25" i="14" s="1"/>
  <c r="M7" i="14"/>
  <c r="E7" i="14"/>
  <c r="N7" i="14"/>
  <c r="F46" i="26"/>
  <c r="E46" i="26" s="1"/>
  <c r="G46" i="26"/>
  <c r="U39" i="15"/>
  <c r="T39" i="15"/>
  <c r="S39" i="15" s="1"/>
  <c r="H40" i="25"/>
  <c r="B40" i="28"/>
  <c r="H40" i="15"/>
  <c r="B39" i="26"/>
  <c r="C39" i="26" s="1"/>
  <c r="F39" i="26" s="1"/>
  <c r="E39" i="26" s="1"/>
  <c r="O40" i="15"/>
  <c r="P40" i="15" s="1"/>
  <c r="T40" i="15" s="1"/>
  <c r="S40" i="15" s="1"/>
  <c r="B91" i="28"/>
  <c r="H91" i="15"/>
  <c r="O91" i="15"/>
  <c r="P91" i="15" s="1"/>
  <c r="U91" i="15" s="1"/>
  <c r="B90" i="26"/>
  <c r="C90" i="26" s="1"/>
  <c r="G90" i="26" s="1"/>
  <c r="H91" i="25"/>
  <c r="H58" i="15"/>
  <c r="B57" i="26"/>
  <c r="C57" i="26" s="1"/>
  <c r="B58" i="28"/>
  <c r="H58" i="25"/>
  <c r="O58" i="15"/>
  <c r="P58" i="15" s="1"/>
  <c r="T58" i="15" s="1"/>
  <c r="S58" i="15" s="1"/>
  <c r="H30" i="15"/>
  <c r="B29" i="26"/>
  <c r="C29" i="26" s="1"/>
  <c r="B30" i="28"/>
  <c r="H30" i="25"/>
  <c r="O30" i="15"/>
  <c r="P30" i="15" s="1"/>
  <c r="U30" i="15" s="1"/>
  <c r="H96" i="15"/>
  <c r="B96" i="28"/>
  <c r="H96" i="25"/>
  <c r="B95" i="26"/>
  <c r="C95" i="26" s="1"/>
  <c r="O96" i="15"/>
  <c r="P96" i="15" s="1"/>
  <c r="U69" i="15"/>
  <c r="T69" i="15"/>
  <c r="S69" i="15" s="1"/>
  <c r="T92" i="15"/>
  <c r="S92" i="15" s="1"/>
  <c r="U92" i="15"/>
  <c r="H6" i="15"/>
  <c r="O6" i="15"/>
  <c r="P6" i="15" s="1"/>
  <c r="B6" i="28"/>
  <c r="H6" i="25"/>
  <c r="B6" i="26"/>
  <c r="C6" i="26" s="1"/>
  <c r="F86" i="26"/>
  <c r="E86" i="26" s="1"/>
  <c r="G86" i="26"/>
  <c r="B79" i="26"/>
  <c r="C79" i="26" s="1"/>
  <c r="G79" i="26" s="1"/>
  <c r="H80" i="15"/>
  <c r="H80" i="25"/>
  <c r="O80" i="15"/>
  <c r="P80" i="15" s="1"/>
  <c r="U80" i="15" s="1"/>
  <c r="B80" i="28"/>
  <c r="G107" i="26"/>
  <c r="F107" i="26"/>
  <c r="E107" i="26" s="1"/>
  <c r="H105" i="15"/>
  <c r="B104" i="26"/>
  <c r="C104" i="26" s="1"/>
  <c r="G104" i="26" s="1"/>
  <c r="H105" i="25"/>
  <c r="B105" i="28"/>
  <c r="O19" i="15"/>
  <c r="P19" i="15" s="1"/>
  <c r="O9" i="15"/>
  <c r="P9" i="15" s="1"/>
  <c r="U9" i="15" s="1"/>
  <c r="H140" i="15"/>
  <c r="H123" i="15"/>
  <c r="O52" i="15"/>
  <c r="P52" i="15" s="1"/>
  <c r="I143" i="13"/>
  <c r="H146" i="15" s="1"/>
  <c r="D58" i="15"/>
  <c r="B69" i="26"/>
  <c r="C69" i="26" s="1"/>
  <c r="G69" i="26" s="1"/>
  <c r="B31" i="28"/>
  <c r="D149" i="15"/>
  <c r="D102" i="25"/>
  <c r="B115" i="25"/>
  <c r="B94" i="15"/>
  <c r="B19" i="28"/>
  <c r="H70" i="15"/>
  <c r="H9" i="25"/>
  <c r="O116" i="15"/>
  <c r="P116" i="15" s="1"/>
  <c r="H84" i="15"/>
  <c r="H52" i="25"/>
  <c r="D40" i="25"/>
  <c r="D6" i="25"/>
  <c r="D102" i="15"/>
  <c r="D96" i="25"/>
  <c r="D70" i="25"/>
  <c r="O82" i="15"/>
  <c r="P82" i="15" s="1"/>
  <c r="U82" i="15" s="1"/>
  <c r="B81" i="26"/>
  <c r="C81" i="26" s="1"/>
  <c r="G81" i="26" s="1"/>
  <c r="B116" i="28"/>
  <c r="B83" i="26"/>
  <c r="C83" i="26" s="1"/>
  <c r="B51" i="26"/>
  <c r="C51" i="26" s="1"/>
  <c r="D158" i="15"/>
  <c r="D40" i="15"/>
  <c r="O70" i="15"/>
  <c r="P70" i="15" s="1"/>
  <c r="B15" i="26"/>
  <c r="C15" i="26" s="1"/>
  <c r="F15" i="26" s="1"/>
  <c r="E15" i="26" s="1"/>
  <c r="B102" i="28"/>
  <c r="D46" i="15"/>
  <c r="D46" i="25"/>
  <c r="I35" i="13"/>
  <c r="B33" i="26" s="1"/>
  <c r="C33" i="26" s="1"/>
  <c r="I77" i="13"/>
  <c r="B77" i="28" s="1"/>
  <c r="I44" i="13"/>
  <c r="H82" i="15"/>
  <c r="B92" i="28"/>
  <c r="H116" i="25"/>
  <c r="H84" i="25"/>
  <c r="T76" i="15"/>
  <c r="S76" i="15" s="1"/>
  <c r="B135" i="28"/>
  <c r="D166" i="15"/>
  <c r="H102" i="15"/>
  <c r="D120" i="15"/>
  <c r="D171" i="15"/>
  <c r="H138" i="15"/>
  <c r="H82" i="25"/>
  <c r="H108" i="25"/>
  <c r="B68" i="26"/>
  <c r="C68" i="26" s="1"/>
  <c r="D80" i="25"/>
  <c r="O31" i="15"/>
  <c r="P31" i="15" s="1"/>
  <c r="D164" i="15"/>
  <c r="D114" i="15"/>
  <c r="I111" i="13"/>
  <c r="B110" i="26" s="1"/>
  <c r="C110" i="26" s="1"/>
  <c r="D105" i="15"/>
  <c r="D20" i="25"/>
  <c r="D30" i="25"/>
  <c r="B115" i="26"/>
  <c r="C115" i="26" s="1"/>
  <c r="G115" i="26" s="1"/>
  <c r="H35" i="15"/>
  <c r="O84" i="15"/>
  <c r="P84" i="15" s="1"/>
  <c r="H35" i="25"/>
  <c r="B52" i="28"/>
  <c r="B108" i="28"/>
  <c r="B69" i="28"/>
  <c r="D80" i="15"/>
  <c r="I4" i="13"/>
  <c r="H20" i="25" s="1"/>
  <c r="D30" i="15"/>
  <c r="H19" i="15"/>
  <c r="T24" i="15"/>
  <c r="S24" i="15" s="1"/>
  <c r="B35" i="28"/>
  <c r="H21" i="15"/>
  <c r="H69" i="15"/>
  <c r="D91" i="25"/>
  <c r="H120" i="15"/>
  <c r="H31" i="25"/>
  <c r="H114" i="25"/>
  <c r="D49" i="25"/>
  <c r="D70" i="15"/>
  <c r="B123" i="28"/>
  <c r="B21" i="28"/>
  <c r="O108" i="15"/>
  <c r="P108" i="15" s="1"/>
  <c r="D91" i="15"/>
  <c r="B113" i="26"/>
  <c r="C113" i="26" s="1"/>
  <c r="H46" i="25"/>
  <c r="D108" i="25"/>
  <c r="D44" i="25"/>
  <c r="D23" i="25"/>
  <c r="H9" i="15"/>
  <c r="B20" i="26"/>
  <c r="C20" i="26" s="1"/>
  <c r="G20" i="26" s="1"/>
  <c r="O114" i="15"/>
  <c r="P114" i="15" s="1"/>
  <c r="D52" i="25"/>
  <c r="B56" i="26"/>
  <c r="C56" i="26" s="1"/>
  <c r="O57" i="15"/>
  <c r="P57" i="15" s="1"/>
  <c r="H56" i="25"/>
  <c r="H56" i="15"/>
  <c r="O56" i="15"/>
  <c r="P56" i="15" s="1"/>
  <c r="D67" i="25"/>
  <c r="I66" i="13"/>
  <c r="D55" i="15"/>
  <c r="I55" i="13"/>
  <c r="D26" i="15"/>
  <c r="I30" i="13"/>
  <c r="I13" i="13"/>
  <c r="D11" i="15"/>
  <c r="D11" i="25"/>
  <c r="D43" i="25"/>
  <c r="I10" i="13"/>
  <c r="D10" i="15"/>
  <c r="I7" i="13"/>
  <c r="B10" i="28" s="1"/>
  <c r="D10" i="25"/>
  <c r="B109" i="26"/>
  <c r="C109" i="26" s="1"/>
  <c r="G109" i="26" s="1"/>
  <c r="B110" i="28"/>
  <c r="O110" i="15"/>
  <c r="P110" i="15" s="1"/>
  <c r="H110" i="15"/>
  <c r="B106" i="28"/>
  <c r="B105" i="26"/>
  <c r="C105" i="26" s="1"/>
  <c r="H106" i="15"/>
  <c r="H106" i="25"/>
  <c r="H57" i="15"/>
  <c r="B129" i="28"/>
  <c r="B57" i="28"/>
  <c r="H57" i="25"/>
  <c r="B89" i="28"/>
  <c r="H89" i="25"/>
  <c r="G37" i="26"/>
  <c r="F37" i="26"/>
  <c r="E37" i="26" s="1"/>
  <c r="I9" i="12"/>
  <c r="O9" i="14"/>
  <c r="D55" i="25"/>
  <c r="B63" i="26"/>
  <c r="C63" i="26" s="1"/>
  <c r="H64" i="15"/>
  <c r="O64" i="15"/>
  <c r="P64" i="15" s="1"/>
  <c r="B64" i="28"/>
  <c r="O89" i="15"/>
  <c r="P89" i="15" s="1"/>
  <c r="T89" i="15" s="1"/>
  <c r="S89" i="15" s="1"/>
  <c r="B40" i="26"/>
  <c r="C40" i="26" s="1"/>
  <c r="G40" i="26" s="1"/>
  <c r="O41" i="15"/>
  <c r="P41" i="15" s="1"/>
  <c r="B88" i="26"/>
  <c r="C88" i="26" s="1"/>
  <c r="F61" i="26"/>
  <c r="E61" i="26" s="1"/>
  <c r="H92" i="25"/>
  <c r="H92" i="15"/>
  <c r="B91" i="26"/>
  <c r="C91" i="26" s="1"/>
  <c r="H89" i="15"/>
  <c r="G34" i="26"/>
  <c r="F34" i="26"/>
  <c r="E34" i="26" s="1"/>
  <c r="O5" i="14"/>
  <c r="E5" i="14"/>
  <c r="M5" i="14"/>
  <c r="E25" i="12"/>
  <c r="E25" i="14" s="1"/>
  <c r="M25" i="14" s="1"/>
  <c r="M11" i="14"/>
  <c r="E11" i="14"/>
  <c r="H28" i="25"/>
  <c r="H28" i="15"/>
  <c r="O28" i="15"/>
  <c r="P28" i="15" s="1"/>
  <c r="B28" i="28"/>
  <c r="B27" i="26"/>
  <c r="C27" i="26" s="1"/>
  <c r="J292" i="15"/>
  <c r="H231" i="15"/>
  <c r="J235" i="15"/>
  <c r="J177" i="15"/>
  <c r="J59" i="25"/>
  <c r="D178" i="15"/>
  <c r="J77" i="25"/>
  <c r="J200" i="15"/>
  <c r="J67" i="15"/>
  <c r="J240" i="15"/>
  <c r="H409" i="15"/>
  <c r="J188" i="15"/>
  <c r="D378" i="15"/>
  <c r="H221" i="15"/>
  <c r="J119" i="15"/>
  <c r="D340" i="15"/>
  <c r="J205" i="15"/>
  <c r="H302" i="15"/>
  <c r="D262" i="15"/>
  <c r="J234" i="15"/>
  <c r="B372" i="15"/>
  <c r="D16" i="28"/>
  <c r="D135" i="28"/>
  <c r="J109" i="25"/>
  <c r="J286" i="15"/>
  <c r="D231" i="15"/>
  <c r="D185" i="15"/>
  <c r="B242" i="15"/>
  <c r="B253" i="15"/>
  <c r="H289" i="15"/>
  <c r="J368" i="15"/>
  <c r="J216" i="15"/>
  <c r="J217" i="15"/>
  <c r="H193" i="15"/>
  <c r="D306" i="15"/>
  <c r="J105" i="25"/>
  <c r="D360" i="15"/>
  <c r="D325" i="15"/>
  <c r="H426" i="15"/>
  <c r="D31" i="28"/>
  <c r="D411" i="15"/>
  <c r="D10" i="28"/>
  <c r="J321" i="15"/>
  <c r="H233" i="15"/>
  <c r="J210" i="15"/>
  <c r="J349" i="15"/>
  <c r="J117" i="25"/>
  <c r="D369" i="15"/>
  <c r="J83" i="15"/>
  <c r="J277" i="15"/>
  <c r="B410" i="15"/>
  <c r="H418" i="15"/>
  <c r="J409" i="15"/>
  <c r="H385" i="15"/>
  <c r="D21" i="28"/>
  <c r="D15" i="25"/>
  <c r="J58" i="25"/>
  <c r="H212" i="15"/>
  <c r="H434" i="15"/>
  <c r="B238" i="15"/>
  <c r="H269" i="15"/>
  <c r="J309" i="15"/>
  <c r="J25" i="15"/>
  <c r="J16" i="15"/>
  <c r="J11" i="25"/>
  <c r="J106" i="15"/>
  <c r="B331" i="15"/>
  <c r="D316" i="15"/>
  <c r="H301" i="15"/>
  <c r="H288" i="15"/>
  <c r="H387" i="15"/>
  <c r="J417" i="15"/>
  <c r="B277" i="15"/>
  <c r="J364" i="15"/>
  <c r="J10" i="25"/>
  <c r="J61" i="15"/>
  <c r="D412" i="15"/>
  <c r="H209" i="15"/>
  <c r="H229" i="15"/>
  <c r="D16" i="25"/>
  <c r="B43" i="25"/>
  <c r="J400" i="15"/>
  <c r="J69" i="25"/>
  <c r="J35" i="25"/>
  <c r="J427" i="15"/>
  <c r="J86" i="25"/>
  <c r="J196" i="15"/>
  <c r="D393" i="15"/>
  <c r="J43" i="15"/>
  <c r="J379" i="15"/>
  <c r="J293" i="15"/>
  <c r="J9" i="15"/>
  <c r="D203" i="15"/>
  <c r="B262" i="15"/>
  <c r="D233" i="15"/>
  <c r="D126" i="28"/>
  <c r="B252" i="15"/>
  <c r="D228" i="15"/>
  <c r="H308" i="15"/>
  <c r="B285" i="15"/>
  <c r="D136" i="28"/>
  <c r="H264" i="15"/>
  <c r="B15" i="25"/>
  <c r="D374" i="15"/>
  <c r="D270" i="15"/>
  <c r="D400" i="15"/>
  <c r="H435" i="15"/>
  <c r="J181" i="15"/>
  <c r="D420" i="15"/>
  <c r="H333" i="15"/>
  <c r="J350" i="15"/>
  <c r="J301" i="15"/>
  <c r="J221" i="15"/>
  <c r="H396" i="15"/>
  <c r="J80" i="25"/>
  <c r="J19" i="25"/>
  <c r="J26" i="25"/>
  <c r="J125" i="15"/>
  <c r="H273" i="15"/>
  <c r="D107" i="28"/>
  <c r="D184" i="15"/>
  <c r="J215" i="15"/>
  <c r="H265" i="15"/>
  <c r="J194" i="15"/>
  <c r="B30" i="25"/>
  <c r="J15" i="25"/>
  <c r="D317" i="15"/>
  <c r="H294" i="15"/>
  <c r="J78" i="15"/>
  <c r="J49" i="25"/>
  <c r="B221" i="15"/>
  <c r="J233" i="15"/>
  <c r="J113" i="15"/>
  <c r="J394" i="15"/>
  <c r="H181" i="15"/>
  <c r="D320" i="15"/>
  <c r="B354" i="15"/>
  <c r="J374" i="15"/>
  <c r="J174" i="15"/>
  <c r="D285" i="15"/>
  <c r="H350" i="15"/>
  <c r="J125" i="25"/>
  <c r="H346" i="15"/>
  <c r="J64" i="25"/>
  <c r="D255" i="15"/>
  <c r="H442" i="15"/>
  <c r="B434" i="15"/>
  <c r="B220" i="15"/>
  <c r="D337" i="15"/>
  <c r="J426" i="15"/>
  <c r="J55" i="15"/>
  <c r="J166" i="15"/>
  <c r="D264" i="15"/>
  <c r="J389" i="15"/>
  <c r="J22" i="25"/>
  <c r="D313" i="15"/>
  <c r="D290" i="15"/>
  <c r="B197" i="15"/>
  <c r="B366" i="15"/>
  <c r="H278" i="15"/>
  <c r="J2" i="25"/>
  <c r="D362" i="15"/>
  <c r="D394" i="15"/>
  <c r="B255" i="15"/>
  <c r="J275" i="15"/>
  <c r="B15" i="28"/>
  <c r="H243" i="15"/>
  <c r="J387" i="15"/>
  <c r="J68" i="25"/>
  <c r="D44" i="28"/>
  <c r="D200" i="15"/>
  <c r="B364" i="15"/>
  <c r="D345" i="15"/>
  <c r="H366" i="15"/>
  <c r="H349" i="15"/>
  <c r="D439" i="15"/>
  <c r="J138" i="15"/>
  <c r="J123" i="25"/>
  <c r="J308" i="15"/>
  <c r="J344" i="15"/>
  <c r="B271" i="15"/>
  <c r="J185" i="15"/>
  <c r="H361" i="15"/>
  <c r="J250" i="15"/>
  <c r="H306" i="15"/>
  <c r="B398" i="15"/>
  <c r="D269" i="15"/>
  <c r="J336" i="15"/>
  <c r="J6" i="15"/>
  <c r="J169" i="15"/>
  <c r="H331" i="15"/>
  <c r="D339" i="15"/>
  <c r="J303" i="15"/>
  <c r="H406" i="15"/>
  <c r="J121" i="15"/>
  <c r="D52" i="28"/>
  <c r="D319" i="15"/>
  <c r="H383" i="15"/>
  <c r="D217" i="15"/>
  <c r="D120" i="28"/>
  <c r="J297" i="15"/>
  <c r="H211" i="15"/>
  <c r="J406" i="15"/>
  <c r="D430" i="15"/>
  <c r="H223" i="15"/>
  <c r="D254" i="15"/>
  <c r="D291" i="15"/>
  <c r="J300" i="15"/>
  <c r="B424" i="15"/>
  <c r="J278" i="15"/>
  <c r="B409" i="15"/>
  <c r="D305" i="15"/>
  <c r="J246" i="15"/>
  <c r="J352" i="15"/>
  <c r="J87" i="15"/>
  <c r="J390" i="15"/>
  <c r="B316" i="15"/>
  <c r="D129" i="28"/>
  <c r="B257" i="15"/>
  <c r="H286" i="15"/>
  <c r="H373" i="15"/>
  <c r="B367" i="15"/>
  <c r="B337" i="15"/>
  <c r="D87" i="28"/>
  <c r="B179" i="15"/>
  <c r="J72" i="15"/>
  <c r="D248" i="15"/>
  <c r="D235" i="15"/>
  <c r="H412" i="15"/>
  <c r="D404" i="15"/>
  <c r="B155" i="15"/>
  <c r="D115" i="28"/>
  <c r="H408" i="15"/>
  <c r="H371" i="15"/>
  <c r="J23" i="25"/>
  <c r="J27" i="25"/>
  <c r="B240" i="15"/>
  <c r="J96" i="15"/>
  <c r="J31" i="15"/>
  <c r="B418" i="15"/>
  <c r="H392" i="15"/>
  <c r="H220" i="15"/>
  <c r="B226" i="15"/>
  <c r="B416" i="15"/>
  <c r="J163" i="15"/>
  <c r="H261" i="15"/>
  <c r="B200" i="15"/>
  <c r="D60" i="28"/>
  <c r="J192" i="15"/>
  <c r="J81" i="25"/>
  <c r="J60" i="25"/>
  <c r="D236" i="15"/>
  <c r="H227" i="15"/>
  <c r="D112" i="28"/>
  <c r="B212" i="15"/>
  <c r="H448" i="15"/>
  <c r="J237" i="15"/>
  <c r="J3" i="25"/>
  <c r="H194" i="15"/>
  <c r="J102" i="15"/>
  <c r="H228" i="15"/>
  <c r="J247" i="15"/>
  <c r="D121" i="28"/>
  <c r="H275" i="15"/>
  <c r="D335" i="15"/>
  <c r="H249" i="15"/>
  <c r="B274" i="15"/>
  <c r="H22" i="25"/>
  <c r="D419" i="15"/>
  <c r="B196" i="15"/>
  <c r="B388" i="15"/>
  <c r="D314" i="15"/>
  <c r="H2" i="25"/>
  <c r="J96" i="25"/>
  <c r="J55" i="25"/>
  <c r="J158" i="15"/>
  <c r="J197" i="15"/>
  <c r="D218" i="15"/>
  <c r="H305" i="15"/>
  <c r="B433" i="15"/>
  <c r="D333" i="15"/>
  <c r="H272" i="15"/>
  <c r="J223" i="15"/>
  <c r="D35" i="28"/>
  <c r="H310" i="15"/>
  <c r="J365" i="15"/>
  <c r="B350" i="15"/>
  <c r="J399" i="15"/>
  <c r="J190" i="15"/>
  <c r="J447" i="15"/>
  <c r="D58" i="28"/>
  <c r="J252" i="15"/>
  <c r="J414" i="15"/>
  <c r="J142" i="15"/>
  <c r="B448" i="15"/>
  <c r="D142" i="28"/>
  <c r="D22" i="15"/>
  <c r="J73" i="15"/>
  <c r="J33" i="25"/>
  <c r="H332" i="15"/>
  <c r="H198" i="15"/>
  <c r="J98" i="25"/>
  <c r="J184" i="15"/>
  <c r="D234" i="15"/>
  <c r="B415" i="15"/>
  <c r="D130" i="28"/>
  <c r="B241" i="15"/>
  <c r="J14" i="15"/>
  <c r="D341" i="15"/>
  <c r="H214" i="15"/>
  <c r="B343" i="15"/>
  <c r="D331" i="15"/>
  <c r="J312" i="15"/>
  <c r="B261" i="15"/>
  <c r="J135" i="15"/>
  <c r="H421" i="15"/>
  <c r="J122" i="15"/>
  <c r="J78" i="25"/>
  <c r="D94" i="28"/>
  <c r="D426" i="15"/>
  <c r="D19" i="28"/>
  <c r="B321" i="15"/>
  <c r="J334" i="15"/>
  <c r="D13" i="28"/>
  <c r="D408" i="15"/>
  <c r="B293" i="15"/>
  <c r="D351" i="15"/>
  <c r="H281" i="15"/>
  <c r="B254" i="15"/>
  <c r="J206" i="15"/>
  <c r="D206" i="15"/>
  <c r="H250" i="15"/>
  <c r="D22" i="28"/>
  <c r="J4" i="25"/>
  <c r="J445" i="15"/>
  <c r="B62" i="15"/>
  <c r="B19" i="15"/>
  <c r="B318" i="15"/>
  <c r="H204" i="15"/>
  <c r="J155" i="15"/>
  <c r="J451" i="15"/>
  <c r="B361" i="15"/>
  <c r="B201" i="15"/>
  <c r="D43" i="28"/>
  <c r="J407" i="15"/>
  <c r="D298" i="15"/>
  <c r="D266" i="15"/>
  <c r="J284" i="15"/>
  <c r="J50" i="15"/>
  <c r="D41" i="28"/>
  <c r="B45" i="25"/>
  <c r="B365" i="15"/>
  <c r="D38" i="28"/>
  <c r="J40" i="15"/>
  <c r="J362" i="15"/>
  <c r="B176" i="15"/>
  <c r="J397" i="15"/>
  <c r="B178" i="15"/>
  <c r="H213" i="15"/>
  <c r="J120" i="15"/>
  <c r="H400" i="15"/>
  <c r="H370" i="15"/>
  <c r="D350" i="15"/>
  <c r="J281" i="15"/>
  <c r="D197" i="15"/>
  <c r="B308" i="15"/>
  <c r="B3" i="28"/>
  <c r="H437" i="15"/>
  <c r="J304" i="15"/>
  <c r="J343" i="15"/>
  <c r="B379" i="15"/>
  <c r="J198" i="15"/>
  <c r="H225" i="15"/>
  <c r="B302" i="15"/>
  <c r="H427" i="15"/>
  <c r="B393" i="15"/>
  <c r="H248" i="15"/>
  <c r="D386" i="15"/>
  <c r="D25" i="28"/>
  <c r="B21" i="25"/>
  <c r="D389" i="15"/>
  <c r="D448" i="15"/>
  <c r="J114" i="15"/>
  <c r="B205" i="15"/>
  <c r="J38" i="15"/>
  <c r="H196" i="15"/>
  <c r="D141" i="28"/>
  <c r="J357" i="15"/>
  <c r="D103" i="28"/>
  <c r="H391" i="15"/>
  <c r="B439" i="15"/>
  <c r="J296" i="15"/>
  <c r="D275" i="15"/>
  <c r="D383" i="15"/>
  <c r="B290" i="15"/>
  <c r="J14" i="25"/>
  <c r="B239" i="15"/>
  <c r="J318" i="15"/>
  <c r="D183" i="15"/>
  <c r="D361" i="15"/>
  <c r="D88" i="28"/>
  <c r="D441" i="15"/>
  <c r="B443" i="15"/>
  <c r="J189" i="15"/>
  <c r="J83" i="25"/>
  <c r="D137" i="28"/>
  <c r="D344" i="15"/>
  <c r="B195" i="15"/>
  <c r="H304" i="15"/>
  <c r="D326" i="15"/>
  <c r="J291" i="15"/>
  <c r="B430" i="15"/>
  <c r="D432" i="15"/>
  <c r="H413" i="15"/>
  <c r="J315" i="15"/>
  <c r="J162" i="15"/>
  <c r="J90" i="15"/>
  <c r="J219" i="15"/>
  <c r="B307" i="15"/>
  <c r="D4" i="28"/>
  <c r="J149" i="15"/>
  <c r="D99" i="28"/>
  <c r="J388" i="15"/>
  <c r="H352" i="15"/>
  <c r="B442" i="15"/>
  <c r="J340" i="15"/>
  <c r="B235" i="15"/>
  <c r="D79" i="28"/>
  <c r="D381" i="15"/>
  <c r="J183" i="15"/>
  <c r="B325" i="15"/>
  <c r="B310" i="15"/>
  <c r="B440" i="15"/>
  <c r="D365" i="15"/>
  <c r="H336" i="15"/>
  <c r="J46" i="25"/>
  <c r="J105" i="15"/>
  <c r="J116" i="15"/>
  <c r="H341" i="15"/>
  <c r="D371" i="15"/>
  <c r="J369" i="15"/>
  <c r="H315" i="15"/>
  <c r="D69" i="28"/>
  <c r="J378" i="15"/>
  <c r="D24" i="28"/>
  <c r="H238" i="15"/>
  <c r="J160" i="15"/>
  <c r="H222" i="15"/>
  <c r="B174" i="15"/>
  <c r="D95" i="28"/>
  <c r="J384" i="15"/>
  <c r="D349" i="15"/>
  <c r="H296" i="15"/>
  <c r="B287" i="15"/>
  <c r="H178" i="15"/>
  <c r="B309" i="15"/>
  <c r="J39" i="15"/>
  <c r="B315" i="15"/>
  <c r="D191" i="15"/>
  <c r="B258" i="15"/>
  <c r="J37" i="25"/>
  <c r="J416" i="15"/>
  <c r="J335" i="15"/>
  <c r="J117" i="15"/>
  <c r="B11" i="25"/>
  <c r="D407" i="15"/>
  <c r="H245" i="15"/>
  <c r="B317" i="15"/>
  <c r="B426" i="15"/>
  <c r="J266" i="15"/>
  <c r="H372" i="15"/>
  <c r="B208" i="15"/>
  <c r="H177" i="15"/>
  <c r="D405" i="15"/>
  <c r="J425" i="15"/>
  <c r="J81" i="15"/>
  <c r="D179" i="15"/>
  <c r="D211" i="15"/>
  <c r="J346" i="15"/>
  <c r="D440" i="15"/>
  <c r="J65" i="25"/>
  <c r="J122" i="25"/>
  <c r="H185" i="15"/>
  <c r="J130" i="15"/>
  <c r="B233" i="15"/>
  <c r="D28" i="28"/>
  <c r="D250" i="15"/>
  <c r="D318" i="15"/>
  <c r="J15" i="15"/>
  <c r="H235" i="15"/>
  <c r="J54" i="15"/>
  <c r="H175" i="15"/>
  <c r="J261" i="15"/>
  <c r="H299" i="15"/>
  <c r="D208" i="15"/>
  <c r="H399" i="15"/>
  <c r="D396" i="15"/>
  <c r="H226" i="15"/>
  <c r="B382" i="15"/>
  <c r="J193" i="15"/>
  <c r="H428" i="15"/>
  <c r="H338" i="15"/>
  <c r="D445" i="15"/>
  <c r="J106" i="25"/>
  <c r="B223" i="15"/>
  <c r="B297" i="15"/>
  <c r="D368" i="15"/>
  <c r="H419" i="15"/>
  <c r="D391" i="15"/>
  <c r="D54" i="28"/>
  <c r="J52" i="25"/>
  <c r="J20" i="15"/>
  <c r="D14" i="25"/>
  <c r="B320" i="15"/>
  <c r="J167" i="15"/>
  <c r="B374" i="15"/>
  <c r="J371" i="15"/>
  <c r="J77" i="15"/>
  <c r="B423" i="15"/>
  <c r="J133" i="15"/>
  <c r="B422" i="15"/>
  <c r="D224" i="15"/>
  <c r="H267" i="15"/>
  <c r="D343" i="15"/>
  <c r="D186" i="15"/>
  <c r="H277" i="15"/>
  <c r="J131" i="15"/>
  <c r="B368" i="15"/>
  <c r="D244" i="15"/>
  <c r="H295" i="15"/>
  <c r="J84" i="25"/>
  <c r="D242" i="15"/>
  <c r="H445" i="15"/>
  <c r="J11" i="15"/>
  <c r="D427" i="15"/>
  <c r="J295" i="15"/>
  <c r="J101" i="25"/>
  <c r="D138" i="28"/>
  <c r="J143" i="15"/>
  <c r="J137" i="15"/>
  <c r="H292" i="15"/>
  <c r="B187" i="15"/>
  <c r="H192" i="15"/>
  <c r="J152" i="15"/>
  <c r="B281" i="15"/>
  <c r="B417" i="15"/>
  <c r="D418" i="15"/>
  <c r="D80" i="28"/>
  <c r="H237" i="15"/>
  <c r="D106" i="28"/>
  <c r="B10" i="25"/>
  <c r="B23" i="25"/>
  <c r="B16" i="15"/>
  <c r="J24" i="25"/>
  <c r="B342" i="15"/>
  <c r="J56" i="15"/>
  <c r="J437" i="15"/>
  <c r="D86" i="28"/>
  <c r="J48" i="25"/>
  <c r="B186" i="15"/>
  <c r="J214" i="15"/>
  <c r="D450" i="15"/>
  <c r="J139" i="15"/>
  <c r="H430" i="15"/>
  <c r="H244" i="15"/>
  <c r="H344" i="15"/>
  <c r="D315" i="15"/>
  <c r="J75" i="25"/>
  <c r="J17" i="25"/>
  <c r="D444" i="15"/>
  <c r="J413" i="15"/>
  <c r="B191" i="15"/>
  <c r="D240" i="15"/>
  <c r="B286" i="15"/>
  <c r="J54" i="25"/>
  <c r="B2" i="25"/>
  <c r="J395" i="15"/>
  <c r="J100" i="15"/>
  <c r="J272" i="15"/>
  <c r="J111" i="15"/>
  <c r="H309" i="15"/>
  <c r="J386" i="15"/>
  <c r="J438" i="15"/>
  <c r="B288" i="15"/>
  <c r="H246" i="15"/>
  <c r="D355" i="15"/>
  <c r="D443" i="15"/>
  <c r="J363" i="15"/>
  <c r="D20" i="28"/>
  <c r="D36" i="28"/>
  <c r="J440" i="15"/>
  <c r="J326" i="15"/>
  <c r="J429" i="15"/>
  <c r="D181" i="15"/>
  <c r="J273" i="15"/>
  <c r="B12" i="15"/>
  <c r="D342" i="15"/>
  <c r="D239" i="15"/>
  <c r="J323" i="15"/>
  <c r="D403" i="15"/>
  <c r="D385" i="15"/>
  <c r="J405" i="15"/>
  <c r="B428" i="15"/>
  <c r="J403" i="15"/>
  <c r="J327" i="15"/>
  <c r="H234" i="15"/>
  <c r="D446" i="15"/>
  <c r="J339" i="15"/>
  <c r="B267" i="15"/>
  <c r="J69" i="15"/>
  <c r="J431" i="15"/>
  <c r="D373" i="15"/>
  <c r="H251" i="15"/>
  <c r="J140" i="15"/>
  <c r="H239" i="15"/>
  <c r="D380" i="15"/>
  <c r="D227" i="15"/>
  <c r="D327" i="15"/>
  <c r="J118" i="25"/>
  <c r="B378" i="15"/>
  <c r="J164" i="15"/>
  <c r="D7" i="28"/>
  <c r="B279" i="15"/>
  <c r="H339" i="15"/>
  <c r="B273" i="15"/>
  <c r="B183" i="15"/>
  <c r="B229" i="15"/>
  <c r="D253" i="15"/>
  <c r="D437" i="15"/>
  <c r="J383" i="15"/>
  <c r="D332" i="15"/>
  <c r="D85" i="28"/>
  <c r="J90" i="25"/>
  <c r="H340" i="15"/>
  <c r="H291" i="15"/>
  <c r="D367" i="15"/>
  <c r="D321" i="15"/>
  <c r="D127" i="28"/>
  <c r="D364" i="15"/>
  <c r="D357" i="15"/>
  <c r="B399" i="15"/>
  <c r="J283" i="15"/>
  <c r="J29" i="25"/>
  <c r="J44" i="15"/>
  <c r="J85" i="25"/>
  <c r="J91" i="15"/>
  <c r="J338" i="15"/>
  <c r="D295" i="15"/>
  <c r="B390" i="15"/>
  <c r="J424" i="15"/>
  <c r="D33" i="28"/>
  <c r="B260" i="15"/>
  <c r="J10" i="15"/>
  <c r="H446" i="15"/>
  <c r="J203" i="15"/>
  <c r="B199" i="15"/>
  <c r="H433" i="15"/>
  <c r="J290" i="15"/>
  <c r="D104" i="28"/>
  <c r="H382" i="15"/>
  <c r="J20" i="25"/>
  <c r="D3" i="25"/>
  <c r="H312" i="15"/>
  <c r="J213" i="15"/>
  <c r="J325" i="15"/>
  <c r="B184" i="15"/>
  <c r="H201" i="15"/>
  <c r="J82" i="15"/>
  <c r="H187" i="15"/>
  <c r="B245" i="15"/>
  <c r="J119" i="25"/>
  <c r="B429" i="15"/>
  <c r="D348" i="15"/>
  <c r="H200" i="15"/>
  <c r="O22" i="15"/>
  <c r="P22" i="15" s="1"/>
  <c r="J64" i="15"/>
  <c r="H431" i="15"/>
  <c r="D108" i="28"/>
  <c r="D366" i="15"/>
  <c r="D74" i="28"/>
  <c r="H241" i="15"/>
  <c r="J53" i="25"/>
  <c r="B222" i="15"/>
  <c r="B339" i="15"/>
  <c r="B224" i="15"/>
  <c r="J5" i="15"/>
  <c r="H355" i="15"/>
  <c r="J99" i="25"/>
  <c r="B369" i="15"/>
  <c r="J319" i="15"/>
  <c r="B355" i="15"/>
  <c r="J230" i="15"/>
  <c r="J249" i="15"/>
  <c r="D296" i="15"/>
  <c r="H318" i="15"/>
  <c r="B408" i="15"/>
  <c r="J238" i="15"/>
  <c r="B359" i="15"/>
  <c r="H328" i="15"/>
  <c r="D347" i="15"/>
  <c r="J161" i="15"/>
  <c r="B249" i="15"/>
  <c r="D223" i="15"/>
  <c r="J175" i="15"/>
  <c r="D207" i="15"/>
  <c r="H266" i="15"/>
  <c r="H360" i="15"/>
  <c r="D72" i="28"/>
  <c r="D124" i="28"/>
  <c r="H443" i="15"/>
  <c r="J59" i="15"/>
  <c r="J61" i="25"/>
  <c r="J191" i="15"/>
  <c r="H183" i="15"/>
  <c r="D261" i="15"/>
  <c r="J348" i="15"/>
  <c r="J104" i="15"/>
  <c r="B266" i="15"/>
  <c r="B298" i="15"/>
  <c r="J22" i="15"/>
  <c r="B451" i="15"/>
  <c r="D26" i="28"/>
  <c r="B206" i="15"/>
  <c r="J324" i="15"/>
  <c r="H189" i="15"/>
  <c r="D209" i="15"/>
  <c r="B3" i="15"/>
  <c r="B50" i="15"/>
  <c r="B25" i="25"/>
  <c r="B431" i="15"/>
  <c r="H447" i="15"/>
  <c r="D76" i="28"/>
  <c r="D376" i="15"/>
  <c r="H247" i="15"/>
  <c r="H357" i="15"/>
  <c r="H450" i="15"/>
  <c r="D330" i="15"/>
  <c r="D300" i="15"/>
  <c r="J351" i="15"/>
  <c r="H423" i="15"/>
  <c r="D303" i="15"/>
  <c r="J82" i="25"/>
  <c r="B406" i="15"/>
  <c r="J337" i="15"/>
  <c r="D174" i="15"/>
  <c r="J66" i="15"/>
  <c r="H376" i="15"/>
  <c r="J35" i="15"/>
  <c r="B444" i="15"/>
  <c r="B447" i="15"/>
  <c r="J398" i="15"/>
  <c r="H98" i="15"/>
  <c r="U50" i="15"/>
  <c r="B79" i="15"/>
  <c r="B16" i="28"/>
  <c r="B47" i="25"/>
  <c r="B23" i="15"/>
  <c r="B77" i="25"/>
  <c r="B47" i="15"/>
  <c r="B31" i="25"/>
  <c r="B33" i="15"/>
  <c r="B36" i="25"/>
  <c r="D66" i="28"/>
  <c r="J31" i="25"/>
  <c r="J287" i="15"/>
  <c r="H348" i="15"/>
  <c r="D193" i="15"/>
  <c r="J255" i="15"/>
  <c r="J80" i="15"/>
  <c r="J28" i="15"/>
  <c r="H381" i="15"/>
  <c r="B334" i="15"/>
  <c r="H270" i="15"/>
  <c r="J354" i="15"/>
  <c r="H449" i="15"/>
  <c r="J322" i="15"/>
  <c r="D263" i="15"/>
  <c r="D64" i="28"/>
  <c r="D431" i="15"/>
  <c r="J222" i="15"/>
  <c r="B306" i="15"/>
  <c r="H179" i="15"/>
  <c r="B192" i="15"/>
  <c r="B265" i="15"/>
  <c r="G6" i="14"/>
  <c r="G77" i="26"/>
  <c r="B50" i="28"/>
  <c r="B49" i="26"/>
  <c r="C49" i="26" s="1"/>
  <c r="O49" i="15"/>
  <c r="P49" i="15" s="1"/>
  <c r="E9" i="14"/>
  <c r="H69" i="25"/>
  <c r="B27" i="15"/>
  <c r="B33" i="25"/>
  <c r="B58" i="25"/>
  <c r="B54" i="25"/>
  <c r="B29" i="25"/>
  <c r="B22" i="28"/>
  <c r="J314" i="15"/>
  <c r="J433" i="15"/>
  <c r="J70" i="15"/>
  <c r="D260" i="15"/>
  <c r="B232" i="15"/>
  <c r="J243" i="15"/>
  <c r="J68" i="15"/>
  <c r="D23" i="28"/>
  <c r="J34" i="15"/>
  <c r="J411" i="15"/>
  <c r="D56" i="28"/>
  <c r="J224" i="15"/>
  <c r="D32" i="28"/>
  <c r="D133" i="28"/>
  <c r="J74" i="25"/>
  <c r="D243" i="15"/>
  <c r="J41" i="25"/>
  <c r="H319" i="15"/>
  <c r="H182" i="15"/>
  <c r="B381" i="15"/>
  <c r="B213" i="15"/>
  <c r="J84" i="15"/>
  <c r="D101" i="28"/>
  <c r="J17" i="15"/>
  <c r="O98" i="15"/>
  <c r="P98" i="15" s="1"/>
  <c r="M9" i="14"/>
  <c r="B78" i="15"/>
  <c r="D88" i="25"/>
  <c r="D39" i="25"/>
  <c r="B59" i="15"/>
  <c r="D33" i="25"/>
  <c r="B21" i="15"/>
  <c r="J115" i="15"/>
  <c r="D82" i="28"/>
  <c r="B435" i="15"/>
  <c r="J353" i="15"/>
  <c r="B303" i="15"/>
  <c r="D251" i="15"/>
  <c r="J121" i="25"/>
  <c r="B246" i="15"/>
  <c r="B445" i="15"/>
  <c r="D346" i="15"/>
  <c r="D353" i="15"/>
  <c r="J108" i="15"/>
  <c r="J218" i="15"/>
  <c r="J7" i="25"/>
  <c r="J129" i="15"/>
  <c r="J402" i="15"/>
  <c r="J347" i="15"/>
  <c r="D55" i="28"/>
  <c r="D288" i="15"/>
  <c r="H274" i="15"/>
  <c r="B188" i="15"/>
  <c r="J159" i="15"/>
  <c r="G75" i="26"/>
  <c r="B55" i="25"/>
  <c r="D25" i="25"/>
  <c r="D112" i="25"/>
  <c r="H60" i="25"/>
  <c r="B62" i="25"/>
  <c r="B63" i="15"/>
  <c r="B11" i="15"/>
  <c r="B26" i="15"/>
  <c r="J103" i="25"/>
  <c r="D96" i="28"/>
  <c r="B225" i="15"/>
  <c r="D414" i="15"/>
  <c r="H363" i="15"/>
  <c r="H215" i="15"/>
  <c r="J9" i="25"/>
  <c r="D229" i="15"/>
  <c r="J13" i="15"/>
  <c r="D196" i="15"/>
  <c r="D8" i="28"/>
  <c r="J49" i="15"/>
  <c r="J355" i="15"/>
  <c r="J176" i="15"/>
  <c r="B383" i="15"/>
  <c r="D334" i="15"/>
  <c r="D132" i="28"/>
  <c r="J430" i="15"/>
  <c r="H268" i="15"/>
  <c r="J446" i="15"/>
  <c r="J195" i="15"/>
  <c r="J204" i="15"/>
  <c r="H390" i="15"/>
  <c r="D299" i="15"/>
  <c r="D47" i="28"/>
  <c r="J42" i="25"/>
  <c r="H252" i="15"/>
  <c r="D222" i="15"/>
  <c r="J7" i="15"/>
  <c r="D384" i="15"/>
  <c r="J333" i="15"/>
  <c r="D322" i="15"/>
  <c r="H254" i="15"/>
  <c r="J104" i="25"/>
  <c r="H429" i="15"/>
  <c r="J95" i="25"/>
  <c r="B216" i="15"/>
  <c r="O105" i="15"/>
  <c r="P105" i="15" s="1"/>
  <c r="T105" i="15" s="1"/>
  <c r="S105" i="15" s="1"/>
  <c r="B30" i="26"/>
  <c r="C30" i="26" s="1"/>
  <c r="D36" i="25"/>
  <c r="D113" i="25"/>
  <c r="B91" i="15"/>
  <c r="H27" i="25"/>
  <c r="D112" i="15"/>
  <c r="B41" i="15"/>
  <c r="D64" i="15"/>
  <c r="D13" i="25"/>
  <c r="B74" i="25"/>
  <c r="D14" i="15"/>
  <c r="B46" i="15"/>
  <c r="B236" i="15"/>
  <c r="H253" i="15"/>
  <c r="H384" i="15"/>
  <c r="J418" i="15"/>
  <c r="J311" i="15"/>
  <c r="B194" i="15"/>
  <c r="H326" i="15"/>
  <c r="J132" i="15"/>
  <c r="D433" i="15"/>
  <c r="J74" i="15"/>
  <c r="J227" i="15"/>
  <c r="J245" i="15"/>
  <c r="D338" i="15"/>
  <c r="J23" i="15"/>
  <c r="D307" i="15"/>
  <c r="D359" i="15"/>
  <c r="B314" i="15"/>
  <c r="B19" i="25"/>
  <c r="J171" i="15"/>
  <c r="B272" i="15"/>
  <c r="J4" i="15"/>
  <c r="D301" i="15"/>
  <c r="D27" i="25"/>
  <c r="B66" i="15"/>
  <c r="B46" i="25"/>
  <c r="B10" i="15"/>
  <c r="B90" i="25"/>
  <c r="B78" i="25"/>
  <c r="D18" i="25"/>
  <c r="B77" i="15"/>
  <c r="D238" i="15"/>
  <c r="D328" i="15"/>
  <c r="J51" i="25"/>
  <c r="J330" i="15"/>
  <c r="J328" i="15"/>
  <c r="D256" i="15"/>
  <c r="B228" i="15"/>
  <c r="D45" i="28"/>
  <c r="D176" i="15"/>
  <c r="J253" i="15"/>
  <c r="H342" i="15"/>
  <c r="H232" i="15"/>
  <c r="D424" i="15"/>
  <c r="H410" i="15"/>
  <c r="H313" i="15"/>
  <c r="H180" i="15"/>
  <c r="B425" i="15"/>
  <c r="D73" i="28"/>
  <c r="D294" i="15"/>
  <c r="J211" i="15"/>
  <c r="J182" i="15"/>
  <c r="B404" i="15"/>
  <c r="B75" i="25"/>
  <c r="B40" i="25"/>
  <c r="B26" i="26"/>
  <c r="C26" i="26" s="1"/>
  <c r="G26" i="26" s="1"/>
  <c r="D27" i="15"/>
  <c r="H64" i="25"/>
  <c r="B18" i="25"/>
  <c r="H88" i="25"/>
  <c r="B86" i="15"/>
  <c r="B12" i="25"/>
  <c r="B7" i="25"/>
  <c r="J294" i="15"/>
  <c r="D302" i="15"/>
  <c r="D173" i="15"/>
  <c r="B386" i="15"/>
  <c r="H414" i="15"/>
  <c r="H401" i="15"/>
  <c r="J76" i="15"/>
  <c r="B348" i="15"/>
  <c r="J75" i="15"/>
  <c r="D34" i="28"/>
  <c r="D289" i="15"/>
  <c r="D70" i="28"/>
  <c r="D397" i="15"/>
  <c r="H218" i="15"/>
  <c r="H224" i="15"/>
  <c r="D134" i="28"/>
  <c r="J12" i="25"/>
  <c r="B175" i="15"/>
  <c r="J212" i="15"/>
  <c r="J421" i="15"/>
  <c r="B449" i="15"/>
  <c r="H257" i="15"/>
  <c r="D11" i="28"/>
  <c r="F118" i="26"/>
  <c r="E118" i="26" s="1"/>
  <c r="G118" i="26"/>
  <c r="F126" i="26"/>
  <c r="E126" i="26" s="1"/>
  <c r="G126" i="26"/>
  <c r="B162" i="15"/>
  <c r="J220" i="15"/>
  <c r="B319" i="15"/>
  <c r="D22" i="25"/>
  <c r="J289" i="15"/>
  <c r="J2" i="15"/>
  <c r="L2" i="12" s="1"/>
  <c r="M2" i="12" s="1"/>
  <c r="H422" i="15"/>
  <c r="J120" i="25"/>
  <c r="J313" i="15"/>
  <c r="J97" i="15"/>
  <c r="H230" i="15"/>
  <c r="J268" i="15"/>
  <c r="D278" i="15"/>
  <c r="B345" i="15"/>
  <c r="D271" i="15"/>
  <c r="D312" i="15"/>
  <c r="J53" i="15"/>
  <c r="B304" i="15"/>
  <c r="H322" i="15"/>
  <c r="B326" i="15"/>
  <c r="B401" i="15"/>
  <c r="B299" i="15"/>
  <c r="B305" i="15"/>
  <c r="J229" i="15"/>
  <c r="J419" i="15"/>
  <c r="H416" i="15"/>
  <c r="B292" i="15"/>
  <c r="D71" i="28"/>
  <c r="J67" i="25"/>
  <c r="B420" i="15"/>
  <c r="J34" i="25"/>
  <c r="D245" i="15"/>
  <c r="J28" i="25"/>
  <c r="B13" i="25"/>
  <c r="B3" i="25"/>
  <c r="D9" i="28"/>
  <c r="J30" i="25"/>
  <c r="B450" i="15"/>
  <c r="H184" i="15"/>
  <c r="H377" i="15"/>
  <c r="J408" i="15"/>
  <c r="B395" i="15"/>
  <c r="H424" i="15"/>
  <c r="J60" i="15"/>
  <c r="D358" i="15"/>
  <c r="B397" i="15"/>
  <c r="J157" i="15"/>
  <c r="D18" i="28"/>
  <c r="H217" i="15"/>
  <c r="J36" i="15"/>
  <c r="J103" i="15"/>
  <c r="J107" i="25"/>
  <c r="D204" i="15"/>
  <c r="J63" i="15"/>
  <c r="B217" i="15"/>
  <c r="B312" i="15"/>
  <c r="B370" i="15"/>
  <c r="B377" i="15"/>
  <c r="J45" i="25"/>
  <c r="H367" i="15"/>
  <c r="D90" i="28"/>
  <c r="D226" i="15"/>
  <c r="H325" i="15"/>
  <c r="J265" i="15"/>
  <c r="H362" i="15"/>
  <c r="D53" i="28"/>
  <c r="J372" i="15"/>
  <c r="D436" i="15"/>
  <c r="D114" i="28"/>
  <c r="J370" i="15"/>
  <c r="J264" i="15"/>
  <c r="H436" i="15"/>
  <c r="B294" i="15"/>
  <c r="H365" i="15"/>
  <c r="D78" i="28"/>
  <c r="D421" i="15"/>
  <c r="H324" i="15"/>
  <c r="D451" i="15"/>
  <c r="D310" i="15"/>
  <c r="B324" i="15"/>
  <c r="D363" i="15"/>
  <c r="J50" i="25"/>
  <c r="H439" i="15"/>
  <c r="J154" i="15"/>
  <c r="J444" i="15"/>
  <c r="H283" i="15"/>
  <c r="D246" i="15"/>
  <c r="H186" i="15"/>
  <c r="J62" i="25"/>
  <c r="D100" i="28"/>
  <c r="B251" i="15"/>
  <c r="D122" i="28"/>
  <c r="H298" i="15"/>
  <c r="J316" i="15"/>
  <c r="J381" i="15"/>
  <c r="J186" i="15"/>
  <c r="D125" i="28"/>
  <c r="J73" i="25"/>
  <c r="D287" i="15"/>
  <c r="J99" i="15"/>
  <c r="B7" i="15"/>
  <c r="D97" i="28"/>
  <c r="B330" i="15"/>
  <c r="H415" i="15"/>
  <c r="D98" i="28"/>
  <c r="J124" i="25"/>
  <c r="B421" i="15"/>
  <c r="B218" i="15"/>
  <c r="D3" i="28"/>
  <c r="H343" i="15"/>
  <c r="B446" i="15"/>
  <c r="B347" i="15"/>
  <c r="B402" i="15"/>
  <c r="H242" i="15"/>
  <c r="J70" i="25"/>
  <c r="D2" i="28"/>
  <c r="D139" i="28"/>
  <c r="D48" i="28"/>
  <c r="H190" i="15"/>
  <c r="H358" i="15"/>
  <c r="H290" i="15"/>
  <c r="J98" i="15"/>
  <c r="J274" i="15"/>
  <c r="J375" i="15"/>
  <c r="J18" i="25"/>
  <c r="J5" i="25"/>
  <c r="J180" i="15"/>
  <c r="H202" i="15"/>
  <c r="B295" i="15"/>
  <c r="B328" i="15"/>
  <c r="D423" i="15"/>
  <c r="J110" i="25"/>
  <c r="D17" i="28"/>
  <c r="H316" i="15"/>
  <c r="H420" i="15"/>
  <c r="D390" i="15"/>
  <c r="D273" i="15"/>
  <c r="D410" i="15"/>
  <c r="J91" i="25"/>
  <c r="H351" i="15"/>
  <c r="J107" i="15"/>
  <c r="J94" i="25"/>
  <c r="B268" i="15"/>
  <c r="J56" i="25"/>
  <c r="B291" i="15"/>
  <c r="B243" i="15"/>
  <c r="J26" i="15"/>
  <c r="D143" i="28"/>
  <c r="J360" i="15"/>
  <c r="J436" i="15"/>
  <c r="J76" i="25"/>
  <c r="H441" i="15"/>
  <c r="J112" i="25"/>
  <c r="J123" i="15"/>
  <c r="F8" i="28"/>
  <c r="B8" i="28" s="1"/>
  <c r="J257" i="15"/>
  <c r="H285" i="15"/>
  <c r="J8" i="25"/>
  <c r="J88" i="25"/>
  <c r="H208" i="15"/>
  <c r="D119" i="28"/>
  <c r="H335" i="15"/>
  <c r="B2" i="28"/>
  <c r="J172" i="15"/>
  <c r="B436" i="15"/>
  <c r="B219" i="15"/>
  <c r="J356" i="15"/>
  <c r="D379" i="15"/>
  <c r="D110" i="28"/>
  <c r="D201" i="15"/>
  <c r="B296" i="15"/>
  <c r="D105" i="28"/>
  <c r="H255" i="15"/>
  <c r="J87" i="25"/>
  <c r="J367" i="15"/>
  <c r="J412" i="15"/>
  <c r="D388" i="15"/>
  <c r="D324" i="15"/>
  <c r="D199" i="15"/>
  <c r="J202" i="15"/>
  <c r="J225" i="15"/>
  <c r="B432" i="15"/>
  <c r="H438" i="15"/>
  <c r="H380" i="15"/>
  <c r="D81" i="28"/>
  <c r="J199" i="15"/>
  <c r="D311" i="15"/>
  <c r="J43" i="25"/>
  <c r="J21" i="25"/>
  <c r="J13" i="25"/>
  <c r="D415" i="15"/>
  <c r="B193" i="15"/>
  <c r="B437" i="15"/>
  <c r="J279" i="15"/>
  <c r="D280" i="15"/>
  <c r="D30" i="28"/>
  <c r="D187" i="15"/>
  <c r="H327" i="15"/>
  <c r="B351" i="15"/>
  <c r="J52" i="15"/>
  <c r="J207" i="15"/>
  <c r="D428" i="15"/>
  <c r="J317" i="15"/>
  <c r="D83" i="28"/>
  <c r="J299" i="15"/>
  <c r="H199" i="15"/>
  <c r="J110" i="15"/>
  <c r="H15" i="25"/>
  <c r="B280" i="15"/>
  <c r="B403" i="15"/>
  <c r="J145" i="15"/>
  <c r="J95" i="15"/>
  <c r="D59" i="28"/>
  <c r="D29" i="28"/>
  <c r="D370" i="15"/>
  <c r="J116" i="25"/>
  <c r="H393" i="15"/>
  <c r="H176" i="15"/>
  <c r="H195" i="15"/>
  <c r="H398" i="15"/>
  <c r="D202" i="15"/>
  <c r="H188" i="15"/>
  <c r="J298" i="15"/>
  <c r="D435" i="15"/>
  <c r="H284" i="15"/>
  <c r="D77" i="28"/>
  <c r="J276" i="15"/>
  <c r="J410" i="15"/>
  <c r="J269" i="15"/>
  <c r="J45" i="15"/>
  <c r="J33" i="15"/>
  <c r="J57" i="15"/>
  <c r="J361" i="15"/>
  <c r="J94" i="15"/>
  <c r="B376" i="15"/>
  <c r="J40" i="25"/>
  <c r="J39" i="25"/>
  <c r="J422" i="15"/>
  <c r="J89" i="15"/>
  <c r="J86" i="15"/>
  <c r="H210" i="15"/>
  <c r="D258" i="15"/>
  <c r="J256" i="15"/>
  <c r="J280" i="15"/>
  <c r="B190" i="15"/>
  <c r="J65" i="15"/>
  <c r="H347" i="15"/>
  <c r="B384" i="15"/>
  <c r="H207" i="15"/>
  <c r="H321" i="15"/>
  <c r="J127" i="15"/>
  <c r="J382" i="15"/>
  <c r="D297" i="15"/>
  <c r="J37" i="15"/>
  <c r="J16" i="25"/>
  <c r="J228" i="15"/>
  <c r="H359" i="15"/>
  <c r="B405" i="15"/>
  <c r="B373" i="15"/>
  <c r="D92" i="28"/>
  <c r="J85" i="15"/>
  <c r="J92" i="15"/>
  <c r="J248" i="15"/>
  <c r="J231" i="15"/>
  <c r="B230" i="15"/>
  <c r="H311" i="15"/>
  <c r="J24" i="15"/>
  <c r="D102" i="28"/>
  <c r="J178" i="15"/>
  <c r="J102" i="25"/>
  <c r="J259" i="15"/>
  <c r="J241" i="15"/>
  <c r="D398" i="15"/>
  <c r="B363" i="15"/>
  <c r="B284" i="15"/>
  <c r="D129" i="15"/>
  <c r="D304" i="15"/>
  <c r="H297" i="15"/>
  <c r="J93" i="25"/>
  <c r="D215" i="15"/>
  <c r="J442" i="15"/>
  <c r="B289" i="15"/>
  <c r="D68" i="28"/>
  <c r="B419" i="15"/>
  <c r="D63" i="28"/>
  <c r="B181" i="15"/>
  <c r="D111" i="28"/>
  <c r="J262" i="15"/>
  <c r="J79" i="15"/>
  <c r="D402" i="15"/>
  <c r="H303" i="15"/>
  <c r="H206" i="15"/>
  <c r="J392" i="15"/>
  <c r="D214" i="15"/>
  <c r="B189" i="15"/>
  <c r="J423" i="15"/>
  <c r="D413" i="15"/>
  <c r="D259" i="15"/>
  <c r="B380" i="15"/>
  <c r="D177" i="15"/>
  <c r="D232" i="15"/>
  <c r="J25" i="25"/>
  <c r="H3" i="25"/>
  <c r="B385" i="15"/>
  <c r="B231" i="15"/>
  <c r="J385" i="15"/>
  <c r="D375" i="15"/>
  <c r="J396" i="15"/>
  <c r="J66" i="25"/>
  <c r="B276" i="15"/>
  <c r="B441" i="15"/>
  <c r="J32" i="15"/>
  <c r="B371" i="15"/>
  <c r="J282" i="15"/>
  <c r="D268" i="15"/>
  <c r="J29" i="15"/>
  <c r="B400" i="15"/>
  <c r="J173" i="15"/>
  <c r="H404" i="15"/>
  <c r="D118" i="28"/>
  <c r="D39" i="28"/>
  <c r="B341" i="15"/>
  <c r="D265" i="15"/>
  <c r="H386" i="15"/>
  <c r="B413" i="15"/>
  <c r="B244" i="15"/>
  <c r="J153" i="15"/>
  <c r="J441" i="15"/>
  <c r="B185" i="15"/>
  <c r="H271" i="15"/>
  <c r="D61" i="28"/>
  <c r="J27" i="15"/>
  <c r="J209" i="15"/>
  <c r="D42" i="28"/>
  <c r="D336" i="15"/>
  <c r="H329" i="15"/>
  <c r="B2" i="26"/>
  <c r="C2" i="26" s="1"/>
  <c r="F2" i="26" s="1"/>
  <c r="E2" i="26" s="1"/>
  <c r="B250" i="15"/>
  <c r="J12" i="15"/>
  <c r="B427" i="15"/>
  <c r="D213" i="15"/>
  <c r="J150" i="15"/>
  <c r="J366" i="15"/>
  <c r="J232" i="15"/>
  <c r="J179" i="15"/>
  <c r="J251" i="15"/>
  <c r="D189" i="15"/>
  <c r="D67" i="28"/>
  <c r="D438" i="15"/>
  <c r="J302" i="15"/>
  <c r="J47" i="25"/>
  <c r="H320" i="15"/>
  <c r="J126" i="15"/>
  <c r="J270" i="15"/>
  <c r="H279" i="15"/>
  <c r="D180" i="15"/>
  <c r="D84" i="28"/>
  <c r="H256" i="15"/>
  <c r="B207" i="15"/>
  <c r="J111" i="25"/>
  <c r="D89" i="28"/>
  <c r="B300" i="15"/>
  <c r="B396" i="15"/>
  <c r="J332" i="15"/>
  <c r="J19" i="15"/>
  <c r="J420" i="15"/>
  <c r="J36" i="25"/>
  <c r="B329" i="15"/>
  <c r="D329" i="15"/>
  <c r="J100" i="25"/>
  <c r="J208" i="15"/>
  <c r="D434" i="15"/>
  <c r="J391" i="15"/>
  <c r="D417" i="15"/>
  <c r="B210" i="15"/>
  <c r="D8" i="25"/>
  <c r="J128" i="15"/>
  <c r="D323" i="15"/>
  <c r="B173" i="15"/>
  <c r="D309" i="15"/>
  <c r="B357" i="15"/>
  <c r="D27" i="28"/>
  <c r="J358" i="15"/>
  <c r="D225" i="15"/>
  <c r="D219" i="15"/>
  <c r="B177" i="15"/>
  <c r="B332" i="15"/>
  <c r="B234" i="15"/>
  <c r="J380" i="15"/>
  <c r="J377" i="15"/>
  <c r="B389" i="15"/>
  <c r="D49" i="28"/>
  <c r="B198" i="15"/>
  <c r="B209" i="15"/>
  <c r="D292" i="15"/>
  <c r="M24" i="14"/>
  <c r="U118" i="15"/>
  <c r="G125" i="26"/>
  <c r="U120" i="15"/>
  <c r="G124" i="26"/>
  <c r="D449" i="15"/>
  <c r="B116" i="25"/>
  <c r="U123" i="15"/>
  <c r="J8" i="15"/>
  <c r="G121" i="26"/>
  <c r="B202" i="15"/>
  <c r="T3" i="15"/>
  <c r="S3" i="15" s="1"/>
  <c r="U3" i="15"/>
  <c r="U36" i="15"/>
  <c r="G9" i="26"/>
  <c r="F9" i="26"/>
  <c r="E9" i="26" s="1"/>
  <c r="G88" i="26"/>
  <c r="F88" i="26"/>
  <c r="E88" i="26" s="1"/>
  <c r="G72" i="26"/>
  <c r="F72" i="26"/>
  <c r="E72" i="26" s="1"/>
  <c r="T97" i="15"/>
  <c r="S97" i="15" s="1"/>
  <c r="U63" i="15"/>
  <c r="T63" i="15"/>
  <c r="S63" i="15" s="1"/>
  <c r="T19" i="15"/>
  <c r="S19" i="15" s="1"/>
  <c r="U19" i="15"/>
  <c r="U8" i="15"/>
  <c r="T8" i="15"/>
  <c r="S8" i="15" s="1"/>
  <c r="U37" i="15"/>
  <c r="T37" i="15"/>
  <c r="S37" i="15" s="1"/>
  <c r="U41" i="15"/>
  <c r="T41" i="15"/>
  <c r="S41" i="15" s="1"/>
  <c r="U66" i="15"/>
  <c r="T66" i="15"/>
  <c r="S66" i="15" s="1"/>
  <c r="G93" i="26"/>
  <c r="T18" i="15"/>
  <c r="S18" i="15" s="1"/>
  <c r="G55" i="26"/>
  <c r="F55" i="26"/>
  <c r="E55" i="26" s="1"/>
  <c r="T91" i="15"/>
  <c r="S91" i="15" s="1"/>
  <c r="T6" i="15"/>
  <c r="S6" i="15" s="1"/>
  <c r="U6" i="15"/>
  <c r="U86" i="15"/>
  <c r="T86" i="15"/>
  <c r="S86" i="15" s="1"/>
  <c r="H23" i="15"/>
  <c r="H23" i="25"/>
  <c r="B23" i="28"/>
  <c r="B22" i="26"/>
  <c r="C22" i="26" s="1"/>
  <c r="D29" i="25"/>
  <c r="I9" i="13"/>
  <c r="D29" i="15"/>
  <c r="G16" i="26"/>
  <c r="F16" i="26"/>
  <c r="E16" i="26" s="1"/>
  <c r="U59" i="15"/>
  <c r="T59" i="15"/>
  <c r="S59" i="15" s="1"/>
  <c r="H79" i="15"/>
  <c r="B78" i="26"/>
  <c r="C78" i="26" s="1"/>
  <c r="B79" i="28"/>
  <c r="O79" i="15"/>
  <c r="P79" i="15" s="1"/>
  <c r="U32" i="15"/>
  <c r="T32" i="15"/>
  <c r="S32" i="15" s="1"/>
  <c r="O112" i="15"/>
  <c r="P112" i="15" s="1"/>
  <c r="B111" i="26"/>
  <c r="C111" i="26" s="1"/>
  <c r="B112" i="28"/>
  <c r="H112" i="15"/>
  <c r="H99" i="25"/>
  <c r="H99" i="15"/>
  <c r="B98" i="26"/>
  <c r="C98" i="26" s="1"/>
  <c r="D7" i="25"/>
  <c r="I18" i="13"/>
  <c r="F45" i="26"/>
  <c r="E45" i="26" s="1"/>
  <c r="G45" i="26"/>
  <c r="H87" i="25"/>
  <c r="B87" i="28"/>
  <c r="G74" i="26"/>
  <c r="F74" i="26"/>
  <c r="E74" i="26" s="1"/>
  <c r="U94" i="15"/>
  <c r="G101" i="26"/>
  <c r="F101" i="26"/>
  <c r="E101" i="26" s="1"/>
  <c r="T51" i="15"/>
  <c r="S51" i="15" s="1"/>
  <c r="U51" i="15"/>
  <c r="U101" i="15"/>
  <c r="T101" i="15"/>
  <c r="S101" i="15" s="1"/>
  <c r="B93" i="28"/>
  <c r="H93" i="15"/>
  <c r="B92" i="26"/>
  <c r="C92" i="26" s="1"/>
  <c r="H93" i="25"/>
  <c r="B13" i="26"/>
  <c r="C13" i="26" s="1"/>
  <c r="B13" i="28"/>
  <c r="H13" i="25"/>
  <c r="H13" i="15"/>
  <c r="O13" i="15"/>
  <c r="P13" i="15" s="1"/>
  <c r="U27" i="15"/>
  <c r="T27" i="15"/>
  <c r="S27" i="15" s="1"/>
  <c r="G58" i="26"/>
  <c r="D64" i="25"/>
  <c r="B24" i="15"/>
  <c r="B16" i="25"/>
  <c r="H174" i="15"/>
  <c r="J329" i="15"/>
  <c r="H287" i="15"/>
  <c r="D113" i="28"/>
  <c r="H337" i="15"/>
  <c r="H334" i="15"/>
  <c r="H397" i="15"/>
  <c r="J342" i="15"/>
  <c r="B335" i="15"/>
  <c r="H317" i="15"/>
  <c r="O14" i="15"/>
  <c r="P14" i="15" s="1"/>
  <c r="B263" i="15"/>
  <c r="H451" i="15"/>
  <c r="H440" i="15"/>
  <c r="H280" i="15"/>
  <c r="J401" i="15"/>
  <c r="B344" i="15"/>
  <c r="H259" i="15"/>
  <c r="J71" i="25"/>
  <c r="J310" i="15"/>
  <c r="F122" i="26"/>
  <c r="E122" i="26" s="1"/>
  <c r="G122" i="26"/>
  <c r="B164" i="15"/>
  <c r="H131" i="15"/>
  <c r="B111" i="15"/>
  <c r="O46" i="15"/>
  <c r="P46" i="15" s="1"/>
  <c r="D46" i="28"/>
  <c r="J109" i="15"/>
  <c r="D230" i="15"/>
  <c r="B214" i="15"/>
  <c r="H219" i="15"/>
  <c r="J48" i="15"/>
  <c r="D387" i="15"/>
  <c r="H374" i="15"/>
  <c r="D198" i="15"/>
  <c r="J46" i="15"/>
  <c r="H216" i="15"/>
  <c r="J288" i="15"/>
  <c r="D140" i="28"/>
  <c r="H411" i="15"/>
  <c r="J141" i="15"/>
  <c r="D131" i="28"/>
  <c r="H378" i="15"/>
  <c r="H149" i="15"/>
  <c r="B140" i="15"/>
  <c r="B120" i="15"/>
  <c r="B84" i="15"/>
  <c r="B38" i="25"/>
  <c r="N5" i="14"/>
  <c r="D195" i="15"/>
  <c r="H389" i="15"/>
  <c r="H205" i="15"/>
  <c r="J32" i="25"/>
  <c r="D237" i="15"/>
  <c r="D116" i="28"/>
  <c r="J244" i="15"/>
  <c r="J3" i="15"/>
  <c r="J307" i="15"/>
  <c r="D212" i="15"/>
  <c r="B29" i="15"/>
  <c r="B323" i="15"/>
  <c r="D205" i="15"/>
  <c r="H314" i="15"/>
  <c r="H402" i="15"/>
  <c r="J156" i="15"/>
  <c r="B215" i="15"/>
  <c r="B362" i="15"/>
  <c r="B227" i="15"/>
  <c r="J450" i="15"/>
  <c r="B32" i="15"/>
  <c r="D25" i="15"/>
  <c r="D17" i="25"/>
  <c r="B8" i="15"/>
  <c r="J263" i="15"/>
  <c r="B340" i="15"/>
  <c r="J448" i="15"/>
  <c r="D281" i="15"/>
  <c r="B336" i="15"/>
  <c r="D279" i="15"/>
  <c r="B154" i="15"/>
  <c r="B282" i="15"/>
  <c r="D442" i="15"/>
  <c r="H356" i="15"/>
  <c r="D416" i="15"/>
  <c r="H293" i="15"/>
  <c r="J449" i="15"/>
  <c r="D5" i="28"/>
  <c r="D252" i="15"/>
  <c r="H417" i="15"/>
  <c r="D93" i="28"/>
  <c r="D447" i="15"/>
  <c r="B159" i="15"/>
  <c r="B72" i="15"/>
  <c r="B136" i="15"/>
  <c r="J432" i="15"/>
  <c r="B313" i="15"/>
  <c r="D293" i="15"/>
  <c r="D422" i="15"/>
  <c r="B156" i="15"/>
  <c r="H240" i="15"/>
  <c r="B8" i="25"/>
  <c r="B211" i="15"/>
  <c r="J226" i="15"/>
  <c r="J258" i="15"/>
  <c r="D128" i="28"/>
  <c r="J305" i="15"/>
  <c r="H369" i="15"/>
  <c r="H22" i="15"/>
  <c r="H8" i="25"/>
  <c r="J136" i="15"/>
  <c r="B264" i="15"/>
  <c r="D188" i="15"/>
  <c r="B301" i="15"/>
  <c r="B346" i="15"/>
  <c r="H395" i="15"/>
  <c r="J331" i="15"/>
  <c r="B91" i="25"/>
  <c r="B44" i="15"/>
  <c r="D67" i="15"/>
  <c r="B70" i="25"/>
  <c r="D71" i="25"/>
  <c r="H79" i="25"/>
  <c r="D101" i="15"/>
  <c r="B104" i="15"/>
  <c r="B133" i="15"/>
  <c r="H150" i="15"/>
  <c r="B152" i="15"/>
  <c r="H153" i="15"/>
  <c r="H157" i="15"/>
  <c r="B375" i="15"/>
  <c r="J439" i="15"/>
  <c r="D51" i="28"/>
  <c r="J242" i="15"/>
  <c r="J254" i="15"/>
  <c r="D247" i="15"/>
  <c r="J124" i="15"/>
  <c r="J373" i="15"/>
  <c r="D75" i="28"/>
  <c r="B349" i="15"/>
  <c r="H282" i="15"/>
  <c r="B438" i="15"/>
  <c r="J58" i="15"/>
  <c r="B414" i="15"/>
  <c r="B4" i="15"/>
  <c r="B5" i="25"/>
  <c r="B25" i="15"/>
  <c r="B49" i="15"/>
  <c r="D61" i="25"/>
  <c r="B66" i="25"/>
  <c r="O75" i="15"/>
  <c r="P75" i="15" s="1"/>
  <c r="H76" i="25"/>
  <c r="B93" i="25"/>
  <c r="B99" i="15"/>
  <c r="B100" i="25"/>
  <c r="B112" i="25"/>
  <c r="B118" i="15"/>
  <c r="H119" i="25"/>
  <c r="B129" i="15"/>
  <c r="D139" i="15"/>
  <c r="B141" i="15"/>
  <c r="B143" i="15"/>
  <c r="B147" i="15"/>
  <c r="H163" i="15"/>
  <c r="D249" i="15"/>
  <c r="H191" i="15"/>
  <c r="D50" i="28"/>
  <c r="J404" i="15"/>
  <c r="D117" i="28"/>
  <c r="B394" i="15"/>
  <c r="J114" i="25"/>
  <c r="B352" i="15"/>
  <c r="J134" i="15"/>
  <c r="B392" i="15"/>
  <c r="H323" i="15"/>
  <c r="J63" i="25"/>
  <c r="B21" i="26"/>
  <c r="C21" i="26" s="1"/>
  <c r="B35" i="25"/>
  <c r="B60" i="25"/>
  <c r="B83" i="25"/>
  <c r="B88" i="15"/>
  <c r="B121" i="15"/>
  <c r="D123" i="25"/>
  <c r="B125" i="15"/>
  <c r="D127" i="15"/>
  <c r="B130" i="28"/>
  <c r="D137" i="15"/>
  <c r="H142" i="15"/>
  <c r="D145" i="15"/>
  <c r="D148" i="15"/>
  <c r="B165" i="15"/>
  <c r="B168" i="15"/>
  <c r="H171" i="15"/>
  <c r="D32" i="15"/>
  <c r="D38" i="15"/>
  <c r="B40" i="15"/>
  <c r="B51" i="25"/>
  <c r="B57" i="25"/>
  <c r="D63" i="25"/>
  <c r="B65" i="25"/>
  <c r="D78" i="25"/>
  <c r="D94" i="15"/>
  <c r="B96" i="25"/>
  <c r="B106" i="25"/>
  <c r="D122" i="15"/>
  <c r="B109" i="15"/>
  <c r="B126" i="15"/>
  <c r="B132" i="15"/>
  <c r="B135" i="15"/>
  <c r="B161" i="15"/>
  <c r="H379" i="15"/>
  <c r="D425" i="15"/>
  <c r="J93" i="15"/>
  <c r="B360" i="15"/>
  <c r="H368" i="15"/>
  <c r="D123" i="28"/>
  <c r="H300" i="15"/>
  <c r="D406" i="15"/>
  <c r="H263" i="15"/>
  <c r="J18" i="15"/>
  <c r="H364" i="15"/>
  <c r="J115" i="25"/>
  <c r="J72" i="25"/>
  <c r="H307" i="15"/>
  <c r="B37" i="25"/>
  <c r="B68" i="15"/>
  <c r="B69" i="25"/>
  <c r="D74" i="25"/>
  <c r="B80" i="15"/>
  <c r="B102" i="15"/>
  <c r="B103" i="25"/>
  <c r="B151" i="15"/>
  <c r="B158" i="15"/>
  <c r="H159" i="15"/>
  <c r="H162" i="15"/>
  <c r="H444" i="15"/>
  <c r="B48" i="15"/>
  <c r="B73" i="15"/>
  <c r="B82" i="15"/>
  <c r="B85" i="25"/>
  <c r="D88" i="15"/>
  <c r="B92" i="15"/>
  <c r="O93" i="15"/>
  <c r="P93" i="15" s="1"/>
  <c r="O99" i="15"/>
  <c r="P99" i="15" s="1"/>
  <c r="H112" i="25"/>
  <c r="B114" i="25"/>
  <c r="B117" i="15"/>
  <c r="D121" i="25"/>
  <c r="B124" i="15"/>
  <c r="B128" i="15"/>
  <c r="B131" i="15"/>
  <c r="B138" i="15"/>
  <c r="H143" i="15"/>
  <c r="B146" i="15"/>
  <c r="H147" i="15"/>
  <c r="B149" i="15"/>
  <c r="D165" i="15"/>
  <c r="B170" i="15"/>
  <c r="B172" i="15"/>
  <c r="H197" i="15"/>
  <c r="H388" i="15"/>
  <c r="J170" i="15"/>
  <c r="B203" i="15"/>
  <c r="J435" i="15"/>
  <c r="J271" i="15"/>
  <c r="B311" i="15"/>
  <c r="B407" i="15"/>
  <c r="J21" i="15"/>
  <c r="D272" i="15"/>
  <c r="J44" i="25"/>
  <c r="D308" i="15"/>
  <c r="D401" i="15"/>
  <c r="J146" i="15"/>
  <c r="J320" i="15"/>
  <c r="B17" i="15"/>
  <c r="B34" i="15"/>
  <c r="B39" i="25"/>
  <c r="D51" i="15"/>
  <c r="B53" i="25"/>
  <c r="B64" i="15"/>
  <c r="B79" i="25"/>
  <c r="H83" i="15"/>
  <c r="B87" i="15"/>
  <c r="B95" i="25"/>
  <c r="B105" i="25"/>
  <c r="D106" i="15"/>
  <c r="B108" i="25"/>
  <c r="D115" i="25"/>
  <c r="B134" i="15"/>
  <c r="B150" i="15"/>
  <c r="B153" i="15"/>
  <c r="B157" i="15"/>
  <c r="D161" i="15"/>
  <c r="H168" i="15"/>
  <c r="B55" i="15"/>
  <c r="B64" i="26"/>
  <c r="C64" i="26" s="1"/>
  <c r="B67" i="15"/>
  <c r="D69" i="15"/>
  <c r="B71" i="15"/>
  <c r="B75" i="15"/>
  <c r="B76" i="25"/>
  <c r="D77" i="15"/>
  <c r="B101" i="15"/>
  <c r="D103" i="15"/>
  <c r="B119" i="15"/>
  <c r="H132" i="15"/>
  <c r="D151" i="15"/>
  <c r="B160" i="15"/>
  <c r="B163" i="15"/>
  <c r="B36" i="15"/>
  <c r="B61" i="15"/>
  <c r="B67" i="26"/>
  <c r="C67" i="26" s="1"/>
  <c r="D98" i="15"/>
  <c r="O102" i="15"/>
  <c r="P102" i="15" s="1"/>
  <c r="D111" i="15"/>
  <c r="B144" i="15"/>
  <c r="D140" i="15"/>
  <c r="B142" i="15"/>
  <c r="B171" i="15"/>
  <c r="J112" i="15"/>
  <c r="J239" i="15"/>
  <c r="D352" i="15"/>
  <c r="B270" i="15"/>
  <c r="J165" i="15"/>
  <c r="H258" i="15"/>
  <c r="D62" i="28"/>
  <c r="B412" i="15"/>
  <c r="D276" i="15"/>
  <c r="D40" i="28"/>
  <c r="D382" i="15"/>
  <c r="D190" i="15"/>
  <c r="J415" i="15"/>
  <c r="B14" i="25"/>
  <c r="B28" i="25"/>
  <c r="B41" i="25"/>
  <c r="B58" i="15"/>
  <c r="B59" i="28"/>
  <c r="D82" i="25"/>
  <c r="B89" i="25"/>
  <c r="B97" i="25"/>
  <c r="B110" i="25"/>
  <c r="B113" i="25"/>
  <c r="B120" i="28"/>
  <c r="B123" i="15"/>
  <c r="D124" i="25"/>
  <c r="B127" i="15"/>
  <c r="B137" i="15"/>
  <c r="B145" i="15"/>
  <c r="B148" i="15"/>
  <c r="H164" i="15"/>
  <c r="B166" i="15"/>
  <c r="H167" i="15"/>
  <c r="D170" i="15"/>
  <c r="D4" i="25"/>
  <c r="M17" i="14"/>
  <c r="H375" i="15"/>
  <c r="H203" i="15"/>
  <c r="J341" i="15"/>
  <c r="J89" i="25"/>
  <c r="D354" i="15"/>
  <c r="J151" i="15"/>
  <c r="B327" i="15"/>
  <c r="J51" i="15"/>
  <c r="H260" i="15"/>
  <c r="B338" i="15"/>
  <c r="D141" i="15"/>
  <c r="D105" i="25"/>
  <c r="B98" i="15"/>
  <c r="B63" i="25"/>
  <c r="D50" i="25"/>
  <c r="B42" i="25"/>
  <c r="D109" i="28"/>
  <c r="D210" i="15"/>
  <c r="H354" i="15"/>
  <c r="J201" i="15"/>
  <c r="B169" i="15"/>
  <c r="B114" i="28"/>
  <c r="D95" i="15"/>
  <c r="B81" i="25"/>
  <c r="D39" i="15"/>
  <c r="D3" i="15"/>
  <c r="B353" i="15"/>
  <c r="D395" i="15"/>
  <c r="B269" i="15"/>
  <c r="J92" i="25"/>
  <c r="J113" i="25"/>
  <c r="J345" i="15"/>
  <c r="D216" i="15"/>
  <c r="J6" i="25"/>
  <c r="H276" i="15"/>
  <c r="D194" i="15"/>
  <c r="B204" i="15"/>
  <c r="F119" i="26"/>
  <c r="E119" i="26" s="1"/>
  <c r="G119" i="26"/>
  <c r="B167" i="15"/>
  <c r="B9" i="15"/>
  <c r="J236" i="15"/>
  <c r="J47" i="15"/>
  <c r="D241" i="15"/>
  <c r="D372" i="15"/>
  <c r="J168" i="15"/>
  <c r="D14" i="28"/>
  <c r="B237" i="15"/>
  <c r="J359" i="15"/>
  <c r="J57" i="25"/>
  <c r="B356" i="15"/>
  <c r="H262" i="15"/>
  <c r="J147" i="15"/>
  <c r="D409" i="15"/>
  <c r="H353" i="15"/>
  <c r="J41" i="15"/>
  <c r="D2" i="25"/>
  <c r="D182" i="15"/>
  <c r="D192" i="15"/>
  <c r="D399" i="15"/>
  <c r="J267" i="15"/>
  <c r="J148" i="15"/>
  <c r="H236" i="15"/>
  <c r="H394" i="15"/>
  <c r="H172" i="15"/>
  <c r="B122" i="15"/>
  <c r="B52" i="25"/>
  <c r="B256" i="15"/>
  <c r="H405" i="15"/>
  <c r="B387" i="15"/>
  <c r="B411" i="15"/>
  <c r="B275" i="15"/>
  <c r="B180" i="15"/>
  <c r="B391" i="15"/>
  <c r="J79" i="25"/>
  <c r="B358" i="15"/>
  <c r="D6" i="28"/>
  <c r="B3" i="26"/>
  <c r="C3" i="26" s="1"/>
  <c r="D429" i="15"/>
  <c r="D134" i="15"/>
  <c r="D43" i="15"/>
  <c r="B20" i="25"/>
  <c r="D31" i="25"/>
  <c r="D24" i="25"/>
  <c r="B22" i="15"/>
  <c r="B43" i="15"/>
  <c r="B2" i="15"/>
  <c r="B56" i="15"/>
  <c r="D7" i="15"/>
  <c r="B31" i="15"/>
  <c r="D12" i="15"/>
  <c r="O23" i="15"/>
  <c r="P23" i="15" s="1"/>
  <c r="F40" i="26" l="1"/>
  <c r="E40" i="26" s="1"/>
  <c r="I20" i="12"/>
  <c r="U89" i="15"/>
  <c r="B10" i="26"/>
  <c r="C10" i="26" s="1"/>
  <c r="G10" i="26" s="1"/>
  <c r="O10" i="15"/>
  <c r="P10" i="15" s="1"/>
  <c r="B53" i="26"/>
  <c r="C53" i="26" s="1"/>
  <c r="G53" i="26" s="1"/>
  <c r="O54" i="15"/>
  <c r="P54" i="15" s="1"/>
  <c r="B54" i="28"/>
  <c r="H54" i="15"/>
  <c r="B48" i="26"/>
  <c r="C48" i="26" s="1"/>
  <c r="G48" i="26" s="1"/>
  <c r="T25" i="15"/>
  <c r="S25" i="15" s="1"/>
  <c r="T88" i="15"/>
  <c r="S88" i="15" s="1"/>
  <c r="F89" i="26"/>
  <c r="E89" i="26" s="1"/>
  <c r="H34" i="25"/>
  <c r="F81" i="26"/>
  <c r="E81" i="26" s="1"/>
  <c r="U40" i="15"/>
  <c r="G50" i="26"/>
  <c r="T47" i="15"/>
  <c r="S47" i="15" s="1"/>
  <c r="U60" i="15"/>
  <c r="F103" i="26"/>
  <c r="E103" i="26" s="1"/>
  <c r="U85" i="15"/>
  <c r="T45" i="15"/>
  <c r="S45" i="15" s="1"/>
  <c r="T53" i="15"/>
  <c r="S53" i="15" s="1"/>
  <c r="G32" i="26"/>
  <c r="G20" i="14"/>
  <c r="G24" i="14"/>
  <c r="F20" i="26"/>
  <c r="E20" i="26" s="1"/>
  <c r="F79" i="26"/>
  <c r="E79" i="26" s="1"/>
  <c r="O20" i="15"/>
  <c r="P20" i="15" s="1"/>
  <c r="U20" i="15" s="1"/>
  <c r="G5" i="14"/>
  <c r="T82" i="15"/>
  <c r="S82" i="15" s="1"/>
  <c r="G39" i="26"/>
  <c r="U73" i="15"/>
  <c r="H115" i="15"/>
  <c r="B117" i="28"/>
  <c r="B126" i="28"/>
  <c r="B114" i="26"/>
  <c r="C114" i="26" s="1"/>
  <c r="G114" i="26" s="1"/>
  <c r="F5" i="26"/>
  <c r="E5" i="26" s="1"/>
  <c r="G70" i="26"/>
  <c r="H126" i="15"/>
  <c r="B115" i="28"/>
  <c r="O115" i="15"/>
  <c r="P115" i="15" s="1"/>
  <c r="O117" i="15"/>
  <c r="P117" i="15" s="1"/>
  <c r="B116" i="26"/>
  <c r="C116" i="26" s="1"/>
  <c r="F116" i="26" s="1"/>
  <c r="E116" i="26" s="1"/>
  <c r="T16" i="15"/>
  <c r="S16" i="15" s="1"/>
  <c r="T21" i="15"/>
  <c r="S21" i="15" s="1"/>
  <c r="T30" i="15"/>
  <c r="S30" i="15" s="1"/>
  <c r="F44" i="26"/>
  <c r="E44" i="26" s="1"/>
  <c r="F82" i="26"/>
  <c r="E82" i="26" s="1"/>
  <c r="F90" i="26"/>
  <c r="E90" i="26" s="1"/>
  <c r="T104" i="15"/>
  <c r="S104" i="15" s="1"/>
  <c r="F12" i="26"/>
  <c r="E12" i="26" s="1"/>
  <c r="T81" i="15"/>
  <c r="S81" i="15" s="1"/>
  <c r="U35" i="15"/>
  <c r="I24" i="12"/>
  <c r="G22" i="14"/>
  <c r="I22" i="12"/>
  <c r="U33" i="15"/>
  <c r="O22" i="14"/>
  <c r="G35" i="26"/>
  <c r="U58" i="15"/>
  <c r="G16" i="14"/>
  <c r="O16" i="14"/>
  <c r="I16" i="12"/>
  <c r="G10" i="14"/>
  <c r="I10" i="12"/>
  <c r="U78" i="15"/>
  <c r="F104" i="26"/>
  <c r="E104" i="26" s="1"/>
  <c r="T90" i="15"/>
  <c r="S90" i="15" s="1"/>
  <c r="T15" i="15"/>
  <c r="S15" i="15" s="1"/>
  <c r="F115" i="26"/>
  <c r="E115" i="26" s="1"/>
  <c r="H124" i="15"/>
  <c r="B124" i="28"/>
  <c r="G84" i="26"/>
  <c r="T107" i="15"/>
  <c r="S107" i="15" s="1"/>
  <c r="T48" i="15"/>
  <c r="S48" i="15" s="1"/>
  <c r="G102" i="26"/>
  <c r="U72" i="15"/>
  <c r="U5" i="15"/>
  <c r="G8" i="26"/>
  <c r="F97" i="26"/>
  <c r="E97" i="26" s="1"/>
  <c r="H100" i="25"/>
  <c r="F17" i="26"/>
  <c r="E17" i="26" s="1"/>
  <c r="G106" i="26"/>
  <c r="B108" i="26"/>
  <c r="C108" i="26" s="1"/>
  <c r="B109" i="28"/>
  <c r="O109" i="15"/>
  <c r="P109" i="15" s="1"/>
  <c r="H109" i="15"/>
  <c r="T4" i="15"/>
  <c r="S4" i="15" s="1"/>
  <c r="H100" i="15"/>
  <c r="B100" i="28"/>
  <c r="F26" i="26"/>
  <c r="E26" i="26" s="1"/>
  <c r="U103" i="15"/>
  <c r="F62" i="26"/>
  <c r="E62" i="26" s="1"/>
  <c r="G99" i="26"/>
  <c r="O100" i="15"/>
  <c r="P100" i="15" s="1"/>
  <c r="G18" i="26"/>
  <c r="F69" i="26"/>
  <c r="E69" i="26" s="1"/>
  <c r="T38" i="15"/>
  <c r="S38" i="15" s="1"/>
  <c r="H74" i="15"/>
  <c r="H74" i="25"/>
  <c r="B73" i="26"/>
  <c r="C73" i="26" s="1"/>
  <c r="O74" i="15"/>
  <c r="P74" i="15" s="1"/>
  <c r="U74" i="15" s="1"/>
  <c r="F4" i="26"/>
  <c r="E4" i="26" s="1"/>
  <c r="B61" i="28"/>
  <c r="H61" i="25"/>
  <c r="U105" i="15"/>
  <c r="H49" i="25"/>
  <c r="B60" i="26"/>
  <c r="C60" i="26" s="1"/>
  <c r="F60" i="26" s="1"/>
  <c r="E60" i="26" s="1"/>
  <c r="H49" i="15"/>
  <c r="T62" i="15"/>
  <c r="S62" i="15" s="1"/>
  <c r="O61" i="15"/>
  <c r="P61" i="15" s="1"/>
  <c r="F109" i="26"/>
  <c r="E109" i="26" s="1"/>
  <c r="G87" i="26"/>
  <c r="F41" i="26"/>
  <c r="E41" i="26" s="1"/>
  <c r="F100" i="26"/>
  <c r="E100" i="26" s="1"/>
  <c r="G15" i="26"/>
  <c r="F65" i="26"/>
  <c r="E65" i="26" s="1"/>
  <c r="T80" i="15"/>
  <c r="S80" i="15" s="1"/>
  <c r="T9" i="15"/>
  <c r="S9" i="15" s="1"/>
  <c r="G85" i="26"/>
  <c r="B133" i="28"/>
  <c r="H133" i="15"/>
  <c r="T2" i="15"/>
  <c r="S2" i="15" s="1"/>
  <c r="G36" i="26"/>
  <c r="F24" i="26"/>
  <c r="E24" i="26" s="1"/>
  <c r="G24" i="26"/>
  <c r="T42" i="15"/>
  <c r="S42" i="15" s="1"/>
  <c r="G12" i="14"/>
  <c r="O12" i="14"/>
  <c r="I12" i="12"/>
  <c r="I15" i="12"/>
  <c r="O15" i="14"/>
  <c r="G15" i="14"/>
  <c r="O18" i="14"/>
  <c r="I18" i="12"/>
  <c r="G18" i="14"/>
  <c r="I14" i="12"/>
  <c r="O14" i="14"/>
  <c r="G14" i="14"/>
  <c r="O8" i="14"/>
  <c r="G8" i="14"/>
  <c r="I8" i="12"/>
  <c r="G2" i="26"/>
  <c r="G71" i="26"/>
  <c r="F71" i="26"/>
  <c r="E71" i="26" s="1"/>
  <c r="G52" i="26"/>
  <c r="T71" i="15"/>
  <c r="S71" i="15" s="1"/>
  <c r="U71" i="15"/>
  <c r="T17" i="15"/>
  <c r="S17" i="15" s="1"/>
  <c r="F80" i="26"/>
  <c r="E80" i="26" s="1"/>
  <c r="U87" i="15"/>
  <c r="T87" i="15"/>
  <c r="S87" i="15" s="1"/>
  <c r="G47" i="26"/>
  <c r="F47" i="26"/>
  <c r="E47" i="26" s="1"/>
  <c r="G38" i="26"/>
  <c r="F38" i="26"/>
  <c r="E38" i="26" s="1"/>
  <c r="H20" i="15"/>
  <c r="B20" i="28"/>
  <c r="B19" i="26"/>
  <c r="C19" i="26" s="1"/>
  <c r="G51" i="26"/>
  <c r="F51" i="26"/>
  <c r="E51" i="26" s="1"/>
  <c r="H111" i="25"/>
  <c r="H111" i="15"/>
  <c r="O111" i="15"/>
  <c r="P111" i="15" s="1"/>
  <c r="B111" i="28"/>
  <c r="H44" i="15"/>
  <c r="B44" i="28"/>
  <c r="O44" i="15"/>
  <c r="P44" i="15" s="1"/>
  <c r="H44" i="25"/>
  <c r="B43" i="26"/>
  <c r="C43" i="26" s="1"/>
  <c r="O77" i="15"/>
  <c r="P77" i="15" s="1"/>
  <c r="H77" i="15"/>
  <c r="B76" i="26"/>
  <c r="C76" i="26" s="1"/>
  <c r="H77" i="25"/>
  <c r="F83" i="26"/>
  <c r="E83" i="26" s="1"/>
  <c r="G83" i="26"/>
  <c r="G113" i="26"/>
  <c r="F113" i="26"/>
  <c r="E113" i="26" s="1"/>
  <c r="H34" i="15"/>
  <c r="B34" i="28"/>
  <c r="O34" i="15"/>
  <c r="P34" i="15" s="1"/>
  <c r="T116" i="15"/>
  <c r="S116" i="15" s="1"/>
  <c r="U116" i="15"/>
  <c r="G29" i="26"/>
  <c r="F29" i="26"/>
  <c r="E29" i="26" s="1"/>
  <c r="U31" i="15"/>
  <c r="T31" i="15"/>
  <c r="S31" i="15" s="1"/>
  <c r="T52" i="15"/>
  <c r="S52" i="15" s="1"/>
  <c r="U52" i="15"/>
  <c r="O7" i="14"/>
  <c r="G7" i="14"/>
  <c r="I7" i="12"/>
  <c r="T108" i="15"/>
  <c r="S108" i="15" s="1"/>
  <c r="U108" i="15"/>
  <c r="U96" i="15"/>
  <c r="T96" i="15"/>
  <c r="S96" i="15" s="1"/>
  <c r="T84" i="15"/>
  <c r="S84" i="15" s="1"/>
  <c r="U84" i="15"/>
  <c r="F6" i="26"/>
  <c r="E6" i="26" s="1"/>
  <c r="G6" i="26"/>
  <c r="F95" i="26"/>
  <c r="E95" i="26" s="1"/>
  <c r="G95" i="26"/>
  <c r="F68" i="26"/>
  <c r="E68" i="26" s="1"/>
  <c r="G68" i="26"/>
  <c r="U114" i="15"/>
  <c r="T114" i="15"/>
  <c r="S114" i="15" s="1"/>
  <c r="G57" i="26"/>
  <c r="F57" i="26"/>
  <c r="E57" i="26" s="1"/>
  <c r="O6" i="14"/>
  <c r="I6" i="12"/>
  <c r="U70" i="15"/>
  <c r="T70" i="15"/>
  <c r="S70" i="15" s="1"/>
  <c r="G49" i="26"/>
  <c r="F49" i="26"/>
  <c r="E49" i="26" s="1"/>
  <c r="F63" i="26"/>
  <c r="E63" i="26" s="1"/>
  <c r="G63" i="26"/>
  <c r="F91" i="26"/>
  <c r="E91" i="26" s="1"/>
  <c r="G91" i="26"/>
  <c r="F27" i="26"/>
  <c r="E27" i="26" s="1"/>
  <c r="G27" i="26"/>
  <c r="U110" i="15"/>
  <c r="T110" i="15"/>
  <c r="S110" i="15" s="1"/>
  <c r="T57" i="15"/>
  <c r="S57" i="15" s="1"/>
  <c r="U57" i="15"/>
  <c r="G30" i="26"/>
  <c r="F30" i="26"/>
  <c r="E30" i="26" s="1"/>
  <c r="B54" i="26"/>
  <c r="C54" i="26" s="1"/>
  <c r="H55" i="15"/>
  <c r="H55" i="25"/>
  <c r="B55" i="28"/>
  <c r="O55" i="15"/>
  <c r="P55" i="15" s="1"/>
  <c r="G56" i="26"/>
  <c r="F56" i="26"/>
  <c r="E56" i="26" s="1"/>
  <c r="U28" i="15"/>
  <c r="T28" i="15"/>
  <c r="S28" i="15" s="1"/>
  <c r="H67" i="15"/>
  <c r="B66" i="26"/>
  <c r="C66" i="26" s="1"/>
  <c r="O67" i="15"/>
  <c r="P67" i="15" s="1"/>
  <c r="H67" i="25"/>
  <c r="B67" i="28"/>
  <c r="F33" i="26"/>
  <c r="E33" i="26" s="1"/>
  <c r="G33" i="26"/>
  <c r="U98" i="15"/>
  <c r="T98" i="15"/>
  <c r="S98" i="15" s="1"/>
  <c r="H10" i="25"/>
  <c r="H10" i="15"/>
  <c r="I5" i="12"/>
  <c r="G25" i="12"/>
  <c r="G25" i="14" s="1"/>
  <c r="O25" i="14" s="1"/>
  <c r="H26" i="15"/>
  <c r="H26" i="25"/>
  <c r="B26" i="28"/>
  <c r="B25" i="26"/>
  <c r="C25" i="26" s="1"/>
  <c r="O26" i="15"/>
  <c r="P26" i="15" s="1"/>
  <c r="I11" i="12"/>
  <c r="G11" i="14"/>
  <c r="O11" i="14"/>
  <c r="G110" i="26"/>
  <c r="F110" i="26"/>
  <c r="E110" i="26" s="1"/>
  <c r="T22" i="15"/>
  <c r="S22" i="15" s="1"/>
  <c r="U22" i="15"/>
  <c r="H43" i="15"/>
  <c r="O43" i="15"/>
  <c r="P43" i="15" s="1"/>
  <c r="B43" i="28"/>
  <c r="H43" i="25"/>
  <c r="B42" i="26"/>
  <c r="C42" i="26" s="1"/>
  <c r="G105" i="26"/>
  <c r="F105" i="26"/>
  <c r="E105" i="26" s="1"/>
  <c r="U64" i="15"/>
  <c r="T64" i="15"/>
  <c r="S64" i="15" s="1"/>
  <c r="B11" i="26"/>
  <c r="C11" i="26" s="1"/>
  <c r="B11" i="28"/>
  <c r="H11" i="25"/>
  <c r="O11" i="15"/>
  <c r="P11" i="15" s="1"/>
  <c r="H11" i="15"/>
  <c r="T49" i="15"/>
  <c r="S49" i="15" s="1"/>
  <c r="U49" i="15"/>
  <c r="U56" i="15"/>
  <c r="T56" i="15"/>
  <c r="S56" i="15" s="1"/>
  <c r="T99" i="15"/>
  <c r="S99" i="15" s="1"/>
  <c r="U99" i="15"/>
  <c r="U79" i="15"/>
  <c r="T79" i="15"/>
  <c r="S79" i="15" s="1"/>
  <c r="U93" i="15"/>
  <c r="T93" i="15"/>
  <c r="S93" i="15" s="1"/>
  <c r="F22" i="26"/>
  <c r="E22" i="26" s="1"/>
  <c r="G22" i="26"/>
  <c r="T102" i="15"/>
  <c r="S102" i="15" s="1"/>
  <c r="U102" i="15"/>
  <c r="T13" i="15"/>
  <c r="S13" i="15" s="1"/>
  <c r="U13" i="15"/>
  <c r="G111" i="26"/>
  <c r="F111" i="26"/>
  <c r="E111" i="26" s="1"/>
  <c r="F78" i="26"/>
  <c r="E78" i="26" s="1"/>
  <c r="G78" i="26"/>
  <c r="F3" i="26"/>
  <c r="E3" i="26" s="1"/>
  <c r="G3" i="26"/>
  <c r="U112" i="15"/>
  <c r="T112" i="15"/>
  <c r="S112" i="15" s="1"/>
  <c r="U23" i="15"/>
  <c r="T23" i="15"/>
  <c r="S23" i="15" s="1"/>
  <c r="F67" i="26"/>
  <c r="E67" i="26" s="1"/>
  <c r="G67" i="26"/>
  <c r="F10" i="26"/>
  <c r="E10" i="26" s="1"/>
  <c r="T46" i="15"/>
  <c r="S46" i="15" s="1"/>
  <c r="U46" i="15"/>
  <c r="O17" i="14"/>
  <c r="G17" i="14"/>
  <c r="I17" i="12"/>
  <c r="T10" i="15"/>
  <c r="S10" i="15" s="1"/>
  <c r="U10" i="15"/>
  <c r="F13" i="26"/>
  <c r="E13" i="26" s="1"/>
  <c r="G13" i="26"/>
  <c r="G21" i="26"/>
  <c r="F21" i="26"/>
  <c r="E21" i="26" s="1"/>
  <c r="U14" i="15"/>
  <c r="T14" i="15"/>
  <c r="S14" i="15" s="1"/>
  <c r="H7" i="15"/>
  <c r="B7" i="26"/>
  <c r="C7" i="26" s="1"/>
  <c r="H7" i="25"/>
  <c r="O7" i="15"/>
  <c r="P7" i="15" s="1"/>
  <c r="B7" i="28"/>
  <c r="G64" i="26"/>
  <c r="F64" i="26"/>
  <c r="E64" i="26" s="1"/>
  <c r="F92" i="26"/>
  <c r="E92" i="26" s="1"/>
  <c r="G92" i="26"/>
  <c r="O29" i="15"/>
  <c r="P29" i="15" s="1"/>
  <c r="H29" i="15"/>
  <c r="B28" i="26"/>
  <c r="C28" i="26" s="1"/>
  <c r="B29" i="28"/>
  <c r="H29" i="25"/>
  <c r="T75" i="15"/>
  <c r="S75" i="15" s="1"/>
  <c r="U75" i="15"/>
  <c r="G98" i="26"/>
  <c r="F98" i="26"/>
  <c r="E98" i="26" s="1"/>
  <c r="F53" i="26" l="1"/>
  <c r="E53" i="26" s="1"/>
  <c r="U54" i="15"/>
  <c r="T54" i="15"/>
  <c r="S54" i="15" s="1"/>
  <c r="F48" i="26"/>
  <c r="E48" i="26" s="1"/>
  <c r="G116" i="26"/>
  <c r="T20" i="15"/>
  <c r="S20" i="15" s="1"/>
  <c r="F114" i="26"/>
  <c r="E114" i="26" s="1"/>
  <c r="U117" i="15"/>
  <c r="T117" i="15"/>
  <c r="S117" i="15" s="1"/>
  <c r="T115" i="15"/>
  <c r="S115" i="15" s="1"/>
  <c r="U115" i="15"/>
  <c r="G60" i="26"/>
  <c r="U109" i="15"/>
  <c r="T109" i="15"/>
  <c r="S109" i="15" s="1"/>
  <c r="F108" i="26"/>
  <c r="E108" i="26" s="1"/>
  <c r="G108" i="26"/>
  <c r="T74" i="15"/>
  <c r="S74" i="15" s="1"/>
  <c r="U100" i="15"/>
  <c r="T100" i="15"/>
  <c r="S100" i="15" s="1"/>
  <c r="G73" i="26"/>
  <c r="F73" i="26"/>
  <c r="E73" i="26" s="1"/>
  <c r="T61" i="15"/>
  <c r="S61" i="15" s="1"/>
  <c r="U61" i="15"/>
  <c r="I25" i="12"/>
  <c r="U44" i="15"/>
  <c r="T44" i="15"/>
  <c r="S44" i="15" s="1"/>
  <c r="T111" i="15"/>
  <c r="S111" i="15" s="1"/>
  <c r="U111" i="15"/>
  <c r="G76" i="26"/>
  <c r="F76" i="26"/>
  <c r="E76" i="26" s="1"/>
  <c r="T77" i="15"/>
  <c r="S77" i="15" s="1"/>
  <c r="U77" i="15"/>
  <c r="F19" i="26"/>
  <c r="E19" i="26" s="1"/>
  <c r="G19" i="26"/>
  <c r="F43" i="26"/>
  <c r="E43" i="26" s="1"/>
  <c r="G43" i="26"/>
  <c r="T34" i="15"/>
  <c r="S34" i="15" s="1"/>
  <c r="U34" i="15"/>
  <c r="G11" i="26"/>
  <c r="F11" i="26"/>
  <c r="E11" i="26" s="1"/>
  <c r="U55" i="15"/>
  <c r="T55" i="15"/>
  <c r="S55" i="15" s="1"/>
  <c r="G42" i="26"/>
  <c r="F42" i="26"/>
  <c r="E42" i="26" s="1"/>
  <c r="T26" i="15"/>
  <c r="S26" i="15" s="1"/>
  <c r="U26" i="15"/>
  <c r="G25" i="26"/>
  <c r="F25" i="26"/>
  <c r="E25" i="26" s="1"/>
  <c r="T11" i="15"/>
  <c r="S11" i="15" s="1"/>
  <c r="U11" i="15"/>
  <c r="G54" i="26"/>
  <c r="F54" i="26"/>
  <c r="E54" i="26" s="1"/>
  <c r="T43" i="15"/>
  <c r="S43" i="15" s="1"/>
  <c r="U43" i="15"/>
  <c r="U67" i="15"/>
  <c r="T67" i="15"/>
  <c r="S67" i="15" s="1"/>
  <c r="F66" i="26"/>
  <c r="E66" i="26" s="1"/>
  <c r="G66" i="26"/>
  <c r="T7" i="15"/>
  <c r="S7" i="15" s="1"/>
  <c r="U7" i="15"/>
  <c r="G7" i="26"/>
  <c r="F7" i="26"/>
  <c r="E7" i="26" s="1"/>
  <c r="F28" i="26"/>
  <c r="E28" i="26" s="1"/>
  <c r="G28" i="26"/>
  <c r="U29" i="15"/>
  <c r="T29" i="15"/>
  <c r="S2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Tibor Bicsak</author>
  </authors>
  <commentList>
    <comment ref="C1" authorId="0" shapeId="0" xr:uid="{FE866989-0DB7-4809-B609-A8ADE761E13D}">
      <text>
        <r>
          <rPr>
            <sz val="8"/>
            <color indexed="81"/>
            <rFont val="Tahoma"/>
            <family val="2"/>
          </rPr>
          <t>Írd be a megrendelő nevét.
KÖTELEZŐ KITÖLTENI.</t>
        </r>
      </text>
    </comment>
    <comment ref="F1" authorId="0" shapeId="0" xr:uid="{9D9929E1-6860-49F6-BDC5-7AED628ABF5D}">
      <text>
        <r>
          <rPr>
            <sz val="8"/>
            <color indexed="81"/>
            <rFont val="Tahoma"/>
            <family val="2"/>
          </rPr>
          <t>Válaszd ki a kívánt üveg típust a legördülő listából.
KÖTELEZŐ KITÖLTENI.</t>
        </r>
      </text>
    </comment>
    <comment ref="K1" authorId="0" shapeId="0" xr:uid="{E5EF5B91-B3A7-4A49-A555-7D8CB1D53F61}">
      <text>
        <r>
          <rPr>
            <sz val="8"/>
            <color indexed="81"/>
            <rFont val="Tahoma"/>
            <family val="2"/>
          </rPr>
          <t>Válaszd ki a megfelelő értéket a 
legördülő listából.</t>
        </r>
      </text>
    </comment>
    <comment ref="G2" authorId="0" shapeId="0" xr:uid="{BFE91C00-30DA-4FD9-A1C0-5B10A2986428}">
      <text>
        <r>
          <rPr>
            <sz val="8"/>
            <color indexed="81"/>
            <rFont val="Tahoma"/>
            <family val="2"/>
          </rPr>
          <t>Válaszd kis a kívánt vastagságot a legördülő listából.
KÖTELEZŐ KITÖLTENI.</t>
        </r>
      </text>
    </comment>
    <comment ref="H2" authorId="0" shapeId="0" xr:uid="{69304C75-1CB4-4395-8083-0938F9E2C6F7}">
      <text>
        <r>
          <rPr>
            <sz val="8"/>
            <color indexed="81"/>
            <rFont val="Tahoma"/>
            <family val="2"/>
          </rPr>
          <t>Válaszd ki a megfelelő értéket a legördülő listából.
KÖTELEZŐ KITÖLTENI.</t>
        </r>
      </text>
    </comment>
    <comment ref="I2" authorId="0" shapeId="0" xr:uid="{DD720ECD-3AE0-4E6C-89BA-5AA93B9C6DAA}">
      <text>
        <r>
          <rPr>
            <sz val="8"/>
            <color indexed="81"/>
            <rFont val="Tahoma"/>
            <family val="2"/>
          </rPr>
          <t>Írd be a megrendelői számot.</t>
        </r>
        <r>
          <rPr>
            <b/>
            <sz val="10"/>
            <color indexed="81"/>
            <rFont val="Tahoma"/>
            <family val="2"/>
          </rPr>
          <t xml:space="preserve"> "-"</t>
        </r>
        <r>
          <rPr>
            <sz val="8"/>
            <color indexed="81"/>
            <rFont val="Tahoma"/>
            <family val="2"/>
          </rPr>
          <t xml:space="preserve"> ha nincs.</t>
        </r>
      </text>
    </comment>
    <comment ref="B4" authorId="0" shapeId="0" xr:uid="{98525CB1-E215-4CD8-B586-9448395BEB6D}">
      <text>
        <r>
          <rPr>
            <sz val="8"/>
            <color indexed="81"/>
            <rFont val="Tahoma"/>
            <family val="2"/>
          </rPr>
          <t>Írd be a szélességet centiben. 
Legalább egy sort KÖTELEZŐ KITÖLTENI.</t>
        </r>
      </text>
    </comment>
    <comment ref="C4" authorId="0" shapeId="0" xr:uid="{76C5DB48-3C76-4FEA-BEC0-C3D4A4C47ABF}">
      <text>
        <r>
          <rPr>
            <sz val="8"/>
            <color indexed="81"/>
            <rFont val="Tahoma"/>
            <family val="2"/>
          </rPr>
          <t>Írd be a hosszúságot centiben. 
Legalább egy sort KÖTELEZŐ KITÖLTENI.</t>
        </r>
      </text>
    </comment>
    <comment ref="D4" authorId="0" shapeId="0" xr:uid="{B551C611-D4E2-4247-8006-3E3792F72FE3}">
      <text>
        <r>
          <rPr>
            <sz val="8"/>
            <color indexed="81"/>
            <rFont val="Tahoma"/>
            <family val="2"/>
          </rPr>
          <t>Írd be a darabszámot. 
Legalább egy sort KÖTELEZŐ KITÖLTENI.</t>
        </r>
      </text>
    </comment>
  </commentList>
</comments>
</file>

<file path=xl/sharedStrings.xml><?xml version="1.0" encoding="utf-8"?>
<sst xmlns="http://schemas.openxmlformats.org/spreadsheetml/2006/main" count="3038" uniqueCount="443">
  <si>
    <t>Megrendelő:</t>
  </si>
  <si>
    <t>Dátum:</t>
  </si>
  <si>
    <t>Termek Kod</t>
  </si>
  <si>
    <t>Termek Megnevezes</t>
  </si>
  <si>
    <t>Glaserdi munkatársa</t>
  </si>
  <si>
    <t>___________________</t>
  </si>
  <si>
    <t>Ügyfél</t>
  </si>
  <si>
    <t>Össz:</t>
  </si>
  <si>
    <t>* A kis terület adalék + 20%, ha a terület kisebb vagy egyenlő mint 0.3 m2.</t>
  </si>
  <si>
    <t>Felvásárlási Ár</t>
  </si>
  <si>
    <t>Bejövő Dátum</t>
  </si>
  <si>
    <t>Mennyiség</t>
  </si>
  <si>
    <t>Pénznem</t>
  </si>
  <si>
    <t>Eladási Ár 2</t>
  </si>
  <si>
    <t xml:space="preserve">Árlista </t>
  </si>
  <si>
    <t>Eladási Ár 0</t>
  </si>
  <si>
    <t>Termék Kod</t>
  </si>
  <si>
    <t>Termék Megnevezés</t>
  </si>
  <si>
    <t>Lej</t>
  </si>
  <si>
    <t>Lei</t>
  </si>
  <si>
    <t>Reteg</t>
  </si>
  <si>
    <t>Penznem</t>
  </si>
  <si>
    <t>F2</t>
  </si>
  <si>
    <t>Float 2mm</t>
  </si>
  <si>
    <t>Termek tipus</t>
  </si>
  <si>
    <t>Uveg</t>
  </si>
  <si>
    <t>Float 3mm</t>
  </si>
  <si>
    <t>F3</t>
  </si>
  <si>
    <t>F4</t>
  </si>
  <si>
    <t>F6</t>
  </si>
  <si>
    <t>F8</t>
  </si>
  <si>
    <t>F10</t>
  </si>
  <si>
    <t>Float 4mm</t>
  </si>
  <si>
    <t>Float 6mm</t>
  </si>
  <si>
    <t>Float 8mm</t>
  </si>
  <si>
    <t>Float 10mm</t>
  </si>
  <si>
    <t>Uveg1</t>
  </si>
  <si>
    <t>Uveg2</t>
  </si>
  <si>
    <t>Uveg3</t>
  </si>
  <si>
    <t>Termositasti koltseg</t>
  </si>
  <si>
    <t>Vastagsag</t>
  </si>
  <si>
    <t>Mintas uveg aprokockas</t>
  </si>
  <si>
    <t>Mintas uveg feher fatorzs</t>
  </si>
  <si>
    <t>Mintas uveg delta 2</t>
  </si>
  <si>
    <t>Duplakockas</t>
  </si>
  <si>
    <t>Feher csincsilla</t>
  </si>
  <si>
    <t>Barna fatorzs</t>
  </si>
  <si>
    <t>Feher screen</t>
  </si>
  <si>
    <t>Barna delta 2</t>
  </si>
  <si>
    <t>Barna csincsilla</t>
  </si>
  <si>
    <t>Savmarta feher tuskes</t>
  </si>
  <si>
    <t>Savmarta feher Tegla</t>
  </si>
  <si>
    <t>Savmarta barna tuskes</t>
  </si>
  <si>
    <t>Savmarta barna palma</t>
  </si>
  <si>
    <t>Savamarta barna tegla</t>
  </si>
  <si>
    <t>Savmarta barna hovirag</t>
  </si>
  <si>
    <t>Homokfujt 4mm</t>
  </si>
  <si>
    <t>Satin bronz</t>
  </si>
  <si>
    <t>Fust4</t>
  </si>
  <si>
    <t>Fustos 4mm</t>
  </si>
  <si>
    <t>Fust6</t>
  </si>
  <si>
    <t>Fustos 6mm</t>
  </si>
  <si>
    <t>F4-F4-F4</t>
  </si>
  <si>
    <t>Dx7-Low-e4</t>
  </si>
  <si>
    <t>4s-Low-e4</t>
  </si>
  <si>
    <t>F4-F4-Low-e4</t>
  </si>
  <si>
    <t>Dx7-Low-e4-Low-e4</t>
  </si>
  <si>
    <t>Dx7-4s-Low-e4</t>
  </si>
  <si>
    <t>F3-F3</t>
  </si>
  <si>
    <t xml:space="preserve">Tuzallo </t>
  </si>
  <si>
    <t>Tuz4</t>
  </si>
  <si>
    <t>Tukor</t>
  </si>
  <si>
    <t>Low-e4</t>
  </si>
  <si>
    <t>Low-e 4mm</t>
  </si>
  <si>
    <t>Dx7</t>
  </si>
  <si>
    <t>Duplex 7mm</t>
  </si>
  <si>
    <t>Refl4</t>
  </si>
  <si>
    <t>Reflexios 4mm</t>
  </si>
  <si>
    <t>Plex3</t>
  </si>
  <si>
    <t>Plexid 3mm</t>
  </si>
  <si>
    <t>Plex5</t>
  </si>
  <si>
    <t>Plexid 5mm</t>
  </si>
  <si>
    <t>Anti2</t>
  </si>
  <si>
    <t>Antireflex 2mm</t>
  </si>
  <si>
    <t>24 (14,5)</t>
  </si>
  <si>
    <t>Dx7-Dx7-F6</t>
  </si>
  <si>
    <t>4s</t>
  </si>
  <si>
    <t>4 evszakos</t>
  </si>
  <si>
    <t>Modositas 0</t>
  </si>
  <si>
    <t>Modositas 2</t>
  </si>
  <si>
    <t>Dx7-F4-Low-e4</t>
  </si>
  <si>
    <t>F8-Low-e4</t>
  </si>
  <si>
    <t>F6-Low-e4-Low-e4</t>
  </si>
  <si>
    <t>Refl4-Low-e4-Low-e4</t>
  </si>
  <si>
    <t>Dx7-Dx7</t>
  </si>
  <si>
    <t>12(5,5)</t>
  </si>
  <si>
    <t>F6-F4</t>
  </si>
  <si>
    <t>Refl4-F4</t>
  </si>
  <si>
    <t>F6-F4-F4</t>
  </si>
  <si>
    <t>Refl4-F4-Low-e4</t>
  </si>
  <si>
    <t>F6-F4-Low-e4</t>
  </si>
  <si>
    <t>4s-Low-e4-Dx7</t>
  </si>
  <si>
    <t>Aprokockás</t>
  </si>
  <si>
    <t>Fehér fatörzs</t>
  </si>
  <si>
    <t>Fehér delta2</t>
  </si>
  <si>
    <t>Duplakockás</t>
  </si>
  <si>
    <t>Fehér csincsilla</t>
  </si>
  <si>
    <t>Fehér screen</t>
  </si>
  <si>
    <t>Barna fatörzs</t>
  </si>
  <si>
    <t>Barna delta2</t>
  </si>
  <si>
    <t>Fehér tüskés</t>
  </si>
  <si>
    <t>Fehér tégla</t>
  </si>
  <si>
    <t>Barna tüskés</t>
  </si>
  <si>
    <t>Barna pálma</t>
  </si>
  <si>
    <t>Barna tégla</t>
  </si>
  <si>
    <t>Barna hóvirág</t>
  </si>
  <si>
    <t>Homokolt matt</t>
  </si>
  <si>
    <t>Aprokockás-F4</t>
  </si>
  <si>
    <t>Tukor-Barna tüskés</t>
  </si>
  <si>
    <t>Fehér delta2-Low-e4</t>
  </si>
  <si>
    <t>Barna csincsilla-Low-e4-Low-e4</t>
  </si>
  <si>
    <t>Barna delta2-Low-e4</t>
  </si>
  <si>
    <t>Barna fatörzs-Low-e4</t>
  </si>
  <si>
    <t>Fehér fatörzs-Low-e4</t>
  </si>
  <si>
    <t>Tukor-Barna csincsilla</t>
  </si>
  <si>
    <t>Barna tüskés-Low-e4</t>
  </si>
  <si>
    <t>Fehér screen-Low-e4</t>
  </si>
  <si>
    <t>Fehér delta2-F4</t>
  </si>
  <si>
    <t>Fehér screen-F4-Low-e4</t>
  </si>
  <si>
    <t>Fehér fatörzs-F4</t>
  </si>
  <si>
    <t>Homokolt matt-F4</t>
  </si>
  <si>
    <t>Aprokockás-Low-e4</t>
  </si>
  <si>
    <t>Fehér tüskés-Low-e4</t>
  </si>
  <si>
    <t>Barna csincsilla-Low-e4</t>
  </si>
  <si>
    <t>Aprokockás-F4-Low-e4</t>
  </si>
  <si>
    <t>Homokolt matt-F4-Low-e4</t>
  </si>
  <si>
    <t>Barna tégla-Low-e4</t>
  </si>
  <si>
    <t>Fehér tégla-Low-e4</t>
  </si>
  <si>
    <t>Barna delta2-Tukor</t>
  </si>
  <si>
    <t>Refl4-Barna tüskés</t>
  </si>
  <si>
    <t>Satin bronz-Satin bronz</t>
  </si>
  <si>
    <t>4s-Homokolt matt-Low-e4</t>
  </si>
  <si>
    <t>Fehér csincsilla-Low-e4</t>
  </si>
  <si>
    <t>Fehér tüskés-F4</t>
  </si>
  <si>
    <t>Barna tüskés-F4</t>
  </si>
  <si>
    <t>Barna hóvirág-Low-e4</t>
  </si>
  <si>
    <t>Dx7-Homokolt matt-Low-e4</t>
  </si>
  <si>
    <t>Duplakockás-F4-Low-e4</t>
  </si>
  <si>
    <t>Fust4-Fehér fatörzs</t>
  </si>
  <si>
    <t>4s-Fehér fatörzs-Low-e4</t>
  </si>
  <si>
    <t>Barna fatörzs-F4</t>
  </si>
  <si>
    <t>4s-Fehér tégla-Low-e4</t>
  </si>
  <si>
    <t>Fehér tégla-F4-Low-e4</t>
  </si>
  <si>
    <t>Tukor-Barna fatörzs</t>
  </si>
  <si>
    <t>Barna delta2-F4</t>
  </si>
  <si>
    <t>Fehér hóvirág</t>
  </si>
  <si>
    <t>Fehér hóvirág-Low-e4-Low-e4</t>
  </si>
  <si>
    <t>4s-F4-Dx7</t>
  </si>
  <si>
    <t>Fehér tégla-F4</t>
  </si>
  <si>
    <t>Barna hóvirág-F4-Low-e4</t>
  </si>
  <si>
    <t>f4</t>
  </si>
  <si>
    <t>f3</t>
  </si>
  <si>
    <t>F6-Low-e4</t>
  </si>
  <si>
    <t>4s-Satin bronz-Low-e4</t>
  </si>
  <si>
    <t>Fehér tüskés-Low-e4-Low-e4</t>
  </si>
  <si>
    <t>Aprokockás-Low-e4-Low-e4</t>
  </si>
  <si>
    <t>Barna fatörzs-F4-Low-e4</t>
  </si>
  <si>
    <t>Fehér csincsilla-Low-e4-Low-e4</t>
  </si>
  <si>
    <t>Tukor-Fehér tüskés</t>
  </si>
  <si>
    <t>Dx7-Homokolt matt</t>
  </si>
  <si>
    <t>Fehér screen-Tukor</t>
  </si>
  <si>
    <t>Tukor-Satin bronz</t>
  </si>
  <si>
    <t>F4-Satin bronz</t>
  </si>
  <si>
    <t>Barna tégla-F4-Low-e4</t>
  </si>
  <si>
    <t>Refl4-Barna csincsilla</t>
  </si>
  <si>
    <t>Homokolt matt-Homokolt matt</t>
  </si>
  <si>
    <t>Tukor-Fehér fatörzs</t>
  </si>
  <si>
    <t>Refl4-F4-Homokolt matt</t>
  </si>
  <si>
    <t>Barna tüskés-Low-e4-Low-e4</t>
  </si>
  <si>
    <t>4s-Aprokockás-Low-e4</t>
  </si>
  <si>
    <t>Barna pálma-Low-e4</t>
  </si>
  <si>
    <t>Fehér tégla-Low-e4-Low-e4</t>
  </si>
  <si>
    <t>Barna fatörzs-Low-e4-Low-e4</t>
  </si>
  <si>
    <t>4s-Fehér csincsilla-Low-e4</t>
  </si>
  <si>
    <t>4s-Dx7</t>
  </si>
  <si>
    <t>Dx7-F6</t>
  </si>
  <si>
    <t>Refl4-Homokolt matt</t>
  </si>
  <si>
    <t>Satin bronz-F4-F4</t>
  </si>
  <si>
    <t>Fehér delta2-Low-e4-Low-e4</t>
  </si>
  <si>
    <t>Fehér hóvirág-Low-e4</t>
  </si>
  <si>
    <t>F6-F6</t>
  </si>
  <si>
    <t>Barna delta2-F4-Low-e4</t>
  </si>
  <si>
    <t>Fehér screen-F4</t>
  </si>
  <si>
    <t>Lowe 6</t>
  </si>
  <si>
    <t>Lowe 6 mm</t>
  </si>
  <si>
    <t>Lowe 6-F6</t>
  </si>
  <si>
    <t>Fust4-Low-e4-Low-e4</t>
  </si>
  <si>
    <t>4s-F4</t>
  </si>
  <si>
    <t>Dx7-Homokolt matt-Dx7</t>
  </si>
  <si>
    <t>Refl4-Lowe 6</t>
  </si>
  <si>
    <t>Refl4-Homokolt matt-Low-e4</t>
  </si>
  <si>
    <t>Fust4-F4-Low-e4</t>
  </si>
  <si>
    <t>Fehér screen-Low-e4-Low-e4</t>
  </si>
  <si>
    <t>Tukor-Homokolt matt</t>
  </si>
  <si>
    <t>Satin bronz-F4-Low-e4</t>
  </si>
  <si>
    <t>Fehér csincsilla-F4-Low-e4</t>
  </si>
  <si>
    <t>4S- F6- Low-e4</t>
  </si>
  <si>
    <t>Triplex</t>
  </si>
  <si>
    <t>4 évszakos- F4mm- Low-e4 termó</t>
  </si>
  <si>
    <t>Duplex- Screen - Low-e4</t>
  </si>
  <si>
    <t>Tukor 4m</t>
  </si>
  <si>
    <t>Duplex</t>
  </si>
  <si>
    <t>Retegszam</t>
  </si>
  <si>
    <t>Ar</t>
  </si>
  <si>
    <t>Modosítás dátuma</t>
  </si>
  <si>
    <t>Uveg, alap ár</t>
  </si>
  <si>
    <t>Tukor 4mm</t>
  </si>
  <si>
    <t>LÉC</t>
  </si>
  <si>
    <t>ÜVEG</t>
  </si>
  <si>
    <t>F4_</t>
  </si>
  <si>
    <t>Low-e4_</t>
  </si>
  <si>
    <t>F4_-F4_</t>
  </si>
  <si>
    <t>F4_-Low-e4_</t>
  </si>
  <si>
    <t>Refl4-Low-e4</t>
  </si>
  <si>
    <t>f4-Low-e4-Low-e4</t>
  </si>
  <si>
    <t>Homokolt matt-Low-e4-Low-e4</t>
  </si>
  <si>
    <t>Homokolt matt-Low-e4</t>
  </si>
  <si>
    <t>Duplakockás-Low-e4</t>
  </si>
  <si>
    <t>Satin bronz-Low-e4</t>
  </si>
  <si>
    <t>Fust4-Low-e4</t>
  </si>
  <si>
    <t>Tukor-Tukor</t>
  </si>
  <si>
    <t>4s-Low-e4-Low-e4</t>
  </si>
  <si>
    <t>4s-F4-Low-e4</t>
  </si>
  <si>
    <t>Sorrend</t>
  </si>
  <si>
    <t>Megrendelés száma</t>
  </si>
  <si>
    <t>Megrendelő</t>
  </si>
  <si>
    <t>Dátum</t>
  </si>
  <si>
    <t>Vastagság (mm)</t>
  </si>
  <si>
    <t>Tétel 0</t>
  </si>
  <si>
    <t>Sz. (cm) 1</t>
  </si>
  <si>
    <t>H. (cm) 2</t>
  </si>
  <si>
    <t>Db. 3</t>
  </si>
  <si>
    <t>T. (m2) 4</t>
  </si>
  <si>
    <t>Üveg típus:</t>
  </si>
  <si>
    <r>
      <t xml:space="preserve">Össz ár
(RON)
([6] X Ár)
</t>
    </r>
    <r>
      <rPr>
        <b/>
        <i/>
        <sz val="8"/>
        <rFont val="Arial"/>
        <family val="2"/>
      </rPr>
      <t xml:space="preserve">8 </t>
    </r>
  </si>
  <si>
    <r>
      <t xml:space="preserve">Kerület
(cm)
2 X ([1] + [2])
</t>
    </r>
    <r>
      <rPr>
        <b/>
        <i/>
        <sz val="8"/>
        <rFont val="Arial"/>
        <family val="2"/>
      </rPr>
      <t>7</t>
    </r>
  </si>
  <si>
    <r>
      <t xml:space="preserve">Össz T.
(m2)         
([4] + [5])
</t>
    </r>
    <r>
      <rPr>
        <b/>
        <i/>
        <sz val="8"/>
        <rFont val="Arial"/>
        <family val="2"/>
      </rPr>
      <t>6</t>
    </r>
  </si>
  <si>
    <r>
      <t xml:space="preserve">T. 
(m2)
</t>
    </r>
    <r>
      <rPr>
        <b/>
        <i/>
        <sz val="8"/>
        <rFont val="Arial"/>
        <family val="2"/>
      </rPr>
      <t>4</t>
    </r>
  </si>
  <si>
    <r>
      <t xml:space="preserve">Db.
</t>
    </r>
    <r>
      <rPr>
        <b/>
        <i/>
        <sz val="8"/>
        <rFont val="Arial"/>
        <family val="2"/>
      </rPr>
      <t>3</t>
    </r>
  </si>
  <si>
    <r>
      <t xml:space="preserve">H.
(cm)
</t>
    </r>
    <r>
      <rPr>
        <b/>
        <i/>
        <sz val="8"/>
        <rFont val="Arial"/>
        <family val="2"/>
      </rPr>
      <t>2</t>
    </r>
  </si>
  <si>
    <r>
      <t xml:space="preserve">Sz.
(cm)
</t>
    </r>
    <r>
      <rPr>
        <b/>
        <i/>
        <sz val="8"/>
        <rFont val="Arial"/>
        <family val="2"/>
      </rPr>
      <t>1</t>
    </r>
  </si>
  <si>
    <r>
      <t xml:space="preserve">Tétel 
</t>
    </r>
    <r>
      <rPr>
        <b/>
        <i/>
        <sz val="8"/>
        <rFont val="Arial"/>
        <family val="2"/>
      </rPr>
      <t>0</t>
    </r>
  </si>
  <si>
    <t>Vastagság
(mm):</t>
  </si>
  <si>
    <t>Üveg típus</t>
  </si>
  <si>
    <t>Logo</t>
  </si>
  <si>
    <r>
      <t xml:space="preserve">Terület
 adalék (m2)*
[4] X 20%
</t>
    </r>
    <r>
      <rPr>
        <b/>
        <i/>
        <sz val="8"/>
        <rFont val="Arial"/>
        <family val="2"/>
      </rPr>
      <t>5</t>
    </r>
  </si>
  <si>
    <t xml:space="preserve">  Extra méret adalék + 20%, ha a terület nagyobb vagy egyenlő mint 2.5 m2.</t>
  </si>
  <si>
    <t>Megrendelői szám</t>
  </si>
  <si>
    <t>Fül</t>
  </si>
  <si>
    <t>Magyarázat</t>
  </si>
  <si>
    <t>Részletek</t>
  </si>
  <si>
    <t>Teruletszamitas</t>
  </si>
  <si>
    <t>Egység ár</t>
  </si>
  <si>
    <t>Gáz?</t>
  </si>
  <si>
    <t>H2</t>
  </si>
  <si>
    <t>C1</t>
  </si>
  <si>
    <t>F1</t>
  </si>
  <si>
    <t>I1</t>
  </si>
  <si>
    <t>C2</t>
  </si>
  <si>
    <t>G2</t>
  </si>
  <si>
    <t>I2</t>
  </si>
  <si>
    <t>A4-23</t>
  </si>
  <si>
    <t>B4-23</t>
  </si>
  <si>
    <t>C4-23</t>
  </si>
  <si>
    <t>D4-23</t>
  </si>
  <si>
    <t>E4-23</t>
  </si>
  <si>
    <t>F4-23</t>
  </si>
  <si>
    <t>G4-23</t>
  </si>
  <si>
    <t>H4-23</t>
  </si>
  <si>
    <t>I4-23</t>
  </si>
  <si>
    <t>H-I27</t>
  </si>
  <si>
    <t>Glaserdi belső sorszám.</t>
  </si>
  <si>
    <t>Kötelező mező?</t>
  </si>
  <si>
    <t>Igen</t>
  </si>
  <si>
    <t>K1</t>
  </si>
  <si>
    <t>Aktuális dátum</t>
  </si>
  <si>
    <t>Szövegmező, a megrendelő neve</t>
  </si>
  <si>
    <t>A legutolsó szám az AjSzam rejtett fülben tárolódik.</t>
  </si>
  <si>
    <t>Terület adalék (m2)* [4] X 20% 5</t>
  </si>
  <si>
    <t>Össz T. (m2) ([4] + [5]) 6</t>
  </si>
  <si>
    <t>Kerület (cm) 2 X ([1] + [2]) 7</t>
  </si>
  <si>
    <t xml:space="preserve">Össz ár (RON) ([6] X Ár) 8 </t>
  </si>
  <si>
    <t>Nem</t>
  </si>
  <si>
    <t>A kliens megrendelői száma.</t>
  </si>
  <si>
    <t>Ha a megrendelő papíron rajta van, akkor fel kell tüntetni.</t>
  </si>
  <si>
    <t>Rendszer által generált.</t>
  </si>
  <si>
    <t>Az üvegtípus egységára</t>
  </si>
  <si>
    <t>Az árlista szerint választódik ki a  [TermekKod] fül H vagy I oszlopából.</t>
  </si>
  <si>
    <t>Mező neve</t>
  </si>
  <si>
    <t>Mező referencia</t>
  </si>
  <si>
    <t>Az üvegtípus legördülő listája.</t>
  </si>
  <si>
    <t>A [TermekKod] fül első oszlopa. Ott kell módosítani, új kódokat hozzáadni. Lásd az erre vonatkozó részleteket a [TermekKod] ismertetésénél.</t>
  </si>
  <si>
    <t>Argon gázas vagy gáz nélküli.</t>
  </si>
  <si>
    <t>A 0 (nullás) az alapértelmezett ár, lásd a [TermekKod] fül H vagy I oszlopait.</t>
  </si>
  <si>
    <t xml:space="preserve">0 vagy 2 árlista. </t>
  </si>
  <si>
    <t>A vastagság legördülő listája.</t>
  </si>
  <si>
    <t>A [Vastagsag] fülben van a lista eltárolva. Ott kell módosítani, új vastagságot hozzáadni.</t>
  </si>
  <si>
    <t>TermekKod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</si>
  <si>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</si>
  <si>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</si>
  <si>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</si>
  <si>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</si>
  <si>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</si>
  <si>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</si>
  <si>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</si>
  <si>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</si>
  <si>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</si>
  <si>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</si>
  <si>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</si>
  <si>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K</t>
  </si>
  <si>
    <r>
      <t>Kerület
(</t>
    </r>
    <r>
      <rPr>
        <b/>
        <i/>
        <sz val="8"/>
        <rFont val="Arial"/>
        <family val="2"/>
        <charset val="238"/>
      </rPr>
      <t>m</t>
    </r>
    <r>
      <rPr>
        <i/>
        <sz val="8"/>
        <rFont val="Arial"/>
        <family val="2"/>
      </rPr>
      <t>)
2 X ([1] + [2])
7</t>
    </r>
  </si>
  <si>
    <t>Dx7-barna tuskes-Low-e4</t>
  </si>
  <si>
    <t>Dx7-Fehér screen-Low-e4</t>
  </si>
  <si>
    <t>dx7-barna tuskes-low-e4</t>
  </si>
  <si>
    <t>F6- Low-e6</t>
  </si>
  <si>
    <t>F6 -Low-e6 termó</t>
  </si>
  <si>
    <t>4.4.2. Silense - Low-e4 termó</t>
  </si>
  <si>
    <t>4.4.2. - Low-e4</t>
  </si>
  <si>
    <t>4.4.2. - Low-e6</t>
  </si>
  <si>
    <t>4.4.2. Silense - Low-e6 termó</t>
  </si>
  <si>
    <t>Dx7 (3.3.1.) - Low-e6</t>
  </si>
  <si>
    <t>Duplex7 - Low-e6 termó</t>
  </si>
  <si>
    <t>€ + TVA / m2</t>
  </si>
  <si>
    <t>Kobezol ár (lej)</t>
  </si>
  <si>
    <r>
      <t>Kobezol ár (</t>
    </r>
    <r>
      <rPr>
        <sz val="11"/>
        <color indexed="8"/>
        <rFont val="Calibri"/>
        <family val="2"/>
        <charset val="238"/>
      </rPr>
      <t>€/ m2)</t>
    </r>
  </si>
  <si>
    <t>Termék neve</t>
  </si>
  <si>
    <t>Dx7-F4-Refl4</t>
  </si>
  <si>
    <t>4s-Fehér screen-Low-e4</t>
  </si>
  <si>
    <t>Aprokockás-Anti2</t>
  </si>
  <si>
    <t>Dx9</t>
  </si>
  <si>
    <t>Duplex 9mm</t>
  </si>
  <si>
    <t>Dx9-Low-e4</t>
  </si>
  <si>
    <t>F8-Dx9</t>
  </si>
  <si>
    <t>Rendelésen belüli sorszám</t>
  </si>
  <si>
    <t>Automatikus</t>
  </si>
  <si>
    <t>Megrendelt üvegek szélességei</t>
  </si>
  <si>
    <t>Megrendelt üvegek hosszuságai</t>
  </si>
  <si>
    <t>Megrendelt üvegek darabszáma</t>
  </si>
  <si>
    <t>Ahány tétel az adott típusból</t>
  </si>
  <si>
    <t>Adott méretekből számolt terület</t>
  </si>
  <si>
    <t>Lowe 6-4s</t>
  </si>
  <si>
    <t>Dx7-Lowe 6</t>
  </si>
  <si>
    <t>4s-F6-Low-e4</t>
  </si>
  <si>
    <t>Dx7-Refl4-Low-e4_</t>
  </si>
  <si>
    <t>Tuz4-Low-e4_</t>
  </si>
  <si>
    <t>Tuz4-Lowe 6</t>
  </si>
  <si>
    <t>Szpeciális méretű üvegek extra adaléka</t>
  </si>
  <si>
    <t xml:space="preserve">0,3 m2-nél kisebb vagy 2,5 m2-nél nagyobb üvegek extra 20% </t>
  </si>
  <si>
    <t>Terület és Területi adalék összege</t>
  </si>
  <si>
    <t>Adott méretekből számolt kerület</t>
  </si>
  <si>
    <t>Össz területből számolt ár</t>
  </si>
  <si>
    <t>Satin bronz-Low-e4-Low-e4</t>
  </si>
  <si>
    <t>Fehér csincsilla-F4</t>
  </si>
  <si>
    <t>F6-Lowe 6-Low-e4</t>
  </si>
  <si>
    <t>Tukor-Fehér csincsilla</t>
  </si>
  <si>
    <t>Refl4-Low-e4-Lowe 6</t>
  </si>
  <si>
    <t>Fehér tüskés-F4-Low-e4</t>
  </si>
  <si>
    <t>F6E- 4S- Dx9</t>
  </si>
  <si>
    <t>tetőüveg</t>
  </si>
  <si>
    <t>F6E</t>
  </si>
  <si>
    <t>F6mm edzve</t>
  </si>
  <si>
    <t>üveg</t>
  </si>
  <si>
    <t>2022,09,20</t>
  </si>
  <si>
    <t>4s-Low-e4-Lowe 6</t>
  </si>
  <si>
    <t>Dx9-F4-Low-e4</t>
  </si>
  <si>
    <t>F4-Lowe 6</t>
  </si>
  <si>
    <t>megjegyzes primer miatt</t>
  </si>
  <si>
    <t>Dx7-Fehér fatörzs</t>
  </si>
  <si>
    <t>Dx9-Fehér fatörzs</t>
  </si>
  <si>
    <t>4s-F6-Lowe 6</t>
  </si>
  <si>
    <t>tukor</t>
  </si>
  <si>
    <t>tukor-Barna delta2-Low-e4</t>
  </si>
  <si>
    <t>Dx7-F4</t>
  </si>
  <si>
    <t>Fust4-F4</t>
  </si>
  <si>
    <t>Flot6-4s</t>
  </si>
  <si>
    <t>4s-Lowe 6</t>
  </si>
  <si>
    <t>Low-e4-Low-e4</t>
  </si>
  <si>
    <t>Homokolt matt-F4-F4</t>
  </si>
  <si>
    <t>4s-F6</t>
  </si>
  <si>
    <t>Lowe6-BarnaSatin-4s</t>
  </si>
  <si>
    <t>Lowe 6mm-BarnaSatin 4mm-4 evszakos</t>
  </si>
  <si>
    <t>ref4-feher delta2</t>
  </si>
  <si>
    <t>reflexios 4mm-feher delta2</t>
  </si>
  <si>
    <t>ref4-barnadeta2</t>
  </si>
  <si>
    <t>reflexios 4mm-barnadelta2</t>
  </si>
  <si>
    <t>Low-e4-F4-Low-e4</t>
  </si>
  <si>
    <t>Dx7-Satin bronz</t>
  </si>
  <si>
    <t>F3-Homokolt matt</t>
  </si>
  <si>
    <t>Low-e4E</t>
  </si>
  <si>
    <t>Low-e 4mm edzve</t>
  </si>
  <si>
    <t>Dx7-Refl4-Low-e4E</t>
  </si>
  <si>
    <t>F6E-Fehér delta2</t>
  </si>
  <si>
    <t>Dx7-F4-F4</t>
  </si>
  <si>
    <t>Homokolt matt-F6</t>
  </si>
  <si>
    <t>Dx9-Homokolt matt</t>
  </si>
  <si>
    <t>Refl4-F6-F4</t>
  </si>
  <si>
    <t>F4E</t>
  </si>
  <si>
    <t>Float 4mm edzve</t>
  </si>
  <si>
    <t>F4E-Low-e4</t>
  </si>
  <si>
    <t>4S</t>
  </si>
  <si>
    <t>4S-F6-F4</t>
  </si>
  <si>
    <t>4s-F4-F4</t>
  </si>
  <si>
    <t>F6E-4S-Dx7</t>
  </si>
  <si>
    <t>Dx9-F4</t>
  </si>
  <si>
    <t>Refl4-F4-F4</t>
  </si>
  <si>
    <t>Duplex 3.1.3.</t>
  </si>
  <si>
    <t>Duplex 4.2.4</t>
  </si>
  <si>
    <t>Meleg perem:</t>
  </si>
  <si>
    <t>Fekete</t>
  </si>
  <si>
    <t>Szurke</t>
  </si>
  <si>
    <t>Nincs</t>
  </si>
  <si>
    <t>Távtartó:</t>
  </si>
  <si>
    <t>Távtartóval</t>
  </si>
  <si>
    <t>Eltérő forma</t>
  </si>
  <si>
    <t>Eltérő forma:</t>
  </si>
  <si>
    <t>tartarot</t>
  </si>
  <si>
    <t>Eltero Forma</t>
  </si>
  <si>
    <t>Meleg Perem tipusok</t>
  </si>
  <si>
    <t>Határidő:</t>
  </si>
  <si>
    <t>F4-Low-e4</t>
  </si>
  <si>
    <t>F4-F4</t>
  </si>
  <si>
    <t>Dx8</t>
  </si>
  <si>
    <t>Duplex 4.1.4</t>
  </si>
  <si>
    <t>cella kitoltes</t>
  </si>
  <si>
    <t>Gaz</t>
  </si>
  <si>
    <t>Argon</t>
  </si>
  <si>
    <t>Gaz nelkul</t>
  </si>
  <si>
    <t>4S-F6</t>
  </si>
  <si>
    <t>Fehér hóvirág-Fehér hóvirág</t>
  </si>
  <si>
    <t>Barna tüskés-F4-Low-e4</t>
  </si>
  <si>
    <t>Barna delta2-tukor</t>
  </si>
  <si>
    <t>2</t>
  </si>
  <si>
    <t>Lajos - csak arajanlat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</si>
</sst>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\ _F_t_-;\-* #,##0.00\ _F_t_-;_-* &quot;-&quot;??\ _F_t_-;_-@_-"/>
    <numFmt numFmtId="165" formatCode="#,##0.0"/>
    <numFmt numFmtId="166" formatCode="#,##0.000"/>
    <numFmt numFmtId="167" formatCode="_-* #,##0\ _F_t_-;\-* #,##0\ _F_t_-;_-* &quot;-&quot;??\ _F_t_-;_-@_-"/>
    <numFmt numFmtId="168" formatCode="yyyy/mm/dd;@"/>
    <numFmt numFmtId="169" formatCode="00000"/>
    <numFmt numFmtId="170" formatCode="&quot;M. Szám:&quot;\ @"/>
    <numFmt numFmtId="171" formatCode="&quot;Egység ár: &quot;#&quot; lej&quot;"/>
    <numFmt numFmtId="172" formatCode="&quot;Megrendelői Szám:&quot;\ @"/>
    <numFmt numFmtId="173" formatCode="yyyy\.mm\.dd;@"/>
    <numFmt numFmtId="174" formatCode="&quot;Glaserdi sorszám: &quot;00000"/>
    <numFmt numFmtId="175" formatCode="[$-40E]mmmm\ d\.;@"/>
  </numFmts>
  <fonts count="3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  <charset val="238"/>
    </font>
    <font>
      <b/>
      <i/>
      <sz val="8"/>
      <name val="Arial"/>
      <family val="2"/>
    </font>
    <font>
      <sz val="8"/>
      <name val="Arial"/>
      <family val="2"/>
      <charset val="238"/>
    </font>
    <font>
      <b/>
      <sz val="9"/>
      <name val="Arial"/>
      <family val="2"/>
    </font>
    <font>
      <b/>
      <u/>
      <sz val="9"/>
      <name val="Arial"/>
      <family val="2"/>
    </font>
    <font>
      <b/>
      <i/>
      <sz val="8"/>
      <name val="Arial"/>
      <family val="2"/>
      <charset val="238"/>
    </font>
    <font>
      <b/>
      <sz val="10"/>
      <name val="Arial"/>
      <family val="2"/>
      <charset val="238"/>
    </font>
    <font>
      <sz val="8"/>
      <color indexed="81"/>
      <name val="Tahoma"/>
      <family val="2"/>
    </font>
    <font>
      <sz val="9"/>
      <name val="Arial"/>
      <family val="2"/>
    </font>
    <font>
      <b/>
      <sz val="10"/>
      <color indexed="81"/>
      <name val="Tahoma"/>
      <family val="2"/>
    </font>
    <font>
      <b/>
      <sz val="12"/>
      <name val="Arial"/>
      <family val="2"/>
    </font>
    <font>
      <sz val="8"/>
      <name val="Calibri"/>
      <family val="2"/>
    </font>
    <font>
      <sz val="11"/>
      <color indexed="8"/>
      <name val="Calibri"/>
      <family val="2"/>
      <charset val="238"/>
    </font>
    <font>
      <b/>
      <sz val="8"/>
      <name val="Arial"/>
      <family val="2"/>
      <charset val="238"/>
    </font>
    <font>
      <sz val="11"/>
      <color theme="1"/>
      <name val="Calibri"/>
      <family val="2"/>
      <scheme val="minor"/>
    </font>
    <font>
      <sz val="8"/>
      <color theme="1" tint="0.499984740745262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8"/>
      <color theme="1"/>
      <name val="Verdana"/>
      <family val="2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charset val="238"/>
    </font>
    <font>
      <sz val="12"/>
      <color theme="1"/>
      <name val="Arial"/>
      <family val="2"/>
    </font>
    <font>
      <sz val="8"/>
      <color theme="0"/>
      <name val="Arial"/>
      <family val="2"/>
    </font>
    <font>
      <sz val="11"/>
      <name val="Calibri"/>
      <family val="2"/>
      <scheme val="minor"/>
    </font>
    <font>
      <sz val="8"/>
      <color theme="0" tint="-0.1499984740745262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3743705557422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theme="0"/>
      </right>
      <top/>
      <bottom style="thin">
        <color theme="0" tint="-0.34998626667073579"/>
      </bottom>
      <diagonal/>
    </border>
    <border>
      <left style="thin">
        <color theme="0"/>
      </left>
      <right/>
      <top/>
      <bottom style="thin">
        <color theme="0" tint="-0.34998626667073579"/>
      </bottom>
      <diagonal/>
    </border>
    <border>
      <left/>
      <right style="thin">
        <color theme="0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indexed="64"/>
      </bottom>
      <diagonal/>
    </border>
  </borders>
  <cellStyleXfs count="2">
    <xf numFmtId="0" fontId="0" fillId="0" borderId="0"/>
    <xf numFmtId="164" fontId="20" fillId="0" borderId="0" applyFont="0" applyFill="0" applyBorder="0" applyAlignment="0" applyProtection="0"/>
  </cellStyleXfs>
  <cellXfs count="206">
    <xf numFmtId="0" fontId="0" fillId="0" borderId="0" xfId="0"/>
    <xf numFmtId="0" fontId="2" fillId="2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1" fontId="1" fillId="2" borderId="0" xfId="0" applyNumberFormat="1" applyFont="1" applyFill="1" applyAlignment="1">
      <alignment wrapText="1"/>
    </xf>
    <xf numFmtId="2" fontId="1" fillId="2" borderId="0" xfId="0" applyNumberFormat="1" applyFont="1" applyFill="1" applyAlignment="1">
      <alignment wrapText="1"/>
    </xf>
    <xf numFmtId="2" fontId="1" fillId="2" borderId="0" xfId="0" applyNumberFormat="1" applyFont="1" applyFill="1" applyAlignment="1">
      <alignment horizontal="right" wrapText="1"/>
    </xf>
    <xf numFmtId="0" fontId="1" fillId="2" borderId="0" xfId="0" applyFont="1" applyFill="1" applyAlignment="1">
      <alignment vertical="center" wrapText="1"/>
    </xf>
    <xf numFmtId="0" fontId="2" fillId="2" borderId="1" xfId="0" applyFont="1" applyFill="1" applyBorder="1" applyAlignment="1">
      <alignment wrapText="1"/>
    </xf>
    <xf numFmtId="0" fontId="2" fillId="2" borderId="0" xfId="0" applyFont="1" applyFill="1" applyAlignment="1">
      <alignment horizontal="right" wrapText="1"/>
    </xf>
    <xf numFmtId="1" fontId="2" fillId="2" borderId="0" xfId="0" applyNumberFormat="1" applyFont="1" applyFill="1" applyAlignment="1">
      <alignment horizontal="right" wrapText="1"/>
    </xf>
    <xf numFmtId="2" fontId="2" fillId="2" borderId="0" xfId="0" applyNumberFormat="1" applyFont="1" applyFill="1" applyAlignment="1">
      <alignment horizontal="right" wrapText="1"/>
    </xf>
    <xf numFmtId="1" fontId="21" fillId="2" borderId="0" xfId="0" applyNumberFormat="1" applyFont="1" applyFill="1" applyAlignment="1">
      <alignment wrapText="1"/>
    </xf>
    <xf numFmtId="2" fontId="21" fillId="2" borderId="0" xfId="0" applyNumberFormat="1" applyFont="1" applyFill="1" applyAlignment="1">
      <alignment wrapText="1"/>
    </xf>
    <xf numFmtId="0" fontId="1" fillId="3" borderId="0" xfId="0" applyFont="1" applyFill="1" applyAlignment="1" applyProtection="1">
      <alignment wrapText="1"/>
      <protection locked="0"/>
    </xf>
    <xf numFmtId="0" fontId="0" fillId="3" borderId="0" xfId="0" applyFill="1" applyProtection="1">
      <protection locked="0"/>
    </xf>
    <xf numFmtId="0" fontId="2" fillId="3" borderId="0" xfId="0" applyFont="1" applyFill="1" applyAlignment="1" applyProtection="1">
      <alignment wrapText="1"/>
      <protection locked="0"/>
    </xf>
    <xf numFmtId="0" fontId="1" fillId="3" borderId="0" xfId="0" applyFont="1" applyFill="1" applyAlignment="1" applyProtection="1">
      <alignment vertical="center" wrapText="1"/>
      <protection locked="0"/>
    </xf>
    <xf numFmtId="2" fontId="1" fillId="2" borderId="0" xfId="0" applyNumberFormat="1" applyFont="1" applyFill="1" applyAlignment="1">
      <alignment vertical="center" wrapText="1"/>
    </xf>
    <xf numFmtId="0" fontId="22" fillId="0" borderId="2" xfId="0" applyFont="1" applyBorder="1"/>
    <xf numFmtId="0" fontId="5" fillId="2" borderId="2" xfId="0" applyFont="1" applyFill="1" applyBorder="1" applyAlignment="1">
      <alignment wrapText="1"/>
    </xf>
    <xf numFmtId="0" fontId="0" fillId="0" borderId="2" xfId="0" applyBorder="1"/>
    <xf numFmtId="0" fontId="23" fillId="0" borderId="2" xfId="0" applyFont="1" applyBorder="1"/>
    <xf numFmtId="0" fontId="24" fillId="2" borderId="0" xfId="0" applyFont="1" applyFill="1" applyAlignment="1" applyProtection="1">
      <alignment wrapText="1"/>
      <protection hidden="1"/>
    </xf>
    <xf numFmtId="3" fontId="2" fillId="2" borderId="0" xfId="0" applyNumberFormat="1" applyFont="1" applyFill="1" applyAlignment="1">
      <alignment wrapText="1"/>
    </xf>
    <xf numFmtId="0" fontId="0" fillId="3" borderId="0" xfId="0" applyFill="1" applyAlignment="1" applyProtection="1">
      <alignment vertical="top"/>
      <protection locked="0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0" borderId="3" xfId="0" applyBorder="1"/>
    <xf numFmtId="0" fontId="22" fillId="3" borderId="2" xfId="0" applyFont="1" applyFill="1" applyBorder="1"/>
    <xf numFmtId="0" fontId="0" fillId="3" borderId="2" xfId="0" applyFill="1" applyBorder="1"/>
    <xf numFmtId="0" fontId="0" fillId="0" borderId="0" xfId="0" applyAlignment="1">
      <alignment horizontal="right"/>
    </xf>
    <xf numFmtId="0" fontId="23" fillId="3" borderId="2" xfId="0" applyFont="1" applyFill="1" applyBorder="1"/>
    <xf numFmtId="0" fontId="0" fillId="3" borderId="2" xfId="0" applyFill="1" applyBorder="1" applyProtection="1">
      <protection locked="0"/>
    </xf>
    <xf numFmtId="2" fontId="1" fillId="3" borderId="0" xfId="0" applyNumberFormat="1" applyFont="1" applyFill="1" applyAlignment="1">
      <alignment horizontal="right" wrapText="1"/>
    </xf>
    <xf numFmtId="0" fontId="2" fillId="3" borderId="0" xfId="0" applyFont="1" applyFill="1" applyAlignment="1">
      <alignment horizontal="center" wrapText="1"/>
    </xf>
    <xf numFmtId="0" fontId="2" fillId="3" borderId="0" xfId="0" applyFont="1" applyFill="1" applyAlignment="1">
      <alignment horizontal="right" wrapText="1"/>
    </xf>
    <xf numFmtId="1" fontId="2" fillId="3" borderId="0" xfId="0" applyNumberFormat="1" applyFont="1" applyFill="1" applyAlignment="1">
      <alignment horizontal="right" wrapText="1"/>
    </xf>
    <xf numFmtId="2" fontId="2" fillId="3" borderId="0" xfId="0" applyNumberFormat="1" applyFont="1" applyFill="1" applyAlignment="1">
      <alignment horizontal="right" wrapText="1"/>
    </xf>
    <xf numFmtId="0" fontId="2" fillId="3" borderId="0" xfId="0" applyFont="1" applyFill="1" applyAlignment="1">
      <alignment wrapText="1"/>
    </xf>
    <xf numFmtId="0" fontId="1" fillId="3" borderId="0" xfId="0" applyFont="1" applyFill="1" applyAlignment="1">
      <alignment vertical="center" wrapText="1"/>
    </xf>
    <xf numFmtId="1" fontId="1" fillId="3" borderId="0" xfId="0" applyNumberFormat="1" applyFont="1" applyFill="1" applyAlignment="1">
      <alignment wrapText="1"/>
    </xf>
    <xf numFmtId="2" fontId="1" fillId="3" borderId="0" xfId="0" applyNumberFormat="1" applyFont="1" applyFill="1" applyAlignment="1">
      <alignment wrapText="1"/>
    </xf>
    <xf numFmtId="1" fontId="21" fillId="3" borderId="0" xfId="0" applyNumberFormat="1" applyFont="1" applyFill="1" applyAlignment="1">
      <alignment wrapText="1"/>
    </xf>
    <xf numFmtId="2" fontId="21" fillId="3" borderId="0" xfId="0" applyNumberFormat="1" applyFont="1" applyFill="1" applyAlignment="1">
      <alignment wrapText="1"/>
    </xf>
    <xf numFmtId="0" fontId="1" fillId="0" borderId="0" xfId="0" applyFont="1" applyAlignment="1">
      <alignment wrapText="1"/>
    </xf>
    <xf numFmtId="0" fontId="1" fillId="3" borderId="7" xfId="0" applyFont="1" applyFill="1" applyBorder="1" applyAlignment="1">
      <alignment wrapText="1"/>
    </xf>
    <xf numFmtId="0" fontId="1" fillId="3" borderId="8" xfId="0" applyFont="1" applyFill="1" applyBorder="1" applyAlignment="1">
      <alignment wrapText="1"/>
    </xf>
    <xf numFmtId="0" fontId="1" fillId="3" borderId="9" xfId="0" applyFont="1" applyFill="1" applyBorder="1" applyAlignment="1">
      <alignment wrapText="1"/>
    </xf>
    <xf numFmtId="0" fontId="1" fillId="3" borderId="10" xfId="0" applyFont="1" applyFill="1" applyBorder="1" applyAlignment="1">
      <alignment wrapText="1"/>
    </xf>
    <xf numFmtId="0" fontId="1" fillId="3" borderId="11" xfId="0" applyFont="1" applyFill="1" applyBorder="1" applyAlignment="1">
      <alignment wrapText="1"/>
    </xf>
    <xf numFmtId="3" fontId="7" fillId="2" borderId="12" xfId="0" applyNumberFormat="1" applyFont="1" applyFill="1" applyBorder="1" applyAlignment="1">
      <alignment wrapText="1"/>
    </xf>
    <xf numFmtId="3" fontId="7" fillId="2" borderId="13" xfId="0" applyNumberFormat="1" applyFont="1" applyFill="1" applyBorder="1" applyAlignment="1">
      <alignment wrapText="1"/>
    </xf>
    <xf numFmtId="3" fontId="7" fillId="2" borderId="13" xfId="0" applyNumberFormat="1" applyFont="1" applyFill="1" applyBorder="1" applyAlignment="1">
      <alignment horizontal="center" vertical="center" wrapText="1"/>
    </xf>
    <xf numFmtId="166" fontId="7" fillId="2" borderId="13" xfId="0" applyNumberFormat="1" applyFont="1" applyFill="1" applyBorder="1" applyAlignment="1">
      <alignment horizontal="left" vertical="center" wrapText="1"/>
    </xf>
    <xf numFmtId="3" fontId="7" fillId="2" borderId="13" xfId="0" applyNumberFormat="1" applyFont="1" applyFill="1" applyBorder="1" applyAlignment="1">
      <alignment horizontal="center" wrapText="1"/>
    </xf>
    <xf numFmtId="168" fontId="7" fillId="2" borderId="14" xfId="0" applyNumberFormat="1" applyFont="1" applyFill="1" applyBorder="1" applyAlignment="1">
      <alignment wrapText="1"/>
    </xf>
    <xf numFmtId="0" fontId="1" fillId="2" borderId="15" xfId="0" applyFont="1" applyFill="1" applyBorder="1" applyAlignment="1">
      <alignment horizontal="center" wrapText="1"/>
    </xf>
    <xf numFmtId="0" fontId="1" fillId="2" borderId="16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5" xfId="0" applyFont="1" applyFill="1" applyBorder="1" applyAlignment="1">
      <alignment horizontal="center" vertical="center" wrapText="1"/>
    </xf>
    <xf numFmtId="167" fontId="1" fillId="2" borderId="15" xfId="1" applyNumberFormat="1" applyFont="1" applyFill="1" applyBorder="1" applyAlignment="1">
      <alignment horizontal="left" vertical="center" wrapText="1"/>
    </xf>
    <xf numFmtId="168" fontId="1" fillId="2" borderId="17" xfId="0" applyNumberFormat="1" applyFont="1" applyFill="1" applyBorder="1" applyAlignment="1">
      <alignment horizontal="left" wrapText="1"/>
    </xf>
    <xf numFmtId="0" fontId="9" fillId="3" borderId="0" xfId="0" applyFont="1" applyFill="1" applyAlignment="1">
      <alignment vertical="top" wrapText="1"/>
    </xf>
    <xf numFmtId="0" fontId="10" fillId="4" borderId="0" xfId="0" applyFont="1" applyFill="1" applyAlignment="1">
      <alignment horizontal="center" vertical="center" wrapText="1"/>
    </xf>
    <xf numFmtId="0" fontId="1" fillId="5" borderId="18" xfId="0" applyFont="1" applyFill="1" applyBorder="1" applyAlignment="1" applyProtection="1">
      <alignment wrapText="1"/>
      <protection locked="0"/>
    </xf>
    <xf numFmtId="0" fontId="1" fillId="5" borderId="19" xfId="0" applyFont="1" applyFill="1" applyBorder="1" applyAlignment="1" applyProtection="1">
      <alignment wrapText="1"/>
      <protection locked="0"/>
    </xf>
    <xf numFmtId="0" fontId="1" fillId="5" borderId="0" xfId="0" applyFont="1" applyFill="1" applyAlignment="1" applyProtection="1">
      <alignment wrapText="1"/>
      <protection locked="0"/>
    </xf>
    <xf numFmtId="0" fontId="1" fillId="5" borderId="20" xfId="0" applyFont="1" applyFill="1" applyBorder="1" applyAlignment="1" applyProtection="1">
      <alignment wrapText="1"/>
      <protection locked="0"/>
    </xf>
    <xf numFmtId="0" fontId="1" fillId="5" borderId="18" xfId="0" applyFont="1" applyFill="1" applyBorder="1" applyAlignment="1">
      <alignment wrapText="1"/>
    </xf>
    <xf numFmtId="0" fontId="1" fillId="5" borderId="19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" fillId="5" borderId="23" xfId="0" applyFont="1" applyFill="1" applyBorder="1" applyAlignment="1">
      <alignment wrapText="1"/>
    </xf>
    <xf numFmtId="0" fontId="1" fillId="5" borderId="0" xfId="0" applyFont="1" applyFill="1" applyAlignment="1">
      <alignment wrapText="1"/>
    </xf>
    <xf numFmtId="0" fontId="2" fillId="5" borderId="0" xfId="0" applyFont="1" applyFill="1" applyAlignment="1">
      <alignment wrapText="1"/>
    </xf>
    <xf numFmtId="4" fontId="2" fillId="2" borderId="0" xfId="0" applyNumberFormat="1" applyFont="1" applyFill="1" applyAlignment="1">
      <alignment wrapText="1"/>
    </xf>
    <xf numFmtId="0" fontId="1" fillId="3" borderId="4" xfId="0" applyFont="1" applyFill="1" applyBorder="1" applyAlignment="1">
      <alignment wrapText="1"/>
    </xf>
    <xf numFmtId="0" fontId="1" fillId="3" borderId="18" xfId="0" applyFont="1" applyFill="1" applyBorder="1" applyAlignment="1">
      <alignment wrapText="1"/>
    </xf>
    <xf numFmtId="4" fontId="1" fillId="3" borderId="18" xfId="0" applyNumberFormat="1" applyFont="1" applyFill="1" applyBorder="1" applyAlignment="1">
      <alignment wrapText="1"/>
    </xf>
    <xf numFmtId="4" fontId="1" fillId="2" borderId="0" xfId="0" applyNumberFormat="1" applyFont="1" applyFill="1" applyAlignment="1">
      <alignment wrapText="1"/>
    </xf>
    <xf numFmtId="3" fontId="2" fillId="5" borderId="0" xfId="0" applyNumberFormat="1" applyFont="1" applyFill="1" applyAlignment="1">
      <alignment wrapText="1"/>
    </xf>
    <xf numFmtId="0" fontId="1" fillId="5" borderId="24" xfId="0" applyFont="1" applyFill="1" applyBorder="1" applyAlignment="1">
      <alignment wrapText="1"/>
    </xf>
    <xf numFmtId="0" fontId="1" fillId="5" borderId="24" xfId="0" applyFont="1" applyFill="1" applyBorder="1" applyAlignment="1" applyProtection="1">
      <alignment wrapText="1"/>
      <protection locked="0"/>
    </xf>
    <xf numFmtId="0" fontId="1" fillId="5" borderId="25" xfId="0" applyFont="1" applyFill="1" applyBorder="1" applyAlignment="1">
      <alignment wrapText="1"/>
    </xf>
    <xf numFmtId="3" fontId="2" fillId="5" borderId="0" xfId="0" applyNumberFormat="1" applyFont="1" applyFill="1" applyAlignment="1">
      <alignment horizontal="center" wrapText="1"/>
    </xf>
    <xf numFmtId="168" fontId="2" fillId="5" borderId="0" xfId="0" applyNumberFormat="1" applyFont="1" applyFill="1" applyAlignment="1">
      <alignment horizontal="center" wrapText="1"/>
    </xf>
    <xf numFmtId="0" fontId="1" fillId="5" borderId="24" xfId="0" applyFont="1" applyFill="1" applyBorder="1" applyAlignment="1">
      <alignment horizontal="center" wrapText="1"/>
    </xf>
    <xf numFmtId="168" fontId="1" fillId="5" borderId="24" xfId="0" applyNumberFormat="1" applyFont="1" applyFill="1" applyBorder="1" applyAlignment="1">
      <alignment horizontal="center" wrapText="1"/>
    </xf>
    <xf numFmtId="0" fontId="6" fillId="5" borderId="24" xfId="0" applyFont="1" applyFill="1" applyBorder="1" applyAlignment="1">
      <alignment horizontal="center" wrapText="1"/>
    </xf>
    <xf numFmtId="0" fontId="1" fillId="5" borderId="25" xfId="0" applyFont="1" applyFill="1" applyBorder="1" applyAlignment="1">
      <alignment horizontal="center" wrapText="1"/>
    </xf>
    <xf numFmtId="168" fontId="1" fillId="5" borderId="0" xfId="0" applyNumberFormat="1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2" fontId="1" fillId="2" borderId="0" xfId="0" applyNumberFormat="1" applyFont="1" applyFill="1" applyAlignment="1">
      <alignment horizontal="right" vertical="center" wrapText="1"/>
    </xf>
    <xf numFmtId="0" fontId="1" fillId="2" borderId="0" xfId="0" applyFont="1" applyFill="1" applyAlignment="1">
      <alignment horizontal="right" vertical="center" wrapText="1"/>
    </xf>
    <xf numFmtId="0" fontId="1" fillId="3" borderId="0" xfId="0" applyFont="1" applyFill="1" applyAlignment="1" applyProtection="1">
      <alignment horizontal="left" wrapText="1"/>
      <protection locked="0"/>
    </xf>
    <xf numFmtId="169" fontId="25" fillId="0" borderId="0" xfId="0" applyNumberFormat="1" applyFont="1" applyAlignment="1">
      <alignment wrapText="1"/>
    </xf>
    <xf numFmtId="169" fontId="26" fillId="0" borderId="0" xfId="0" applyNumberFormat="1" applyFont="1"/>
    <xf numFmtId="165" fontId="0" fillId="0" borderId="0" xfId="0" applyNumberFormat="1"/>
    <xf numFmtId="1" fontId="0" fillId="0" borderId="0" xfId="0" applyNumberFormat="1"/>
    <xf numFmtId="2" fontId="0" fillId="0" borderId="0" xfId="0" applyNumberFormat="1"/>
    <xf numFmtId="170" fontId="3" fillId="2" borderId="0" xfId="0" applyNumberFormat="1" applyFont="1" applyFill="1" applyAlignment="1">
      <alignment vertical="center" wrapText="1"/>
    </xf>
    <xf numFmtId="171" fontId="9" fillId="2" borderId="0" xfId="0" applyNumberFormat="1" applyFont="1" applyFill="1" applyAlignment="1">
      <alignment vertical="center" wrapText="1"/>
    </xf>
    <xf numFmtId="0" fontId="1" fillId="3" borderId="0" xfId="0" applyFont="1" applyFill="1" applyAlignment="1">
      <alignment horizontal="right" vertical="center" wrapText="1"/>
    </xf>
    <xf numFmtId="0" fontId="0" fillId="3" borderId="0" xfId="0" applyFill="1" applyAlignment="1" applyProtection="1">
      <alignment vertical="center"/>
      <protection locked="0"/>
    </xf>
    <xf numFmtId="1" fontId="14" fillId="2" borderId="0" xfId="0" applyNumberFormat="1" applyFont="1" applyFill="1" applyAlignment="1">
      <alignment wrapText="1"/>
    </xf>
    <xf numFmtId="2" fontId="14" fillId="2" borderId="0" xfId="0" applyNumberFormat="1" applyFont="1" applyFill="1" applyAlignment="1">
      <alignment wrapText="1"/>
    </xf>
    <xf numFmtId="0" fontId="9" fillId="3" borderId="0" xfId="0" applyFont="1" applyFill="1" applyAlignment="1" applyProtection="1">
      <alignment horizontal="left" vertical="center" wrapText="1"/>
      <protection locked="0"/>
    </xf>
    <xf numFmtId="172" fontId="3" fillId="2" borderId="0" xfId="0" applyNumberFormat="1" applyFont="1" applyFill="1" applyAlignment="1" applyProtection="1">
      <alignment vertical="center" wrapText="1"/>
      <protection locked="0"/>
    </xf>
    <xf numFmtId="1" fontId="3" fillId="2" borderId="0" xfId="0" applyNumberFormat="1" applyFont="1" applyFill="1" applyAlignment="1">
      <alignment vertical="center" wrapText="1"/>
    </xf>
    <xf numFmtId="0" fontId="1" fillId="2" borderId="26" xfId="0" applyFont="1" applyFill="1" applyBorder="1" applyAlignment="1">
      <alignment horizontal="center" vertical="center" wrapText="1"/>
    </xf>
    <xf numFmtId="165" fontId="4" fillId="3" borderId="26" xfId="0" applyNumberFormat="1" applyFont="1" applyFill="1" applyBorder="1" applyAlignment="1" applyProtection="1">
      <alignment horizontal="right" vertical="center" wrapText="1"/>
      <protection locked="0"/>
    </xf>
    <xf numFmtId="1" fontId="4" fillId="3" borderId="26" xfId="0" applyNumberFormat="1" applyFont="1" applyFill="1" applyBorder="1" applyAlignment="1" applyProtection="1">
      <alignment horizontal="right" vertical="center" wrapText="1"/>
      <protection locked="0"/>
    </xf>
    <xf numFmtId="2" fontId="4" fillId="2" borderId="26" xfId="0" applyNumberFormat="1" applyFont="1" applyFill="1" applyBorder="1" applyAlignment="1">
      <alignment vertical="center" wrapText="1"/>
    </xf>
    <xf numFmtId="2" fontId="3" fillId="2" borderId="26" xfId="0" applyNumberFormat="1" applyFont="1" applyFill="1" applyBorder="1" applyAlignment="1">
      <alignment horizontal="right" vertical="center" wrapText="1"/>
    </xf>
    <xf numFmtId="4" fontId="4" fillId="2" borderId="26" xfId="0" applyNumberFormat="1" applyFont="1" applyFill="1" applyBorder="1" applyAlignment="1">
      <alignment vertical="center" wrapText="1"/>
    </xf>
    <xf numFmtId="1" fontId="3" fillId="2" borderId="27" xfId="0" applyNumberFormat="1" applyFont="1" applyFill="1" applyBorder="1" applyAlignment="1">
      <alignment horizontal="right" vertical="center" wrapText="1"/>
    </xf>
    <xf numFmtId="2" fontId="3" fillId="2" borderId="27" xfId="0" applyNumberFormat="1" applyFont="1" applyFill="1" applyBorder="1" applyAlignment="1">
      <alignment horizontal="right" vertical="center" wrapText="1"/>
    </xf>
    <xf numFmtId="4" fontId="3" fillId="2" borderId="27" xfId="0" applyNumberFormat="1" applyFont="1" applyFill="1" applyBorder="1" applyAlignment="1">
      <alignment horizontal="right" vertical="center" wrapText="1"/>
    </xf>
    <xf numFmtId="1" fontId="3" fillId="3" borderId="0" xfId="0" applyNumberFormat="1" applyFont="1" applyFill="1" applyAlignment="1">
      <alignment vertical="center" wrapText="1"/>
    </xf>
    <xf numFmtId="0" fontId="1" fillId="3" borderId="28" xfId="0" applyFont="1" applyFill="1" applyBorder="1" applyAlignment="1">
      <alignment horizontal="center" vertical="center" wrapText="1"/>
    </xf>
    <xf numFmtId="165" fontId="4" fillId="3" borderId="28" xfId="0" applyNumberFormat="1" applyFont="1" applyFill="1" applyBorder="1" applyAlignment="1">
      <alignment horizontal="right" vertical="center" wrapText="1"/>
    </xf>
    <xf numFmtId="1" fontId="4" fillId="3" borderId="28" xfId="0" applyNumberFormat="1" applyFont="1" applyFill="1" applyBorder="1" applyAlignment="1">
      <alignment vertical="center" wrapText="1"/>
    </xf>
    <xf numFmtId="2" fontId="4" fillId="3" borderId="28" xfId="0" applyNumberFormat="1" applyFont="1" applyFill="1" applyBorder="1" applyAlignment="1">
      <alignment vertical="center" wrapText="1"/>
    </xf>
    <xf numFmtId="2" fontId="3" fillId="3" borderId="28" xfId="0" applyNumberFormat="1" applyFont="1" applyFill="1" applyBorder="1" applyAlignment="1">
      <alignment horizontal="right" vertical="center" wrapText="1"/>
    </xf>
    <xf numFmtId="1" fontId="3" fillId="3" borderId="29" xfId="0" applyNumberFormat="1" applyFont="1" applyFill="1" applyBorder="1" applyAlignment="1">
      <alignment horizontal="right" vertical="center" wrapText="1"/>
    </xf>
    <xf numFmtId="1" fontId="3" fillId="3" borderId="29" xfId="0" applyNumberFormat="1" applyFont="1" applyFill="1" applyBorder="1" applyAlignment="1">
      <alignment vertical="center" wrapText="1"/>
    </xf>
    <xf numFmtId="2" fontId="3" fillId="3" borderId="29" xfId="0" applyNumberFormat="1" applyFont="1" applyFill="1" applyBorder="1" applyAlignment="1">
      <alignment horizontal="right" vertical="center" wrapText="1"/>
    </xf>
    <xf numFmtId="2" fontId="12" fillId="3" borderId="29" xfId="0" applyNumberFormat="1" applyFont="1" applyFill="1" applyBorder="1" applyAlignment="1">
      <alignment vertical="center" wrapText="1"/>
    </xf>
    <xf numFmtId="1" fontId="3" fillId="3" borderId="20" xfId="0" applyNumberFormat="1" applyFont="1" applyFill="1" applyBorder="1" applyAlignment="1">
      <alignment horizontal="right" vertical="center" wrapText="1"/>
    </xf>
    <xf numFmtId="1" fontId="3" fillId="3" borderId="20" xfId="0" applyNumberFormat="1" applyFont="1" applyFill="1" applyBorder="1" applyAlignment="1">
      <alignment vertical="center" wrapText="1"/>
    </xf>
    <xf numFmtId="2" fontId="3" fillId="3" borderId="20" xfId="0" applyNumberFormat="1" applyFont="1" applyFill="1" applyBorder="1" applyAlignment="1">
      <alignment horizontal="right" vertical="center" wrapText="1"/>
    </xf>
    <xf numFmtId="0" fontId="16" fillId="2" borderId="0" xfId="0" applyFont="1" applyFill="1" applyAlignment="1" applyProtection="1">
      <alignment horizontal="left" vertical="center" wrapText="1"/>
      <protection locked="0"/>
    </xf>
    <xf numFmtId="169" fontId="0" fillId="0" borderId="0" xfId="0" applyNumberFormat="1"/>
    <xf numFmtId="0" fontId="1" fillId="2" borderId="4" xfId="0" applyFont="1" applyFill="1" applyBorder="1" applyAlignment="1">
      <alignment vertical="center" wrapText="1"/>
    </xf>
    <xf numFmtId="0" fontId="1" fillId="2" borderId="5" xfId="0" applyFont="1" applyFill="1" applyBorder="1" applyAlignment="1">
      <alignment vertical="center" wrapText="1"/>
    </xf>
    <xf numFmtId="165" fontId="4" fillId="3" borderId="26" xfId="0" applyNumberFormat="1" applyFont="1" applyFill="1" applyBorder="1" applyAlignment="1">
      <alignment horizontal="right" vertical="center" wrapText="1"/>
    </xf>
    <xf numFmtId="1" fontId="4" fillId="3" borderId="26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0" fontId="27" fillId="0" borderId="0" xfId="0" applyFont="1"/>
    <xf numFmtId="0" fontId="27" fillId="3" borderId="0" xfId="0" applyFont="1" applyFill="1"/>
    <xf numFmtId="0" fontId="27" fillId="0" borderId="0" xfId="0" applyFont="1" applyAlignment="1">
      <alignment horizontal="center"/>
    </xf>
    <xf numFmtId="0" fontId="27" fillId="3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28" fillId="0" borderId="3" xfId="0" applyFont="1" applyBorder="1" applyAlignment="1">
      <alignment horizontal="center" vertical="center"/>
    </xf>
    <xf numFmtId="1" fontId="0" fillId="3" borderId="2" xfId="0" applyNumberFormat="1" applyFill="1" applyBorder="1"/>
    <xf numFmtId="2" fontId="0" fillId="3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29" fillId="3" borderId="2" xfId="0" applyFont="1" applyFill="1" applyBorder="1" applyAlignment="1">
      <alignment wrapText="1"/>
    </xf>
    <xf numFmtId="0" fontId="6" fillId="5" borderId="25" xfId="0" applyFont="1" applyFill="1" applyBorder="1" applyAlignment="1">
      <alignment horizontal="center" wrapText="1"/>
    </xf>
    <xf numFmtId="0" fontId="27" fillId="3" borderId="2" xfId="0" applyFont="1" applyFill="1" applyBorder="1"/>
    <xf numFmtId="166" fontId="2" fillId="2" borderId="0" xfId="0" applyNumberFormat="1" applyFont="1" applyFill="1" applyAlignment="1">
      <alignment horizontal="center" vertical="center" wrapText="1"/>
    </xf>
    <xf numFmtId="166" fontId="1" fillId="2" borderId="0" xfId="0" applyNumberFormat="1" applyFont="1" applyFill="1" applyAlignment="1">
      <alignment horizontal="center" vertical="center" wrapText="1"/>
    </xf>
    <xf numFmtId="0" fontId="1" fillId="2" borderId="30" xfId="0" applyFont="1" applyFill="1" applyBorder="1" applyAlignment="1">
      <alignment wrapText="1"/>
    </xf>
    <xf numFmtId="168" fontId="1" fillId="2" borderId="31" xfId="0" applyNumberFormat="1" applyFont="1" applyFill="1" applyBorder="1" applyAlignment="1">
      <alignment horizontal="left" wrapText="1"/>
    </xf>
    <xf numFmtId="0" fontId="1" fillId="2" borderId="32" xfId="0" applyFont="1" applyFill="1" applyBorder="1" applyAlignment="1">
      <alignment wrapText="1"/>
    </xf>
    <xf numFmtId="0" fontId="1" fillId="2" borderId="33" xfId="0" applyFont="1" applyFill="1" applyBorder="1" applyAlignment="1">
      <alignment wrapText="1"/>
    </xf>
    <xf numFmtId="0" fontId="1" fillId="2" borderId="33" xfId="0" applyFont="1" applyFill="1" applyBorder="1" applyAlignment="1">
      <alignment horizontal="center" vertical="center" wrapText="1"/>
    </xf>
    <xf numFmtId="3" fontId="1" fillId="2" borderId="33" xfId="0" applyNumberFormat="1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wrapText="1"/>
    </xf>
    <xf numFmtId="168" fontId="1" fillId="2" borderId="34" xfId="0" applyNumberFormat="1" applyFont="1" applyFill="1" applyBorder="1" applyAlignment="1">
      <alignment horizontal="left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1" fontId="0" fillId="3" borderId="6" xfId="0" applyNumberFormat="1" applyFill="1" applyBorder="1" applyProtection="1">
      <protection locked="0"/>
    </xf>
    <xf numFmtId="0" fontId="1" fillId="5" borderId="24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1" fillId="5" borderId="25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167" fontId="1" fillId="2" borderId="24" xfId="1" applyNumberFormat="1" applyFont="1" applyFill="1" applyBorder="1" applyAlignment="1" applyProtection="1">
      <alignment vertical="center" wrapText="1"/>
    </xf>
    <xf numFmtId="167" fontId="6" fillId="2" borderId="24" xfId="1" applyNumberFormat="1" applyFont="1" applyFill="1" applyBorder="1" applyAlignment="1" applyProtection="1">
      <alignment vertical="center" wrapText="1"/>
    </xf>
    <xf numFmtId="167" fontId="8" fillId="2" borderId="24" xfId="1" applyNumberFormat="1" applyFont="1" applyFill="1" applyBorder="1" applyAlignment="1" applyProtection="1">
      <alignment vertical="center" wrapText="1"/>
    </xf>
    <xf numFmtId="167" fontId="1" fillId="2" borderId="25" xfId="1" applyNumberFormat="1" applyFont="1" applyFill="1" applyBorder="1" applyAlignment="1" applyProtection="1">
      <alignment vertical="center" wrapText="1"/>
    </xf>
    <xf numFmtId="167" fontId="6" fillId="2" borderId="25" xfId="1" applyNumberFormat="1" applyFont="1" applyFill="1" applyBorder="1" applyAlignment="1" applyProtection="1">
      <alignment vertical="center" wrapText="1"/>
    </xf>
    <xf numFmtId="49" fontId="3" fillId="2" borderId="0" xfId="0" applyNumberFormat="1" applyFont="1" applyFill="1" applyAlignment="1" applyProtection="1">
      <alignment vertical="center" wrapText="1"/>
      <protection locked="0"/>
    </xf>
    <xf numFmtId="173" fontId="3" fillId="2" borderId="0" xfId="0" applyNumberFormat="1" applyFont="1" applyFill="1" applyAlignment="1" applyProtection="1">
      <alignment vertical="center" wrapText="1"/>
      <protection locked="0"/>
    </xf>
    <xf numFmtId="173" fontId="9" fillId="2" borderId="0" xfId="0" applyNumberFormat="1" applyFont="1" applyFill="1" applyAlignment="1" applyProtection="1">
      <alignment horizontal="left" vertical="center" wrapText="1"/>
      <protection locked="0"/>
    </xf>
    <xf numFmtId="175" fontId="19" fillId="2" borderId="0" xfId="0" applyNumberFormat="1" applyFont="1" applyFill="1" applyAlignment="1" applyProtection="1">
      <alignment vertical="center" wrapText="1"/>
      <protection locked="0"/>
    </xf>
    <xf numFmtId="175" fontId="19" fillId="2" borderId="0" xfId="0" applyNumberFormat="1" applyFont="1" applyFill="1" applyAlignment="1">
      <alignment vertical="center" wrapText="1"/>
    </xf>
    <xf numFmtId="175" fontId="0" fillId="3" borderId="0" xfId="0" applyNumberFormat="1" applyFill="1" applyProtection="1">
      <protection locked="0"/>
    </xf>
    <xf numFmtId="167" fontId="6" fillId="5" borderId="25" xfId="1" applyNumberFormat="1" applyFont="1" applyFill="1" applyBorder="1" applyAlignment="1" applyProtection="1">
      <alignment horizontal="center" vertical="center" wrapText="1"/>
    </xf>
    <xf numFmtId="168" fontId="6" fillId="5" borderId="25" xfId="0" applyNumberFormat="1" applyFont="1" applyFill="1" applyBorder="1" applyAlignment="1">
      <alignment horizontal="center" wrapText="1"/>
    </xf>
    <xf numFmtId="0" fontId="30" fillId="2" borderId="0" xfId="0" applyFont="1" applyFill="1" applyAlignment="1">
      <alignment wrapText="1"/>
    </xf>
    <xf numFmtId="0" fontId="31" fillId="3" borderId="2" xfId="0" applyFont="1" applyFill="1" applyBorder="1"/>
    <xf numFmtId="0" fontId="31" fillId="3" borderId="2" xfId="0" applyFont="1" applyFill="1" applyBorder="1" applyAlignment="1">
      <alignment horizontal="center"/>
    </xf>
    <xf numFmtId="3" fontId="4" fillId="3" borderId="26" xfId="0" applyNumberFormat="1" applyFont="1" applyFill="1" applyBorder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left" vertical="center" wrapText="1"/>
      <protection locked="0"/>
    </xf>
    <xf numFmtId="0" fontId="3" fillId="2" borderId="0" xfId="0" applyFont="1" applyFill="1" applyAlignment="1" applyProtection="1">
      <alignment horizontal="left" vertical="center" wrapText="1"/>
      <protection locked="0"/>
    </xf>
    <xf numFmtId="0" fontId="14" fillId="2" borderId="0" xfId="0" applyFont="1" applyFill="1" applyAlignment="1">
      <alignment horizontal="center" wrapText="1"/>
    </xf>
    <xf numFmtId="2" fontId="1" fillId="2" borderId="0" xfId="0" quotePrefix="1" applyNumberFormat="1" applyFont="1" applyFill="1" applyAlignment="1">
      <alignment horizontal="left" wrapText="1"/>
    </xf>
    <xf numFmtId="173" fontId="3" fillId="2" borderId="0" xfId="0" applyNumberFormat="1" applyFont="1" applyFill="1" applyAlignment="1">
      <alignment horizontal="left" vertical="center" wrapText="1"/>
    </xf>
    <xf numFmtId="2" fontId="1" fillId="2" borderId="0" xfId="0" quotePrefix="1" applyNumberFormat="1" applyFont="1" applyFill="1" applyAlignment="1">
      <alignment horizontal="left" vertical="top" wrapText="1"/>
    </xf>
    <xf numFmtId="174" fontId="4" fillId="2" borderId="0" xfId="0" applyNumberFormat="1" applyFont="1" applyFill="1" applyAlignment="1" applyProtection="1">
      <alignment horizontal="right" wrapText="1"/>
      <protection locked="0"/>
    </xf>
    <xf numFmtId="0" fontId="19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right" vertical="center" wrapText="1"/>
    </xf>
    <xf numFmtId="0" fontId="3" fillId="2" borderId="0" xfId="0" applyFont="1" applyFill="1" applyAlignment="1">
      <alignment horizontal="left" vertical="center" wrapText="1"/>
    </xf>
    <xf numFmtId="0" fontId="32" fillId="2" borderId="0" xfId="0" applyFont="1" applyFill="1" applyAlignment="1">
      <alignment horizontal="center" wrapText="1"/>
    </xf>
    <xf numFmtId="2" fontId="14" fillId="2" borderId="0" xfId="0" applyNumberFormat="1" applyFont="1" applyFill="1" applyAlignment="1">
      <alignment horizontal="center" wrapText="1"/>
    </xf>
    <xf numFmtId="173" fontId="3" fillId="3" borderId="0" xfId="0" applyNumberFormat="1" applyFont="1" applyFill="1" applyAlignment="1">
      <alignment horizontal="center" vertical="center" wrapText="1"/>
    </xf>
    <xf numFmtId="0" fontId="23" fillId="3" borderId="0" xfId="0" applyFont="1" applyFill="1" applyAlignment="1" applyProtection="1">
      <alignment horizontal="left" vertical="top"/>
      <protection locked="0"/>
    </xf>
    <xf numFmtId="175" fontId="12" fillId="2" borderId="0" xfId="0" applyNumberFormat="1" applyFont="1" applyFill="1" applyAlignment="1">
      <alignment horizontal="left" vertical="center" wrapText="1"/>
    </xf>
    <xf numFmtId="0" fontId="21" fillId="3" borderId="0" xfId="0" applyFont="1" applyFill="1" applyAlignment="1">
      <alignment horizontal="center" wrapText="1"/>
    </xf>
    <xf numFmtId="0" fontId="3" fillId="3" borderId="0" xfId="0" applyFont="1" applyFill="1" applyAlignment="1">
      <alignment horizontal="left" vertical="center" wrapText="1"/>
    </xf>
    <xf numFmtId="2" fontId="1" fillId="3" borderId="0" xfId="0" quotePrefix="1" applyNumberFormat="1" applyFont="1" applyFill="1" applyAlignment="1">
      <alignment horizontal="left" wrapText="1"/>
    </xf>
    <xf numFmtId="174" fontId="4" fillId="2" borderId="0" xfId="0" applyNumberFormat="1" applyFont="1" applyFill="1" applyAlignment="1">
      <alignment horizontal="right" vertical="center" wrapText="1"/>
    </xf>
    <xf numFmtId="0" fontId="3" fillId="2" borderId="0" xfId="0" applyFont="1" applyFill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/mm/dd;@"/>
      <fill>
        <patternFill patternType="solid">
          <fgColor indexed="64"/>
          <bgColor rgb="FFFFFF99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rgb="FFFFFF99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_-* #,##0\ _F_t_-;\-* #,##0\ _F_t_-;_-* &quot;-&quot;??\ _F_t_-;_-@_-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 tint="-0.34998626667073579"/>
        </top>
        <bottom/>
      </border>
      <protection locked="1" hidden="0"/>
    </dxf>
    <dxf>
      <font>
        <sz val="8"/>
        <color auto="1"/>
        <name val="Arial"/>
        <scheme val="none"/>
      </font>
      <numFmt numFmtId="167" formatCode="_-* #,##0\ _F_t_-;\-* #,##0\ _F_t_-;_-* &quot;-&quot;??\ _F_t_-;_-@_-"/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0" tint="-0.34998626667073579"/>
        </top>
        <bottom/>
      </border>
      <protection locked="1" hidden="0"/>
    </dxf>
    <dxf>
      <fill>
        <patternFill patternType="solid">
          <fgColor indexed="64"/>
          <bgColor rgb="FFFFFF99"/>
        </patternFill>
      </fill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FFFF99"/>
        </patternFill>
      </fill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rgb="FFDDDDD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23"/>
        </top>
        <bottom style="thin">
          <color indexed="23"/>
        </bottom>
      </border>
    </dxf>
    <dxf>
      <border outline="0">
        <top style="thin">
          <color indexed="23"/>
        </top>
      </border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2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0</xdr:row>
          <xdr:rowOff>76200</xdr:rowOff>
        </xdr:from>
        <xdr:to>
          <xdr:col>13</xdr:col>
          <xdr:colOff>76200</xdr:colOff>
          <xdr:row>1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Új ügyfél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76200</xdr:rowOff>
        </xdr:from>
        <xdr:to>
          <xdr:col>14</xdr:col>
          <xdr:colOff>514350</xdr:colOff>
          <xdr:row>1</xdr:row>
          <xdr:rowOff>200025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Új üveg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561975</xdr:colOff>
          <xdr:row>0</xdr:row>
          <xdr:rowOff>76200</xdr:rowOff>
        </xdr:from>
        <xdr:to>
          <xdr:col>17</xdr:col>
          <xdr:colOff>152400</xdr:colOff>
          <xdr:row>1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Mentés Arhívumba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0</xdr:row>
          <xdr:rowOff>76200</xdr:rowOff>
        </xdr:from>
        <xdr:to>
          <xdr:col>18</xdr:col>
          <xdr:colOff>590550</xdr:colOff>
          <xdr:row>1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Nyomtatás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673AD9-DCC9-4B6F-BC38-0F44A0AD6B6F}" name="Table12" displayName="Table12" ref="A1:F31" totalsRowShown="0" headerRowDxfId="17" dataDxfId="15" headerRowBorderDxfId="16" tableBorderDxfId="14" totalsRowBorderDxfId="13">
  <autoFilter ref="A1:F31" xr:uid="{AACA9102-C87A-443B-9778-F03B14F026F6}"/>
  <tableColumns count="6">
    <tableColumn id="1" xr3:uid="{00000000-0010-0000-0100-000001000000}" name="Fül" dataDxfId="12"/>
    <tableColumn id="2" xr3:uid="{00000000-0010-0000-0100-000002000000}" name="Mező neve" dataDxfId="11"/>
    <tableColumn id="3" xr3:uid="{00000000-0010-0000-0100-000003000000}" name="Mező referencia" dataDxfId="10"/>
    <tableColumn id="4" xr3:uid="{00000000-0010-0000-0100-000004000000}" name="Magyarázat" dataDxfId="9"/>
    <tableColumn id="5" xr3:uid="{00000000-0010-0000-0100-000005000000}" name="Részletek" dataDxfId="8"/>
    <tableColumn id="6" xr3:uid="{00000000-0010-0000-0100-000006000000}" name="Kötelező mező?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F8C7CB-1AD6-4DB7-A06F-A4CA3233F032}" name="Táblázat1" displayName="Táblázat1" ref="A1:F44" totalsRowShown="0">
  <autoFilter ref="A1:F44" xr:uid="{34A6B61A-7B0C-43A2-8C98-22CD74029A90}"/>
  <sortState xmlns:xlrd2="http://schemas.microsoft.com/office/spreadsheetml/2017/richdata2" ref="A2:H39">
    <sortCondition ref="A2:A39"/>
  </sortState>
  <tableColumns count="6">
    <tableColumn id="1" xr3:uid="{00000000-0010-0000-0300-000001000000}" name="Termék Kod" dataDxfId="5"/>
    <tableColumn id="2" xr3:uid="{00000000-0010-0000-0300-000002000000}" name="Termék Megnevezés" dataDxfId="4"/>
    <tableColumn id="3" xr3:uid="{00000000-0010-0000-0300-000003000000}" name="Eladási Ár 0" dataDxfId="3"/>
    <tableColumn id="4" xr3:uid="{00000000-0010-0000-0300-000004000000}" name="Eladási Ár 2" dataDxfId="2">
      <calculatedColumnFormula>ROUNDUP(C2-C2*15/100,0)</calculatedColumnFormula>
    </tableColumn>
    <tableColumn id="5" xr3:uid="{00000000-0010-0000-0300-000005000000}" name="Termek tipus" dataDxfId="1"/>
    <tableColumn id="6" xr3:uid="{00000000-0010-0000-0300-000006000000}" name="Modosítás dátuma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5967-2F72-4948-B28D-9415447DB290}">
  <sheetPr codeName="Sheet7"/>
  <dimension ref="A1:C2"/>
  <sheetViews>
    <sheetView workbookViewId="0"/>
  </sheetViews>
  <sheetFormatPr defaultRowHeight="15" x14ac:dyDescent="0.25"/>
  <cols>
    <col min="2" max="2" width="11.7109375" customWidth="1"/>
  </cols>
  <sheetData>
    <row r="1" spans="1:3" x14ac:dyDescent="0.25">
      <c r="A1" t="s">
        <v>254</v>
      </c>
    </row>
    <row r="2" spans="1:3" ht="22.5" x14ac:dyDescent="0.25">
      <c r="B2" s="95" t="s">
        <v>234</v>
      </c>
      <c r="C2" s="96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A08F-2EBC-4AC8-B8B4-B05D25E5B9D2}">
  <sheetPr codeName="Sheet8"/>
  <dimension ref="A1:F31"/>
  <sheetViews>
    <sheetView zoomScale="130" zoomScaleNormal="130" workbookViewId="0">
      <pane ySplit="1" topLeftCell="A17" activePane="bottomLeft" state="frozen"/>
      <selection activeCell="C1" sqref="C1:D1"/>
      <selection pane="bottomLeft" activeCell="D20" sqref="D20"/>
    </sheetView>
  </sheetViews>
  <sheetFormatPr defaultColWidth="8.85546875" defaultRowHeight="18" customHeight="1" x14ac:dyDescent="0.25"/>
  <cols>
    <col min="1" max="1" width="12" style="6" customWidth="1"/>
    <col min="2" max="2" width="21.85546875" style="6" bestFit="1" customWidth="1"/>
    <col min="3" max="3" width="14" style="6" customWidth="1"/>
    <col min="4" max="4" width="25.140625" style="6" customWidth="1"/>
    <col min="5" max="5" width="37.42578125" style="6" customWidth="1"/>
    <col min="6" max="6" width="14.140625" style="6" customWidth="1"/>
    <col min="7" max="16384" width="8.85546875" style="6"/>
  </cols>
  <sheetData>
    <row r="1" spans="1:6" s="1" customFormat="1" ht="23.45" customHeight="1" x14ac:dyDescent="0.2">
      <c r="A1" s="7" t="s">
        <v>258</v>
      </c>
      <c r="B1" s="7" t="s">
        <v>298</v>
      </c>
      <c r="C1" s="7" t="s">
        <v>299</v>
      </c>
      <c r="D1" s="7" t="s">
        <v>259</v>
      </c>
      <c r="E1" s="7" t="s">
        <v>260</v>
      </c>
      <c r="F1" s="7" t="s">
        <v>282</v>
      </c>
    </row>
    <row r="2" spans="1:6" ht="11.25" x14ac:dyDescent="0.25">
      <c r="A2" s="133" t="s">
        <v>261</v>
      </c>
      <c r="B2" s="133" t="s">
        <v>235</v>
      </c>
      <c r="C2" s="133" t="s">
        <v>265</v>
      </c>
      <c r="D2" s="133" t="s">
        <v>286</v>
      </c>
      <c r="E2" s="133"/>
      <c r="F2" s="133" t="s">
        <v>283</v>
      </c>
    </row>
    <row r="3" spans="1:6" ht="38.450000000000003" customHeight="1" x14ac:dyDescent="0.25">
      <c r="A3" s="133" t="s">
        <v>261</v>
      </c>
      <c r="B3" s="133" t="s">
        <v>253</v>
      </c>
      <c r="C3" s="133" t="s">
        <v>266</v>
      </c>
      <c r="D3" s="133" t="s">
        <v>300</v>
      </c>
      <c r="E3" s="133" t="s">
        <v>301</v>
      </c>
      <c r="F3" s="133" t="s">
        <v>283</v>
      </c>
    </row>
    <row r="4" spans="1:6" ht="23.45" customHeight="1" x14ac:dyDescent="0.25">
      <c r="A4" s="133" t="s">
        <v>261</v>
      </c>
      <c r="B4" s="133" t="s">
        <v>262</v>
      </c>
      <c r="C4" s="133" t="s">
        <v>267</v>
      </c>
      <c r="D4" s="133" t="s">
        <v>296</v>
      </c>
      <c r="E4" s="133" t="s">
        <v>297</v>
      </c>
      <c r="F4" s="133" t="s">
        <v>283</v>
      </c>
    </row>
    <row r="5" spans="1:6" ht="23.45" customHeight="1" x14ac:dyDescent="0.25">
      <c r="A5" s="133" t="s">
        <v>261</v>
      </c>
      <c r="B5" s="133" t="s">
        <v>14</v>
      </c>
      <c r="C5" s="133" t="s">
        <v>284</v>
      </c>
      <c r="D5" s="133" t="s">
        <v>304</v>
      </c>
      <c r="E5" s="133" t="s">
        <v>303</v>
      </c>
      <c r="F5" s="133" t="s">
        <v>283</v>
      </c>
    </row>
    <row r="6" spans="1:6" ht="18" customHeight="1" x14ac:dyDescent="0.25">
      <c r="A6" s="133" t="s">
        <v>261</v>
      </c>
      <c r="B6" s="133" t="s">
        <v>236</v>
      </c>
      <c r="C6" s="133" t="s">
        <v>268</v>
      </c>
      <c r="D6" s="133" t="s">
        <v>285</v>
      </c>
      <c r="E6" s="133" t="s">
        <v>295</v>
      </c>
      <c r="F6" s="133" t="s">
        <v>283</v>
      </c>
    </row>
    <row r="7" spans="1:6" ht="26.45" customHeight="1" x14ac:dyDescent="0.25">
      <c r="A7" s="133" t="s">
        <v>261</v>
      </c>
      <c r="B7" s="133" t="s">
        <v>237</v>
      </c>
      <c r="C7" s="133" t="s">
        <v>269</v>
      </c>
      <c r="D7" s="133" t="s">
        <v>305</v>
      </c>
      <c r="E7" s="133" t="s">
        <v>306</v>
      </c>
      <c r="F7" s="133" t="s">
        <v>283</v>
      </c>
    </row>
    <row r="8" spans="1:6" ht="18" customHeight="1" x14ac:dyDescent="0.25">
      <c r="A8" s="133" t="s">
        <v>261</v>
      </c>
      <c r="B8" s="133" t="s">
        <v>263</v>
      </c>
      <c r="C8" s="133" t="s">
        <v>264</v>
      </c>
      <c r="D8" s="133" t="s">
        <v>302</v>
      </c>
      <c r="E8" s="133"/>
      <c r="F8" s="133" t="s">
        <v>283</v>
      </c>
    </row>
    <row r="9" spans="1:6" ht="19.899999999999999" customHeight="1" x14ac:dyDescent="0.25">
      <c r="A9" s="133" t="s">
        <v>261</v>
      </c>
      <c r="B9" s="133" t="s">
        <v>257</v>
      </c>
      <c r="C9" s="133" t="s">
        <v>270</v>
      </c>
      <c r="D9" s="133" t="s">
        <v>293</v>
      </c>
      <c r="E9" s="133" t="s">
        <v>294</v>
      </c>
      <c r="F9" s="133" t="s">
        <v>292</v>
      </c>
    </row>
    <row r="10" spans="1:6" ht="18" customHeight="1" x14ac:dyDescent="0.25">
      <c r="A10" s="133" t="s">
        <v>261</v>
      </c>
      <c r="B10" s="133" t="s">
        <v>238</v>
      </c>
      <c r="C10" s="133" t="s">
        <v>271</v>
      </c>
      <c r="D10" s="133" t="s">
        <v>343</v>
      </c>
      <c r="E10" s="133"/>
      <c r="F10" s="133" t="s">
        <v>344</v>
      </c>
    </row>
    <row r="11" spans="1:6" ht="18" customHeight="1" x14ac:dyDescent="0.25">
      <c r="A11" s="133" t="s">
        <v>261</v>
      </c>
      <c r="B11" s="133" t="s">
        <v>239</v>
      </c>
      <c r="C11" s="133" t="s">
        <v>272</v>
      </c>
      <c r="D11" s="133" t="s">
        <v>345</v>
      </c>
      <c r="E11" s="133" t="s">
        <v>348</v>
      </c>
      <c r="F11" s="133" t="s">
        <v>283</v>
      </c>
    </row>
    <row r="12" spans="1:6" ht="18" customHeight="1" x14ac:dyDescent="0.25">
      <c r="A12" s="133" t="s">
        <v>261</v>
      </c>
      <c r="B12" s="133" t="s">
        <v>240</v>
      </c>
      <c r="C12" s="133" t="s">
        <v>273</v>
      </c>
      <c r="D12" s="133" t="s">
        <v>346</v>
      </c>
      <c r="E12" s="133" t="s">
        <v>348</v>
      </c>
      <c r="F12" s="133" t="s">
        <v>283</v>
      </c>
    </row>
    <row r="13" spans="1:6" ht="18" customHeight="1" x14ac:dyDescent="0.25">
      <c r="A13" s="133" t="s">
        <v>261</v>
      </c>
      <c r="B13" s="133" t="s">
        <v>241</v>
      </c>
      <c r="C13" s="133" t="s">
        <v>274</v>
      </c>
      <c r="D13" s="133" t="s">
        <v>347</v>
      </c>
      <c r="E13" s="133" t="s">
        <v>348</v>
      </c>
      <c r="F13" s="133" t="s">
        <v>283</v>
      </c>
    </row>
    <row r="14" spans="1:6" ht="18" customHeight="1" x14ac:dyDescent="0.25">
      <c r="A14" s="133" t="s">
        <v>261</v>
      </c>
      <c r="B14" s="133" t="s">
        <v>242</v>
      </c>
      <c r="C14" s="133" t="s">
        <v>275</v>
      </c>
      <c r="D14" s="133" t="s">
        <v>349</v>
      </c>
      <c r="E14" s="133"/>
      <c r="F14" s="133" t="s">
        <v>344</v>
      </c>
    </row>
    <row r="15" spans="1:6" ht="22.5" x14ac:dyDescent="0.25">
      <c r="A15" s="133" t="s">
        <v>261</v>
      </c>
      <c r="B15" s="133" t="s">
        <v>288</v>
      </c>
      <c r="C15" s="133" t="s">
        <v>276</v>
      </c>
      <c r="D15" s="133" t="s">
        <v>356</v>
      </c>
      <c r="E15" s="133" t="s">
        <v>357</v>
      </c>
      <c r="F15" s="133" t="s">
        <v>344</v>
      </c>
    </row>
    <row r="16" spans="1:6" ht="18" customHeight="1" x14ac:dyDescent="0.25">
      <c r="A16" s="133" t="s">
        <v>261</v>
      </c>
      <c r="B16" s="133" t="s">
        <v>289</v>
      </c>
      <c r="C16" s="133" t="s">
        <v>277</v>
      </c>
      <c r="D16" s="133" t="s">
        <v>358</v>
      </c>
      <c r="E16" s="133"/>
      <c r="F16" s="133" t="s">
        <v>344</v>
      </c>
    </row>
    <row r="17" spans="1:6" ht="18" customHeight="1" x14ac:dyDescent="0.25">
      <c r="A17" s="133" t="s">
        <v>261</v>
      </c>
      <c r="B17" s="133" t="s">
        <v>290</v>
      </c>
      <c r="C17" s="133" t="s">
        <v>278</v>
      </c>
      <c r="D17" s="133" t="s">
        <v>359</v>
      </c>
      <c r="E17" s="133"/>
      <c r="F17" s="133" t="s">
        <v>344</v>
      </c>
    </row>
    <row r="18" spans="1:6" ht="18" customHeight="1" x14ac:dyDescent="0.25">
      <c r="A18" s="133" t="s">
        <v>261</v>
      </c>
      <c r="B18" s="133" t="s">
        <v>291</v>
      </c>
      <c r="C18" s="133" t="s">
        <v>279</v>
      </c>
      <c r="D18" s="133" t="s">
        <v>360</v>
      </c>
      <c r="E18" s="133"/>
      <c r="F18" s="133" t="s">
        <v>344</v>
      </c>
    </row>
    <row r="19" spans="1:6" ht="18" customHeight="1" x14ac:dyDescent="0.25">
      <c r="A19" s="134" t="s">
        <v>261</v>
      </c>
      <c r="B19" s="134" t="s">
        <v>234</v>
      </c>
      <c r="C19" s="134" t="s">
        <v>280</v>
      </c>
      <c r="D19" s="134" t="s">
        <v>281</v>
      </c>
      <c r="E19" s="134" t="s">
        <v>287</v>
      </c>
      <c r="F19" s="134"/>
    </row>
    <row r="20" spans="1:6" ht="18" customHeight="1" x14ac:dyDescent="0.25">
      <c r="A20" s="134" t="s">
        <v>307</v>
      </c>
      <c r="B20" s="134" t="s">
        <v>16</v>
      </c>
      <c r="C20" s="134" t="s">
        <v>308</v>
      </c>
      <c r="D20" s="134"/>
      <c r="E20" s="134"/>
      <c r="F20" s="134"/>
    </row>
    <row r="21" spans="1:6" ht="18" customHeight="1" x14ac:dyDescent="0.25">
      <c r="A21" s="134" t="s">
        <v>307</v>
      </c>
      <c r="B21" s="134" t="s">
        <v>17</v>
      </c>
      <c r="C21" s="134" t="s">
        <v>309</v>
      </c>
      <c r="D21" s="134"/>
      <c r="E21" s="134"/>
      <c r="F21" s="134"/>
    </row>
    <row r="22" spans="1:6" ht="18" customHeight="1" x14ac:dyDescent="0.25">
      <c r="A22" s="134" t="s">
        <v>307</v>
      </c>
      <c r="B22" s="134" t="s">
        <v>20</v>
      </c>
      <c r="C22" s="134" t="s">
        <v>310</v>
      </c>
      <c r="D22" s="134"/>
      <c r="E22" s="134"/>
      <c r="F22" s="134"/>
    </row>
    <row r="23" spans="1:6" ht="18" customHeight="1" x14ac:dyDescent="0.25">
      <c r="A23" s="134" t="s">
        <v>307</v>
      </c>
      <c r="B23" s="134" t="s">
        <v>36</v>
      </c>
      <c r="C23" s="134" t="s">
        <v>311</v>
      </c>
      <c r="D23" s="134"/>
      <c r="E23" s="134"/>
      <c r="F23" s="134"/>
    </row>
    <row r="24" spans="1:6" ht="18" customHeight="1" x14ac:dyDescent="0.25">
      <c r="A24" s="134" t="s">
        <v>307</v>
      </c>
      <c r="B24" s="134" t="s">
        <v>37</v>
      </c>
      <c r="C24" s="134" t="s">
        <v>312</v>
      </c>
      <c r="D24" s="134"/>
      <c r="E24" s="134"/>
      <c r="F24" s="134"/>
    </row>
    <row r="25" spans="1:6" ht="18" customHeight="1" x14ac:dyDescent="0.25">
      <c r="A25" s="134" t="s">
        <v>307</v>
      </c>
      <c r="B25" s="134" t="s">
        <v>38</v>
      </c>
      <c r="C25" s="134" t="s">
        <v>313</v>
      </c>
      <c r="D25" s="134"/>
      <c r="E25" s="134"/>
      <c r="F25" s="134"/>
    </row>
    <row r="26" spans="1:6" ht="18" customHeight="1" x14ac:dyDescent="0.25">
      <c r="A26" s="134" t="s">
        <v>307</v>
      </c>
      <c r="B26" s="134" t="s">
        <v>39</v>
      </c>
      <c r="C26" s="134" t="s">
        <v>314</v>
      </c>
      <c r="D26" s="134"/>
      <c r="E26" s="134"/>
      <c r="F26" s="134"/>
    </row>
    <row r="27" spans="1:6" ht="18" customHeight="1" x14ac:dyDescent="0.25">
      <c r="A27" s="134" t="s">
        <v>307</v>
      </c>
      <c r="B27" s="134" t="s">
        <v>15</v>
      </c>
      <c r="C27" s="134" t="s">
        <v>315</v>
      </c>
      <c r="D27" s="134"/>
      <c r="E27" s="134"/>
      <c r="F27" s="134"/>
    </row>
    <row r="28" spans="1:6" ht="18" customHeight="1" x14ac:dyDescent="0.25">
      <c r="A28" s="134" t="s">
        <v>307</v>
      </c>
      <c r="B28" s="134" t="s">
        <v>13</v>
      </c>
      <c r="C28" s="134" t="s">
        <v>316</v>
      </c>
      <c r="D28" s="134"/>
      <c r="E28" s="134"/>
      <c r="F28" s="134"/>
    </row>
    <row r="29" spans="1:6" ht="18" customHeight="1" x14ac:dyDescent="0.25">
      <c r="A29" s="134" t="s">
        <v>307</v>
      </c>
      <c r="B29" s="134" t="s">
        <v>88</v>
      </c>
      <c r="C29" s="134" t="s">
        <v>317</v>
      </c>
      <c r="D29" s="134"/>
      <c r="E29" s="134"/>
      <c r="F29" s="134"/>
    </row>
    <row r="30" spans="1:6" ht="18" customHeight="1" x14ac:dyDescent="0.25">
      <c r="A30" s="134" t="s">
        <v>307</v>
      </c>
      <c r="B30" s="134" t="s">
        <v>89</v>
      </c>
      <c r="C30" s="134" t="s">
        <v>319</v>
      </c>
      <c r="D30" s="134"/>
      <c r="E30" s="134"/>
      <c r="F30" s="134"/>
    </row>
    <row r="31" spans="1:6" ht="18" customHeight="1" x14ac:dyDescent="0.25">
      <c r="A31" s="134" t="s">
        <v>307</v>
      </c>
      <c r="B31" s="134" t="s">
        <v>233</v>
      </c>
      <c r="C31" s="134" t="s">
        <v>318</v>
      </c>
      <c r="D31" s="134"/>
      <c r="E31" s="134"/>
      <c r="F31" s="134"/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953AE-D687-4A63-9D6D-70D083C9EFF8}">
  <sheetPr codeName="Sheet12">
    <pageSetUpPr fitToPage="1"/>
  </sheetPr>
  <dimension ref="A1:U29"/>
  <sheetViews>
    <sheetView tabSelected="1" zoomScale="120" zoomScaleNormal="120" workbookViewId="0">
      <selection activeCell="G5" sqref="G5"/>
    </sheetView>
  </sheetViews>
  <sheetFormatPr defaultRowHeight="18" customHeight="1" x14ac:dyDescent="0.2"/>
  <cols>
    <col min="1" max="1" width="5.140625" style="2" bestFit="1" customWidth="1"/>
    <col min="2" max="2" width="9.42578125" style="2" bestFit="1" customWidth="1"/>
    <col min="3" max="3" width="10.85546875" style="2" bestFit="1" customWidth="1"/>
    <col min="4" max="4" width="6" style="3" bestFit="1" customWidth="1"/>
    <col min="5" max="5" width="6.5703125" style="4" bestFit="1" customWidth="1"/>
    <col min="6" max="6" width="10.140625" style="4" customWidth="1"/>
    <col min="7" max="7" width="8.5703125" style="5" customWidth="1"/>
    <col min="8" max="8" width="9.42578125" style="2" customWidth="1"/>
    <col min="9" max="9" width="16" style="2" bestFit="1" customWidth="1"/>
    <col min="10" max="10" width="6.140625" style="2" bestFit="1" customWidth="1"/>
    <col min="11" max="11" width="4.42578125" style="2" customWidth="1"/>
    <col min="12" max="17" width="9.140625" style="2"/>
    <col min="18" max="18" width="8.5703125" style="2" customWidth="1"/>
    <col min="19" max="19" width="9.140625" style="2"/>
    <col min="20" max="20" width="11.85546875" style="2" bestFit="1" customWidth="1"/>
    <col min="21" max="16384" width="9.140625" style="2"/>
  </cols>
  <sheetData>
    <row r="1" spans="1:21" ht="25.5" customHeight="1" x14ac:dyDescent="0.2">
      <c r="B1" s="93" t="s">
        <v>0</v>
      </c>
      <c r="C1" s="186" t="s">
        <v>442</v>
      </c>
      <c r="D1" s="187"/>
      <c r="E1" s="92" t="s">
        <v>243</v>
      </c>
      <c r="F1" s="187" t="s">
        <v>429</v>
      </c>
      <c r="G1" s="187"/>
      <c r="H1" s="187"/>
      <c r="I1" s="101">
        <f ca="1">IF(ISERROR(VLOOKUP(F1,Keszlet_data,J2,FALSE)),"",VLOOKUP(F1,Keszlet_data,J2,FALSE))</f>
        <v>193</v>
      </c>
      <c r="J1" s="8" t="s">
        <v>14</v>
      </c>
      <c r="K1" s="94">
        <v>2</v>
      </c>
    </row>
    <row r="2" spans="1:21" ht="32.450000000000003" customHeight="1" x14ac:dyDescent="0.2">
      <c r="B2" s="93" t="s">
        <v>1</v>
      </c>
      <c r="C2" s="190">
        <f ca="1">TODAY()</f>
        <v>45448</v>
      </c>
      <c r="D2" s="190"/>
      <c r="E2" s="190"/>
      <c r="F2" s="92" t="s">
        <v>252</v>
      </c>
      <c r="G2" s="131">
        <v>20</v>
      </c>
      <c r="H2" s="106" t="s">
        <v>436</v>
      </c>
      <c r="I2" s="107" t="s">
        <v>441</v>
      </c>
      <c r="J2" s="22">
        <f>IF(K1=0,4,8)</f>
        <v>8</v>
      </c>
      <c r="L2" s="22" t="str">
        <f ca="1">IF(ISERROR(VLOOKUP(F1,Keszlet_data,10,FALSE)),"",VLOOKUP(F1,Keszlet_data,10,FALSE))</f>
        <v>Duplex</v>
      </c>
      <c r="M2" s="22">
        <f ca="1">IF(L2="duplex",50,100)</f>
        <v>50</v>
      </c>
    </row>
    <row r="3" spans="1:21" ht="12.75" customHeight="1" x14ac:dyDescent="0.2">
      <c r="A3" s="182" t="s">
        <v>433</v>
      </c>
      <c r="B3" s="193" t="str">
        <f>IF(N4&lt;&gt;"Nincs",N4&amp;" meleg perem ","")&amp;" "&amp;IF(P4&lt;&gt;"Nincs",P4,"")&amp;" "&amp;IF(R4&lt;&gt;"Nincs",R4,"")</f>
        <v>Fekete meleg perem  Távtartóval Eltérő forma</v>
      </c>
      <c r="C3" s="193"/>
      <c r="D3" s="193"/>
      <c r="E3" s="193"/>
      <c r="F3" s="193"/>
      <c r="G3" s="182" t="s">
        <v>433</v>
      </c>
      <c r="H3" s="182" t="s">
        <v>433</v>
      </c>
      <c r="I3" s="182" t="s">
        <v>433</v>
      </c>
      <c r="J3" s="182" t="s">
        <v>433</v>
      </c>
      <c r="K3" s="182" t="s">
        <v>433</v>
      </c>
      <c r="L3" s="22"/>
      <c r="M3" s="22"/>
    </row>
    <row r="4" spans="1:21" s="1" customFormat="1" ht="54.75" customHeight="1" x14ac:dyDescent="0.2">
      <c r="A4" s="34" t="s">
        <v>251</v>
      </c>
      <c r="B4" s="8" t="s">
        <v>250</v>
      </c>
      <c r="C4" s="8" t="s">
        <v>249</v>
      </c>
      <c r="D4" s="9" t="s">
        <v>248</v>
      </c>
      <c r="E4" s="10" t="s">
        <v>247</v>
      </c>
      <c r="F4" s="10" t="s">
        <v>255</v>
      </c>
      <c r="G4" s="10" t="s">
        <v>246</v>
      </c>
      <c r="H4" s="8" t="s">
        <v>245</v>
      </c>
      <c r="I4" s="8" t="s">
        <v>244</v>
      </c>
      <c r="L4" s="194" t="s">
        <v>417</v>
      </c>
      <c r="M4" s="194"/>
      <c r="N4" s="175" t="s">
        <v>418</v>
      </c>
      <c r="O4" s="92" t="s">
        <v>421</v>
      </c>
      <c r="P4" s="176" t="s">
        <v>422</v>
      </c>
      <c r="Q4" s="93" t="s">
        <v>424</v>
      </c>
      <c r="R4" s="174" t="s">
        <v>423</v>
      </c>
      <c r="S4" s="93" t="s">
        <v>428</v>
      </c>
      <c r="T4" s="177">
        <f ca="1">TODAY()+3</f>
        <v>45451</v>
      </c>
      <c r="U4" s="178"/>
    </row>
    <row r="5" spans="1:21" s="6" customFormat="1" ht="17.25" customHeight="1" collapsed="1" x14ac:dyDescent="0.25">
      <c r="A5" s="109">
        <v>1</v>
      </c>
      <c r="B5" s="110">
        <v>100</v>
      </c>
      <c r="C5" s="110">
        <v>200</v>
      </c>
      <c r="D5" s="185">
        <v>2</v>
      </c>
      <c r="E5" s="112">
        <f>IF(OR(B5="",C5=""),"",ROUND(FTerulet(B5,C5)*D5,2))</f>
        <v>4</v>
      </c>
      <c r="F5" s="112">
        <f>IF(OR(B5="",C5=""),"",ROUND(FKisTerulet(C5,B5)*D5,2))</f>
        <v>0</v>
      </c>
      <c r="G5" s="113">
        <f>(IF(E5="","",(E5+F5)*IF($P$4="Távtartóval",1.3,1)*IF($R$4="Eltérő forma",1.3,1)))</f>
        <v>6.7600000000000007</v>
      </c>
      <c r="H5" s="114">
        <f t="shared" ref="H5:H18" si="0">IF(OR(B5="",C5=""),"",2*D5*(B5+C5))</f>
        <v>1200</v>
      </c>
      <c r="I5" s="114">
        <f t="shared" ref="I5:I24" ca="1" si="1">IF($F$1&lt;&gt;"",IF(G5&lt;&gt;"",ROUND(G5*$I$1,2)+IF($N$4&lt;&gt;"Nincs",G5*IF($L$2="duplex",50,100),0),""),"")</f>
        <v>1642.68</v>
      </c>
    </row>
    <row r="6" spans="1:21" s="6" customFormat="1" ht="17.25" customHeight="1" collapsed="1" x14ac:dyDescent="0.25">
      <c r="A6" s="109">
        <v>2</v>
      </c>
      <c r="B6" s="110">
        <v>50</v>
      </c>
      <c r="C6" s="110">
        <v>150</v>
      </c>
      <c r="D6" s="111">
        <v>2</v>
      </c>
      <c r="E6" s="112">
        <f>IF(OR(B6="",C6=""),"",ROUND(FTerulet(B6,C6)*D6,2))</f>
        <v>1.5</v>
      </c>
      <c r="F6" s="112">
        <f>IF(OR(B6="",C6=""),"",ROUND(FKisTerulet(C6,B6)*D6,2))</f>
        <v>0</v>
      </c>
      <c r="G6" s="113">
        <f t="shared" ref="G6:G24" si="2">(IF(E6="","",(E6+F6)*IF($P$4="Távtartóval",1.3,1)*IF($R$4="Eltérő forma",1.3,1)))</f>
        <v>2.5350000000000001</v>
      </c>
      <c r="H6" s="114">
        <f t="shared" si="0"/>
        <v>800</v>
      </c>
      <c r="I6" s="114">
        <f t="shared" ca="1" si="1"/>
        <v>616.01</v>
      </c>
    </row>
    <row r="7" spans="1:21" s="6" customFormat="1" ht="17.25" customHeight="1" collapsed="1" x14ac:dyDescent="0.25">
      <c r="A7" s="109">
        <v>3</v>
      </c>
      <c r="B7" s="110"/>
      <c r="C7" s="110"/>
      <c r="D7" s="111"/>
      <c r="E7" s="112" t="str">
        <f>IF(OR(B7="",C7=""),"",ROUND(FTerulet(B7,C7)*D7,2))</f>
        <v/>
      </c>
      <c r="F7" s="112" t="str">
        <f>IF(OR(B7="",C7=""),"",ROUND(FKisTerulet(C7,B7)*D7,2))</f>
        <v/>
      </c>
      <c r="G7" s="113" t="str">
        <f t="shared" si="2"/>
        <v/>
      </c>
      <c r="H7" s="114" t="str">
        <f t="shared" si="0"/>
        <v/>
      </c>
      <c r="I7" s="114" t="str">
        <f t="shared" si="1"/>
        <v/>
      </c>
      <c r="N7" s="195"/>
      <c r="O7" s="195"/>
      <c r="P7" s="195"/>
    </row>
    <row r="8" spans="1:21" s="6" customFormat="1" ht="17.25" customHeight="1" collapsed="1" x14ac:dyDescent="0.25">
      <c r="A8" s="109">
        <v>4</v>
      </c>
      <c r="B8" s="110"/>
      <c r="C8" s="110"/>
      <c r="D8" s="111"/>
      <c r="E8" s="112" t="str">
        <f>IF(OR(B8="",C8=""),"",ROUND(FTerulet(B8,C8)*D8,2))</f>
        <v/>
      </c>
      <c r="F8" s="112" t="str">
        <f>IF(OR(B8="",C8=""),"",ROUND(FKisTerulet(C8,B8)*D8,2))</f>
        <v/>
      </c>
      <c r="G8" s="113" t="str">
        <f t="shared" si="2"/>
        <v/>
      </c>
      <c r="H8" s="114" t="str">
        <f t="shared" si="0"/>
        <v/>
      </c>
      <c r="I8" s="114" t="str">
        <f t="shared" si="1"/>
        <v/>
      </c>
    </row>
    <row r="9" spans="1:21" s="6" customFormat="1" ht="17.25" customHeight="1" collapsed="1" x14ac:dyDescent="0.25">
      <c r="A9" s="109">
        <v>5</v>
      </c>
      <c r="B9" s="110"/>
      <c r="C9" s="110"/>
      <c r="D9" s="111"/>
      <c r="E9" s="112" t="str">
        <f>IF(OR(B9="",C9=""),"",ROUND(FTerulet(B9,C9)*D9,2))</f>
        <v/>
      </c>
      <c r="F9" s="112" t="str">
        <f>IF(OR(B9="",C9=""),"",ROUND(FKisTerulet(C9,B9)*D9,2))</f>
        <v/>
      </c>
      <c r="G9" s="113" t="str">
        <f t="shared" si="2"/>
        <v/>
      </c>
      <c r="H9" s="114" t="str">
        <f t="shared" si="0"/>
        <v/>
      </c>
      <c r="I9" s="114" t="str">
        <f t="shared" si="1"/>
        <v/>
      </c>
    </row>
    <row r="10" spans="1:21" s="6" customFormat="1" ht="17.25" customHeight="1" collapsed="1" x14ac:dyDescent="0.25">
      <c r="A10" s="109">
        <v>6</v>
      </c>
      <c r="B10" s="110"/>
      <c r="C10" s="110"/>
      <c r="D10" s="111"/>
      <c r="E10" s="112" t="str">
        <f>IF(OR(B10="",C10=""),"",ROUND(FTerulet(B10,C10)*D10,2))</f>
        <v/>
      </c>
      <c r="F10" s="112" t="str">
        <f>IF(OR(B10="",C10=""),"",ROUND(FKisTerulet(C10,B10)*D10,2))</f>
        <v/>
      </c>
      <c r="G10" s="113" t="str">
        <f t="shared" si="2"/>
        <v/>
      </c>
      <c r="H10" s="114" t="str">
        <f t="shared" si="0"/>
        <v/>
      </c>
      <c r="I10" s="114" t="str">
        <f t="shared" si="1"/>
        <v/>
      </c>
    </row>
    <row r="11" spans="1:21" s="6" customFormat="1" ht="18" customHeight="1" x14ac:dyDescent="0.25">
      <c r="A11" s="109">
        <v>7</v>
      </c>
      <c r="B11" s="110"/>
      <c r="C11" s="110"/>
      <c r="D11" s="111"/>
      <c r="E11" s="112" t="str">
        <f>IF(OR(B11="",C11=""),"",ROUND(FTerulet(B11,C11)*D11,2))</f>
        <v/>
      </c>
      <c r="F11" s="112" t="str">
        <f>IF(OR(B11="",C11=""),"",ROUND(FKisTerulet(C11,B11)*D11,2))</f>
        <v/>
      </c>
      <c r="G11" s="113" t="str">
        <f t="shared" si="2"/>
        <v/>
      </c>
      <c r="H11" s="114" t="str">
        <f t="shared" si="0"/>
        <v/>
      </c>
      <c r="I11" s="114" t="str">
        <f t="shared" si="1"/>
        <v/>
      </c>
    </row>
    <row r="12" spans="1:21" s="6" customFormat="1" ht="18" customHeight="1" x14ac:dyDescent="0.25">
      <c r="A12" s="109">
        <v>8</v>
      </c>
      <c r="B12" s="110"/>
      <c r="C12" s="110"/>
      <c r="D12" s="111"/>
      <c r="E12" s="112" t="str">
        <f>IF(OR(B12="",C12=""),"",ROUND(FTerulet(B12,C12)*D12,2))</f>
        <v/>
      </c>
      <c r="F12" s="112" t="str">
        <f>IF(OR(B12="",C12=""),"",ROUND(FKisTerulet(C12,B12)*D12,2))</f>
        <v/>
      </c>
      <c r="G12" s="113" t="str">
        <f t="shared" si="2"/>
        <v/>
      </c>
      <c r="H12" s="114" t="str">
        <f t="shared" si="0"/>
        <v/>
      </c>
      <c r="I12" s="114" t="str">
        <f t="shared" si="1"/>
        <v/>
      </c>
    </row>
    <row r="13" spans="1:21" s="6" customFormat="1" ht="18" customHeight="1" x14ac:dyDescent="0.25">
      <c r="A13" s="109">
        <v>9</v>
      </c>
      <c r="B13" s="110"/>
      <c r="C13" s="110"/>
      <c r="D13" s="111"/>
      <c r="E13" s="112" t="str">
        <f>IF(OR(B13="",C13=""),"",ROUND(FTerulet(B13,C13)*D13,2))</f>
        <v/>
      </c>
      <c r="F13" s="112" t="str">
        <f>IF(OR(B13="",C13=""),"",ROUND(FKisTerulet(C13,B13)*D13,2))</f>
        <v/>
      </c>
      <c r="G13" s="113" t="str">
        <f t="shared" si="2"/>
        <v/>
      </c>
      <c r="H13" s="114" t="str">
        <f t="shared" si="0"/>
        <v/>
      </c>
      <c r="I13" s="114" t="str">
        <f t="shared" si="1"/>
        <v/>
      </c>
    </row>
    <row r="14" spans="1:21" s="6" customFormat="1" ht="18" customHeight="1" x14ac:dyDescent="0.25">
      <c r="A14" s="109">
        <v>10</v>
      </c>
      <c r="B14" s="110"/>
      <c r="C14" s="110"/>
      <c r="D14" s="111"/>
      <c r="E14" s="112" t="str">
        <f>IF(OR(B14="",C14=""),"",ROUND(FTerulet(B14,C14)*D14,2))</f>
        <v/>
      </c>
      <c r="F14" s="112" t="str">
        <f>IF(OR(B14="",C14=""),"",ROUND(FKisTerulet(C14,B14)*D14,2))</f>
        <v/>
      </c>
      <c r="G14" s="113" t="str">
        <f t="shared" si="2"/>
        <v/>
      </c>
      <c r="H14" s="114" t="str">
        <f t="shared" si="0"/>
        <v/>
      </c>
      <c r="I14" s="114" t="str">
        <f t="shared" si="1"/>
        <v/>
      </c>
    </row>
    <row r="15" spans="1:21" s="6" customFormat="1" ht="18" customHeight="1" x14ac:dyDescent="0.25">
      <c r="A15" s="109">
        <v>11</v>
      </c>
      <c r="B15" s="110"/>
      <c r="C15" s="110"/>
      <c r="D15" s="111"/>
      <c r="E15" s="112" t="str">
        <f>IF(OR(B15="",C15=""),"",ROUND(FTerulet(B15,C15)*D15,2))</f>
        <v/>
      </c>
      <c r="F15" s="112" t="str">
        <f>IF(OR(B15="",C15=""),"",ROUND(FKisTerulet(C15,B15)*D15,2))</f>
        <v/>
      </c>
      <c r="G15" s="113" t="str">
        <f t="shared" si="2"/>
        <v/>
      </c>
      <c r="H15" s="114" t="str">
        <f t="shared" si="0"/>
        <v/>
      </c>
      <c r="I15" s="114" t="str">
        <f t="shared" si="1"/>
        <v/>
      </c>
    </row>
    <row r="16" spans="1:21" s="6" customFormat="1" ht="18" customHeight="1" x14ac:dyDescent="0.25">
      <c r="A16" s="109">
        <v>12</v>
      </c>
      <c r="B16" s="110"/>
      <c r="C16" s="110"/>
      <c r="D16" s="111"/>
      <c r="E16" s="112" t="str">
        <f>IF(OR(B16="",C16=""),"",ROUND(FTerulet(B16,C16)*D16,2))</f>
        <v/>
      </c>
      <c r="F16" s="112" t="str">
        <f>IF(OR(B16="",C16=""),"",ROUND(FKisTerulet(C16,B16)*D16,2))</f>
        <v/>
      </c>
      <c r="G16" s="113" t="str">
        <f t="shared" si="2"/>
        <v/>
      </c>
      <c r="H16" s="114" t="str">
        <f t="shared" si="0"/>
        <v/>
      </c>
      <c r="I16" s="114" t="str">
        <f t="shared" si="1"/>
        <v/>
      </c>
    </row>
    <row r="17" spans="1:10" s="6" customFormat="1" ht="18" customHeight="1" x14ac:dyDescent="0.25">
      <c r="A17" s="109">
        <v>13</v>
      </c>
      <c r="B17" s="110"/>
      <c r="C17" s="110"/>
      <c r="D17" s="111"/>
      <c r="E17" s="112" t="str">
        <f>IF(OR(B17="",C17=""),"",ROUND(FTerulet(B17,C17)*D17,2))</f>
        <v/>
      </c>
      <c r="F17" s="112" t="str">
        <f>IF(OR(B17="",C17=""),"",ROUND(FKisTerulet(C17,B17)*D17,2))</f>
        <v/>
      </c>
      <c r="G17" s="113" t="str">
        <f t="shared" si="2"/>
        <v/>
      </c>
      <c r="H17" s="114" t="str">
        <f t="shared" si="0"/>
        <v/>
      </c>
      <c r="I17" s="114" t="str">
        <f t="shared" si="1"/>
        <v/>
      </c>
    </row>
    <row r="18" spans="1:10" s="6" customFormat="1" ht="18" customHeight="1" x14ac:dyDescent="0.25">
      <c r="A18" s="109">
        <v>14</v>
      </c>
      <c r="B18" s="110"/>
      <c r="C18" s="110"/>
      <c r="D18" s="111"/>
      <c r="E18" s="112" t="str">
        <f>IF(OR(B18="",C18=""),"",ROUND(FTerulet(B18,C18)*D18,2))</f>
        <v/>
      </c>
      <c r="F18" s="112" t="str">
        <f>IF(OR(B18="",C18=""),"",ROUND(FKisTerulet(C18,B18)*D18,2))</f>
        <v/>
      </c>
      <c r="G18" s="113" t="str">
        <f t="shared" si="2"/>
        <v/>
      </c>
      <c r="H18" s="114" t="str">
        <f t="shared" si="0"/>
        <v/>
      </c>
      <c r="I18" s="114" t="str">
        <f t="shared" si="1"/>
        <v/>
      </c>
    </row>
    <row r="19" spans="1:10" s="6" customFormat="1" ht="18" customHeight="1" x14ac:dyDescent="0.25">
      <c r="A19" s="109">
        <v>15</v>
      </c>
      <c r="B19" s="110"/>
      <c r="C19" s="110"/>
      <c r="D19" s="111"/>
      <c r="E19" s="112" t="str">
        <f>IF(OR(B19="",C19=""),"",ROUND(FTerulet(B19,C19)*D19,2))</f>
        <v/>
      </c>
      <c r="F19" s="112" t="str">
        <f>IF(OR(B19="",C19=""),"",ROUND(FKisTerulet(C19,B19)*D19,2))</f>
        <v/>
      </c>
      <c r="G19" s="113" t="str">
        <f t="shared" si="2"/>
        <v/>
      </c>
      <c r="H19" s="114" t="str">
        <f t="shared" ref="H19:H24" si="3">IF(OR(B19="",C19=""),"",2*D19*(B19+C19))</f>
        <v/>
      </c>
      <c r="I19" s="114" t="str">
        <f t="shared" si="1"/>
        <v/>
      </c>
    </row>
    <row r="20" spans="1:10" s="6" customFormat="1" ht="18" customHeight="1" x14ac:dyDescent="0.25">
      <c r="A20" s="109">
        <v>16</v>
      </c>
      <c r="B20" s="110"/>
      <c r="C20" s="110"/>
      <c r="D20" s="111"/>
      <c r="E20" s="112" t="str">
        <f>IF(OR(B20="",C20=""),"",ROUND(FTerulet(B20,C20)*D20,2))</f>
        <v/>
      </c>
      <c r="F20" s="112" t="str">
        <f>IF(OR(B20="",C20=""),"",ROUND(FKisTerulet(C20,B20)*D20,2))</f>
        <v/>
      </c>
      <c r="G20" s="113" t="str">
        <f t="shared" si="2"/>
        <v/>
      </c>
      <c r="H20" s="114" t="str">
        <f t="shared" si="3"/>
        <v/>
      </c>
      <c r="I20" s="114" t="str">
        <f t="shared" si="1"/>
        <v/>
      </c>
    </row>
    <row r="21" spans="1:10" s="6" customFormat="1" ht="18" customHeight="1" x14ac:dyDescent="0.25">
      <c r="A21" s="109">
        <v>17</v>
      </c>
      <c r="B21" s="110"/>
      <c r="C21" s="110"/>
      <c r="D21" s="111"/>
      <c r="E21" s="112" t="str">
        <f>IF(OR(B21="",C21=""),"",ROUND(FTerulet(B21,C21)*D21,2))</f>
        <v/>
      </c>
      <c r="F21" s="112" t="str">
        <f>IF(OR(B21="",C21=""),"",ROUND(FKisTerulet(C21,B21)*D21,2))</f>
        <v/>
      </c>
      <c r="G21" s="113" t="str">
        <f t="shared" si="2"/>
        <v/>
      </c>
      <c r="H21" s="114" t="str">
        <f t="shared" si="3"/>
        <v/>
      </c>
      <c r="I21" s="114" t="str">
        <f t="shared" si="1"/>
        <v/>
      </c>
    </row>
    <row r="22" spans="1:10" s="6" customFormat="1" ht="18" customHeight="1" x14ac:dyDescent="0.25">
      <c r="A22" s="109">
        <v>18</v>
      </c>
      <c r="B22" s="110"/>
      <c r="C22" s="110"/>
      <c r="D22" s="111"/>
      <c r="E22" s="112" t="str">
        <f>IF(OR(B22="",C22=""),"",ROUND(FTerulet(B22,C22)*D22,2))</f>
        <v/>
      </c>
      <c r="F22" s="112" t="str">
        <f>IF(OR(B22="",C22=""),"",ROUND(FKisTerulet(C22,B22)*D22,2))</f>
        <v/>
      </c>
      <c r="G22" s="113" t="str">
        <f t="shared" si="2"/>
        <v/>
      </c>
      <c r="H22" s="114" t="str">
        <f t="shared" si="3"/>
        <v/>
      </c>
      <c r="I22" s="114" t="str">
        <f t="shared" si="1"/>
        <v/>
      </c>
    </row>
    <row r="23" spans="1:10" s="6" customFormat="1" ht="18" customHeight="1" x14ac:dyDescent="0.25">
      <c r="A23" s="109">
        <v>19</v>
      </c>
      <c r="B23" s="110"/>
      <c r="C23" s="110"/>
      <c r="D23" s="111"/>
      <c r="E23" s="112" t="str">
        <f>IF(OR(B23="",C23=""),"",ROUND(FTerulet(B23,C23)*D23,2))</f>
        <v/>
      </c>
      <c r="F23" s="112" t="str">
        <f>IF(OR(B23="",C23=""),"",ROUND(FKisTerulet(C23,B23)*D23,2))</f>
        <v/>
      </c>
      <c r="G23" s="113" t="str">
        <f t="shared" si="2"/>
        <v/>
      </c>
      <c r="H23" s="114" t="str">
        <f t="shared" si="3"/>
        <v/>
      </c>
      <c r="I23" s="114" t="str">
        <f t="shared" si="1"/>
        <v/>
      </c>
    </row>
    <row r="24" spans="1:10" s="6" customFormat="1" ht="18" customHeight="1" x14ac:dyDescent="0.25">
      <c r="A24" s="109">
        <v>20</v>
      </c>
      <c r="B24" s="135"/>
      <c r="C24" s="135"/>
      <c r="D24" s="136"/>
      <c r="E24" s="112" t="str">
        <f>IF(OR(B24="",C24=""),"",ROUND(FTerulet(B24,C24)*D24,2))</f>
        <v/>
      </c>
      <c r="F24" s="112" t="str">
        <f>IF(OR(B24="",C24=""),"",ROUND(FKisTerulet(C24,B24)*D24,2))</f>
        <v/>
      </c>
      <c r="G24" s="113" t="str">
        <f t="shared" si="2"/>
        <v/>
      </c>
      <c r="H24" s="114" t="str">
        <f t="shared" si="3"/>
        <v/>
      </c>
      <c r="I24" s="114" t="str">
        <f t="shared" si="1"/>
        <v/>
      </c>
    </row>
    <row r="25" spans="1:10" s="6" customFormat="1" ht="18" customHeight="1" x14ac:dyDescent="0.25">
      <c r="A25" s="108"/>
      <c r="B25" s="108"/>
      <c r="C25" s="115" t="s">
        <v>7</v>
      </c>
      <c r="D25" s="115">
        <f>SUM(D5:D24)</f>
        <v>4</v>
      </c>
      <c r="E25" s="116">
        <f>SUM(E5:E24)</f>
        <v>5.5</v>
      </c>
      <c r="F25" s="116">
        <f>SUM(F5:F24)</f>
        <v>0</v>
      </c>
      <c r="G25" s="116">
        <f>ROUND(SUM(G5:G24),2)</f>
        <v>9.3000000000000007</v>
      </c>
      <c r="H25" s="117">
        <f>SUM(H5:H24)</f>
        <v>2000</v>
      </c>
      <c r="I25" s="117">
        <f ca="1">CEILING(SUM(I5:I24),1)</f>
        <v>2259</v>
      </c>
      <c r="J25" s="17"/>
    </row>
    <row r="26" spans="1:10" ht="26.45" customHeight="1" x14ac:dyDescent="0.2">
      <c r="A26" s="189" t="s">
        <v>8</v>
      </c>
      <c r="B26" s="189"/>
      <c r="C26" s="189"/>
      <c r="D26" s="189"/>
      <c r="E26" s="189"/>
      <c r="F26" s="189"/>
      <c r="G26" s="189"/>
      <c r="H26" s="6"/>
      <c r="I26" s="6" t="str">
        <f>IF(G26&lt;&gt;"",G26*$H$1,"")</f>
        <v/>
      </c>
    </row>
    <row r="27" spans="1:10" ht="17.45" customHeight="1" x14ac:dyDescent="0.2">
      <c r="A27" s="191" t="s">
        <v>256</v>
      </c>
      <c r="B27" s="191"/>
      <c r="C27" s="191"/>
      <c r="D27" s="191"/>
      <c r="E27" s="191"/>
      <c r="F27" s="191"/>
      <c r="G27" s="191"/>
    </row>
    <row r="28" spans="1:10" ht="31.9" customHeight="1" x14ac:dyDescent="0.2">
      <c r="B28" s="188" t="s">
        <v>4</v>
      </c>
      <c r="C28" s="188"/>
      <c r="D28" s="104"/>
      <c r="E28" s="105"/>
      <c r="F28" s="197" t="s">
        <v>6</v>
      </c>
      <c r="G28" s="197"/>
      <c r="H28" s="192">
        <v>2166</v>
      </c>
      <c r="I28" s="192"/>
    </row>
    <row r="29" spans="1:10" ht="24.75" customHeight="1" x14ac:dyDescent="0.2">
      <c r="B29" s="196" t="s">
        <v>5</v>
      </c>
      <c r="C29" s="196"/>
      <c r="D29" s="11"/>
      <c r="E29" s="12"/>
      <c r="F29" s="196" t="s">
        <v>5</v>
      </c>
      <c r="G29" s="196"/>
    </row>
  </sheetData>
  <sheetProtection selectLockedCells="1"/>
  <dataConsolidate/>
  <mergeCells count="13">
    <mergeCell ref="L4:M4"/>
    <mergeCell ref="N7:P7"/>
    <mergeCell ref="B29:C29"/>
    <mergeCell ref="F28:G28"/>
    <mergeCell ref="F29:G29"/>
    <mergeCell ref="C1:D1"/>
    <mergeCell ref="B28:C28"/>
    <mergeCell ref="A26:G26"/>
    <mergeCell ref="C2:E2"/>
    <mergeCell ref="F1:H1"/>
    <mergeCell ref="A27:G27"/>
    <mergeCell ref="H28:I28"/>
    <mergeCell ref="B3:F3"/>
  </mergeCells>
  <conditionalFormatting sqref="C1">
    <cfRule type="cellIs" dxfId="6" priority="1" stopIfTrue="1" operator="equal">
      <formula>"="</formula>
    </cfRule>
  </conditionalFormatting>
  <pageMargins left="1.0236220472440944" right="0.86614173228346458" top="2.8346456692913389" bottom="0.74803149606299213" header="0.6692913385826772" footer="0.31496062992125984"/>
  <pageSetup paperSize="9" scale="99" orientation="portrait" r:id="rId1"/>
  <headerFooter>
    <oddHeader>&amp;L&amp;14Glaserdi SRL
&amp;11Kossuth Lajos utca, 233
Gyergyószentmiklós
Tel: +40 740 169 912
&amp;C
&amp;"-,Bold"&amp;18ÁRAJÁNLAT&amp;R&amp;G</oddHeader>
    <oddFooter>&amp;L&amp;8Nyomtatás időpontja: &amp;D -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jKliens">
                <anchor moveWithCells="1" sizeWithCells="1">
                  <from>
                    <xdr:col>11</xdr:col>
                    <xdr:colOff>304800</xdr:colOff>
                    <xdr:row>0</xdr:row>
                    <xdr:rowOff>76200</xdr:rowOff>
                  </from>
                  <to>
                    <xdr:col>13</xdr:col>
                    <xdr:colOff>76200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jSzamolas">
                <anchor moveWithCells="1" sizeWithCells="1">
                  <from>
                    <xdr:col>13</xdr:col>
                    <xdr:colOff>133350</xdr:colOff>
                    <xdr:row>0</xdr:row>
                    <xdr:rowOff>76200</xdr:rowOff>
                  </from>
                  <to>
                    <xdr:col>14</xdr:col>
                    <xdr:colOff>514350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MindentMent">
                <anchor moveWithCells="1" sizeWithCells="1">
                  <from>
                    <xdr:col>14</xdr:col>
                    <xdr:colOff>561975</xdr:colOff>
                    <xdr:row>0</xdr:row>
                    <xdr:rowOff>76200</xdr:rowOff>
                  </from>
                  <to>
                    <xdr:col>17</xdr:col>
                    <xdr:colOff>152400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NyomtatasForm">
                <anchor moveWithCells="1" sizeWithCells="1">
                  <from>
                    <xdr:col>17</xdr:col>
                    <xdr:colOff>209550</xdr:colOff>
                    <xdr:row>0</xdr:row>
                    <xdr:rowOff>76200</xdr:rowOff>
                  </from>
                  <to>
                    <xdr:col>18</xdr:col>
                    <xdr:colOff>590550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5545557-057D-41FF-B781-353EC833BFAF}">
          <x14:formula1>
            <xm:f>TermekKod!$A$2:$A$300</xm:f>
          </x14:formula1>
          <xm:sqref>F1:H1</xm:sqref>
        </x14:dataValidation>
        <x14:dataValidation type="list" allowBlank="1" showInputMessage="1" showErrorMessage="1" xr:uid="{40AF5955-95E9-4311-AFBB-DD008A21891B}">
          <x14:formula1>
            <xm:f>Vastagsag!$A$2:$A$31</xm:f>
          </x14:formula1>
          <xm:sqref>G2</xm:sqref>
        </x14:dataValidation>
        <x14:dataValidation type="list" allowBlank="1" showInputMessage="1" showErrorMessage="1" xr:uid="{C93E2EEE-984F-4669-99A0-5BC4D7BDEA17}">
          <x14:formula1>
            <xm:f>Vastagsag!$C$2:$C$3</xm:f>
          </x14:formula1>
          <xm:sqref>H2</xm:sqref>
        </x14:dataValidation>
        <x14:dataValidation type="list" allowBlank="1" showInputMessage="1" showErrorMessage="1" xr:uid="{8CD7AFAE-FD2E-4A2B-984F-A4D6E1734B0D}">
          <x14:formula1>
            <xm:f>Adalekok!$C$2:$C$4</xm:f>
          </x14:formula1>
          <xm:sqref>N4</xm:sqref>
        </x14:dataValidation>
        <x14:dataValidation type="list" allowBlank="1" showInputMessage="1" showErrorMessage="1" xr:uid="{1F4CD05A-30AC-490D-8087-CD89777DC58E}">
          <x14:formula1>
            <xm:f>Vastagsag!$E$1:$E$2</xm:f>
          </x14:formula1>
          <xm:sqref>K1</xm:sqref>
        </x14:dataValidation>
        <x14:dataValidation type="list" allowBlank="1" showInputMessage="1" showErrorMessage="1" xr:uid="{542CDB03-C14D-4030-8CFE-41AA1FECCF19}">
          <x14:formula1>
            <xm:f>Adalekok!$A$2:$A$3</xm:f>
          </x14:formula1>
          <xm:sqref>P4</xm:sqref>
        </x14:dataValidation>
        <x14:dataValidation type="list" allowBlank="1" showInputMessage="1" showErrorMessage="1" xr:uid="{EF79D63C-8DED-4FA9-9910-246207218361}">
          <x14:formula1>
            <xm:f>Adalekok!$B$2:$B$3</xm:f>
          </x14:formula1>
          <xm:sqref>R4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F8FD7-AF6E-4EAD-9FF2-ECE45F2AEB57}">
  <sheetPr codeName="Munka1">
    <pageSetUpPr fitToPage="1"/>
  </sheetPr>
  <dimension ref="A1:Q30"/>
  <sheetViews>
    <sheetView workbookViewId="0">
      <selection activeCell="H7" sqref="H7"/>
    </sheetView>
  </sheetViews>
  <sheetFormatPr defaultRowHeight="15" x14ac:dyDescent="0.25"/>
  <cols>
    <col min="1" max="1" width="6.85546875" style="14" customWidth="1"/>
    <col min="2" max="2" width="9.7109375" style="14" customWidth="1"/>
    <col min="3" max="5" width="9.140625" style="14"/>
    <col min="6" max="6" width="11.85546875" style="14" bestFit="1" customWidth="1"/>
    <col min="7" max="7" width="12.140625" style="14" customWidth="1"/>
    <col min="8" max="8" width="13.28515625" style="14" customWidth="1"/>
    <col min="9" max="9" width="9.140625" style="14" customWidth="1"/>
    <col min="10" max="10" width="9.7109375" style="14" customWidth="1"/>
    <col min="11" max="14" width="9.140625" style="14"/>
    <col min="15" max="15" width="12.5703125" style="14" customWidth="1"/>
    <col min="16" max="16" width="9.140625" style="14"/>
    <col min="17" max="17" width="12.140625" style="14" customWidth="1"/>
    <col min="18" max="16384" width="9.140625" style="14"/>
  </cols>
  <sheetData>
    <row r="1" spans="1:17" ht="28.5" customHeight="1" x14ac:dyDescent="0.25">
      <c r="A1" s="63" t="s">
        <v>217</v>
      </c>
      <c r="B1" s="102" t="str">
        <f>Teruletszamitas!$B1</f>
        <v>Megrendelő:</v>
      </c>
      <c r="C1" s="202" t="str">
        <f>Teruletszamitas!$C1</f>
        <v>Lajos - csak arajanlat</v>
      </c>
      <c r="D1" s="202"/>
      <c r="F1" s="93" t="s">
        <v>428</v>
      </c>
      <c r="G1" s="200">
        <f ca="1">Teruletszamitas!$T4</f>
        <v>45451</v>
      </c>
      <c r="H1" s="200"/>
      <c r="I1" s="63" t="s">
        <v>218</v>
      </c>
      <c r="J1" s="102" t="str">
        <f>Teruletszamitas!$B1</f>
        <v>Megrendelő:</v>
      </c>
      <c r="K1" s="202" t="str">
        <f>Teruletszamitas!$C1</f>
        <v>Lajos - csak arajanlat</v>
      </c>
      <c r="L1" s="202"/>
      <c r="N1" s="93" t="s">
        <v>428</v>
      </c>
      <c r="O1" s="200">
        <f ca="1">Teruletszamitas!$T4</f>
        <v>45451</v>
      </c>
      <c r="P1" s="200"/>
    </row>
    <row r="2" spans="1:17" s="24" customFormat="1" ht="26.25" customHeight="1" x14ac:dyDescent="0.25">
      <c r="F2" s="205" t="str">
        <f>IF(Teruletszamitas!$I$2&lt;&gt;"x","M. Szám: "&amp;Teruletszamitas!$I$2,"")</f>
        <v>M. Szám: 2</v>
      </c>
      <c r="G2" s="205"/>
      <c r="H2" s="103"/>
      <c r="K2" s="93"/>
      <c r="L2" s="200"/>
      <c r="M2" s="200"/>
      <c r="N2" s="205" t="str">
        <f>IF(Teruletszamitas!$I$2&lt;&gt;"x","M. Szám: "&amp;Teruletszamitas!$I$2,"")</f>
        <v>M. Szám: 2</v>
      </c>
      <c r="O2" s="205"/>
      <c r="P2" s="62"/>
      <c r="Q2" s="100"/>
    </row>
    <row r="3" spans="1:17" s="24" customFormat="1" ht="30.75" customHeight="1" x14ac:dyDescent="0.25">
      <c r="B3" s="199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C3" s="199"/>
      <c r="D3" s="199"/>
      <c r="E3" s="199"/>
      <c r="F3" s="199"/>
      <c r="G3" s="199"/>
      <c r="H3" s="103"/>
      <c r="J3" s="199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K3" s="199"/>
      <c r="L3" s="199"/>
      <c r="M3" s="199"/>
      <c r="N3" s="199"/>
      <c r="O3" s="199"/>
      <c r="P3" s="62"/>
    </row>
    <row r="4" spans="1:17" ht="68.25" customHeight="1" x14ac:dyDescent="0.25">
      <c r="A4" s="34" t="str">
        <f>Teruletszamitas!$A4</f>
        <v>Tétel 
0</v>
      </c>
      <c r="B4" s="35" t="str">
        <f>Teruletszamitas!$B4</f>
        <v>Sz.
(cm)
1</v>
      </c>
      <c r="C4" s="35" t="str">
        <f>Teruletszamitas!$C4</f>
        <v>H.
(cm)
2</v>
      </c>
      <c r="D4" s="36" t="str">
        <f>Teruletszamitas!$D4</f>
        <v>Db.
3</v>
      </c>
      <c r="E4" s="37" t="str">
        <f>Teruletszamitas!$E4</f>
        <v>T. 
(m2)
4</v>
      </c>
      <c r="F4" s="37" t="s">
        <v>320</v>
      </c>
      <c r="G4" s="37" t="str">
        <f>Teruletszamitas!$G4</f>
        <v>Össz T.
(m2)         
([4] + [5])
6</v>
      </c>
      <c r="H4" s="38"/>
      <c r="I4" s="34" t="str">
        <f>Teruletszamitas!$A4</f>
        <v>Tétel 
0</v>
      </c>
      <c r="J4" s="35" t="str">
        <f>Teruletszamitas!$B4</f>
        <v>Sz.
(cm)
1</v>
      </c>
      <c r="K4" s="35" t="str">
        <f>Teruletszamitas!$C4</f>
        <v>H.
(cm)
2</v>
      </c>
      <c r="L4" s="36" t="str">
        <f>Teruletszamitas!$D4</f>
        <v>Db.
3</v>
      </c>
      <c r="M4" s="37" t="str">
        <f>Teruletszamitas!$E4</f>
        <v>T. 
(m2)
4</v>
      </c>
      <c r="N4" s="37" t="str">
        <f>Teruletszamitas!$F4</f>
        <v>Terület
 adalék (m2)*
[4] X 20%
5</v>
      </c>
      <c r="O4" s="37" t="str">
        <f>Teruletszamitas!$G4</f>
        <v>Össz T.
(m2)         
([4] + [5])
6</v>
      </c>
      <c r="P4" s="15"/>
      <c r="Q4" s="179"/>
    </row>
    <row r="5" spans="1:17" ht="17.25" customHeight="1" x14ac:dyDescent="0.25">
      <c r="A5" s="119">
        <f>Teruletszamitas!A5</f>
        <v>1</v>
      </c>
      <c r="B5" s="120">
        <f>IF(Teruletszamitas!$B5&lt;&gt;"",Teruletszamitas!B5,"")</f>
        <v>100</v>
      </c>
      <c r="C5" s="120">
        <f>IF(Teruletszamitas!$C5&lt;&gt;"",Teruletszamitas!$C5,"")</f>
        <v>200</v>
      </c>
      <c r="D5" s="121">
        <f>IF(Teruletszamitas!$D5&lt;&gt;"",Teruletszamitas!$D5,"")</f>
        <v>2</v>
      </c>
      <c r="E5" s="122">
        <f>Teruletszamitas!$E5</f>
        <v>4</v>
      </c>
      <c r="F5" s="122">
        <f>IF(Teruletszamitas!$H5="","",Teruletszamitas!$H5/100)</f>
        <v>12</v>
      </c>
      <c r="G5" s="123">
        <f>Teruletszamitas!$G5</f>
        <v>6.7600000000000007</v>
      </c>
      <c r="H5" s="39"/>
      <c r="I5" s="119">
        <v>1</v>
      </c>
      <c r="J5" s="120">
        <f>IF(Teruletszamitas!$B5&lt;&gt;"",Teruletszamitas!$B5,"")</f>
        <v>100</v>
      </c>
      <c r="K5" s="120">
        <f>IF(Teruletszamitas!$C5&lt;&gt;"",Teruletszamitas!$C5,"")</f>
        <v>200</v>
      </c>
      <c r="L5" s="121">
        <f>IF(Teruletszamitas!$D5&lt;&gt;"",Teruletszamitas!$D5,"")</f>
        <v>2</v>
      </c>
      <c r="M5" s="122">
        <f>Teruletszamitas!$E5</f>
        <v>4</v>
      </c>
      <c r="N5" s="122">
        <f>Teruletszamitas!$F5</f>
        <v>0</v>
      </c>
      <c r="O5" s="123">
        <f>Teruletszamitas!$G5</f>
        <v>6.7600000000000007</v>
      </c>
      <c r="P5" s="16"/>
      <c r="Q5" s="179"/>
    </row>
    <row r="6" spans="1:17" ht="17.25" customHeight="1" x14ac:dyDescent="0.25">
      <c r="A6" s="119">
        <f>Teruletszamitas!A6</f>
        <v>2</v>
      </c>
      <c r="B6" s="120">
        <f>IF(Teruletszamitas!$B6&lt;&gt;"",Teruletszamitas!B6,"")</f>
        <v>50</v>
      </c>
      <c r="C6" s="120">
        <f>IF(Teruletszamitas!$C6&lt;&gt;"",Teruletszamitas!$C6,"")</f>
        <v>150</v>
      </c>
      <c r="D6" s="121">
        <f>IF(Teruletszamitas!$D6&lt;&gt;"",Teruletszamitas!$D6,"")</f>
        <v>2</v>
      </c>
      <c r="E6" s="122">
        <f>Teruletszamitas!$E6</f>
        <v>1.5</v>
      </c>
      <c r="F6" s="122">
        <f>IF(Teruletszamitas!$H6="","",Teruletszamitas!$H6/100)</f>
        <v>8</v>
      </c>
      <c r="G6" s="123">
        <f>Teruletszamitas!$G6</f>
        <v>2.5350000000000001</v>
      </c>
      <c r="H6" s="39"/>
      <c r="I6" s="119">
        <v>2</v>
      </c>
      <c r="J6" s="120">
        <f>IF(Teruletszamitas!$B6&lt;&gt;"",Teruletszamitas!$B6,"")</f>
        <v>50</v>
      </c>
      <c r="K6" s="120">
        <f>IF(Teruletszamitas!$C6&lt;&gt;"",Teruletszamitas!$C6,"")</f>
        <v>150</v>
      </c>
      <c r="L6" s="121">
        <f>IF(Teruletszamitas!$D6&lt;&gt;"",Teruletszamitas!$D6,"")</f>
        <v>2</v>
      </c>
      <c r="M6" s="122">
        <f>Teruletszamitas!$E6</f>
        <v>1.5</v>
      </c>
      <c r="N6" s="122">
        <f>Teruletszamitas!$F6</f>
        <v>0</v>
      </c>
      <c r="O6" s="123">
        <f>Teruletszamitas!$G6</f>
        <v>2.5350000000000001</v>
      </c>
      <c r="P6" s="16"/>
    </row>
    <row r="7" spans="1:17" ht="17.25" customHeight="1" x14ac:dyDescent="0.25">
      <c r="A7" s="119">
        <f>Teruletszamitas!A7</f>
        <v>3</v>
      </c>
      <c r="B7" s="120" t="str">
        <f>IF(Teruletszamitas!$B7&lt;&gt;"",Teruletszamitas!B7,"")</f>
        <v/>
      </c>
      <c r="C7" s="120" t="str">
        <f>IF(Teruletszamitas!$C7&lt;&gt;"",Teruletszamitas!$C7,"")</f>
        <v/>
      </c>
      <c r="D7" s="121" t="str">
        <f>IF(Teruletszamitas!$D7&lt;&gt;"",Teruletszamitas!$D7,"")</f>
        <v/>
      </c>
      <c r="E7" s="122" t="str">
        <f>Teruletszamitas!$E7</f>
        <v/>
      </c>
      <c r="F7" s="122" t="str">
        <f>IF(Teruletszamitas!$H7="","",Teruletszamitas!$H7/100)</f>
        <v/>
      </c>
      <c r="G7" s="123" t="str">
        <f>Teruletszamitas!$G7</f>
        <v/>
      </c>
      <c r="H7" s="39"/>
      <c r="I7" s="119">
        <v>3</v>
      </c>
      <c r="J7" s="120" t="str">
        <f>IF(Teruletszamitas!$B7&lt;&gt;"",Teruletszamitas!$B7,"")</f>
        <v/>
      </c>
      <c r="K7" s="120" t="str">
        <f>IF(Teruletszamitas!$C7&lt;&gt;"",Teruletszamitas!$C7,"")</f>
        <v/>
      </c>
      <c r="L7" s="121" t="str">
        <f>IF(Teruletszamitas!$D7&lt;&gt;"",Teruletszamitas!$D7,"")</f>
        <v/>
      </c>
      <c r="M7" s="122" t="str">
        <f>Teruletszamitas!$E7</f>
        <v/>
      </c>
      <c r="N7" s="122" t="str">
        <f>Teruletszamitas!$F7</f>
        <v/>
      </c>
      <c r="O7" s="123" t="str">
        <f>Teruletszamitas!$G7</f>
        <v/>
      </c>
      <c r="P7" s="16"/>
    </row>
    <row r="8" spans="1:17" ht="17.25" customHeight="1" x14ac:dyDescent="0.25">
      <c r="A8" s="119">
        <f>Teruletszamitas!A8</f>
        <v>4</v>
      </c>
      <c r="B8" s="120" t="str">
        <f>IF(Teruletszamitas!$B8&lt;&gt;"",Teruletszamitas!B8,"")</f>
        <v/>
      </c>
      <c r="C8" s="120" t="str">
        <f>IF(Teruletszamitas!$C8&lt;&gt;"",Teruletszamitas!$C8,"")</f>
        <v/>
      </c>
      <c r="D8" s="121" t="str">
        <f>IF(Teruletszamitas!$D8&lt;&gt;"",Teruletszamitas!$D8,"")</f>
        <v/>
      </c>
      <c r="E8" s="122" t="str">
        <f>Teruletszamitas!$E8</f>
        <v/>
      </c>
      <c r="F8" s="122" t="str">
        <f>IF(Teruletszamitas!$H8="","",Teruletszamitas!$H8/100)</f>
        <v/>
      </c>
      <c r="G8" s="123" t="str">
        <f>Teruletszamitas!$G8</f>
        <v/>
      </c>
      <c r="H8" s="39"/>
      <c r="I8" s="119">
        <v>4</v>
      </c>
      <c r="J8" s="120" t="str">
        <f>IF(Teruletszamitas!$B8&lt;&gt;"",Teruletszamitas!$B8,"")</f>
        <v/>
      </c>
      <c r="K8" s="120" t="str">
        <f>IF(Teruletszamitas!$C8&lt;&gt;"",Teruletszamitas!$C8,"")</f>
        <v/>
      </c>
      <c r="L8" s="121" t="str">
        <f>IF(Teruletszamitas!$D8&lt;&gt;"",Teruletszamitas!$D8,"")</f>
        <v/>
      </c>
      <c r="M8" s="122" t="str">
        <f>Teruletszamitas!$E8</f>
        <v/>
      </c>
      <c r="N8" s="122" t="str">
        <f>Teruletszamitas!$F8</f>
        <v/>
      </c>
      <c r="O8" s="123" t="str">
        <f>Teruletszamitas!$G8</f>
        <v/>
      </c>
      <c r="P8" s="16"/>
    </row>
    <row r="9" spans="1:17" ht="17.25" customHeight="1" x14ac:dyDescent="0.25">
      <c r="A9" s="119">
        <f>Teruletszamitas!A9</f>
        <v>5</v>
      </c>
      <c r="B9" s="120" t="str">
        <f>IF(Teruletszamitas!$B9&lt;&gt;"",Teruletszamitas!B9,"")</f>
        <v/>
      </c>
      <c r="C9" s="120" t="str">
        <f>IF(Teruletszamitas!$C9&lt;&gt;"",Teruletszamitas!$C9,"")</f>
        <v/>
      </c>
      <c r="D9" s="121" t="str">
        <f>IF(Teruletszamitas!$D9&lt;&gt;"",Teruletszamitas!$D9,"")</f>
        <v/>
      </c>
      <c r="E9" s="122" t="str">
        <f>Teruletszamitas!$E9</f>
        <v/>
      </c>
      <c r="F9" s="122" t="str">
        <f>IF(Teruletszamitas!$H9="","",Teruletszamitas!$H9/100)</f>
        <v/>
      </c>
      <c r="G9" s="123" t="str">
        <f>Teruletszamitas!$G9</f>
        <v/>
      </c>
      <c r="H9" s="39"/>
      <c r="I9" s="119">
        <v>5</v>
      </c>
      <c r="J9" s="120" t="str">
        <f>IF(Teruletszamitas!$B9&lt;&gt;"",Teruletszamitas!$B9,"")</f>
        <v/>
      </c>
      <c r="K9" s="120" t="str">
        <f>IF(Teruletszamitas!$C9&lt;&gt;"",Teruletszamitas!$C9,"")</f>
        <v/>
      </c>
      <c r="L9" s="121" t="str">
        <f>IF(Teruletszamitas!$D9&lt;&gt;"",Teruletszamitas!$D9,"")</f>
        <v/>
      </c>
      <c r="M9" s="122" t="str">
        <f>Teruletszamitas!$E9</f>
        <v/>
      </c>
      <c r="N9" s="122" t="str">
        <f>Teruletszamitas!$F9</f>
        <v/>
      </c>
      <c r="O9" s="123" t="str">
        <f>Teruletszamitas!$G9</f>
        <v/>
      </c>
      <c r="P9" s="16"/>
    </row>
    <row r="10" spans="1:17" ht="17.25" customHeight="1" x14ac:dyDescent="0.25">
      <c r="A10" s="119">
        <f>Teruletszamitas!A10</f>
        <v>6</v>
      </c>
      <c r="B10" s="120" t="str">
        <f>IF(Teruletszamitas!$B10&lt;&gt;"",Teruletszamitas!B10,"")</f>
        <v/>
      </c>
      <c r="C10" s="120" t="str">
        <f>IF(Teruletszamitas!$C10&lt;&gt;"",Teruletszamitas!$C10,"")</f>
        <v/>
      </c>
      <c r="D10" s="121" t="str">
        <f>IF(Teruletszamitas!$D10&lt;&gt;"",Teruletszamitas!$D10,"")</f>
        <v/>
      </c>
      <c r="E10" s="122" t="str">
        <f>Teruletszamitas!$E10</f>
        <v/>
      </c>
      <c r="F10" s="122" t="str">
        <f>IF(Teruletszamitas!$H10="","",Teruletszamitas!$H10/100)</f>
        <v/>
      </c>
      <c r="G10" s="123" t="str">
        <f>Teruletszamitas!$G10</f>
        <v/>
      </c>
      <c r="H10" s="39"/>
      <c r="I10" s="119">
        <v>6</v>
      </c>
      <c r="J10" s="120" t="str">
        <f>IF(Teruletszamitas!$B10&lt;&gt;"",Teruletszamitas!$B10,"")</f>
        <v/>
      </c>
      <c r="K10" s="120" t="str">
        <f>IF(Teruletszamitas!$C10&lt;&gt;"",Teruletszamitas!$C10,"")</f>
        <v/>
      </c>
      <c r="L10" s="121" t="str">
        <f>IF(Teruletszamitas!$D10&lt;&gt;"",Teruletszamitas!$D10,"")</f>
        <v/>
      </c>
      <c r="M10" s="122" t="str">
        <f>Teruletszamitas!$E10</f>
        <v/>
      </c>
      <c r="N10" s="122" t="str">
        <f>Teruletszamitas!$F10</f>
        <v/>
      </c>
      <c r="O10" s="123" t="str">
        <f>Teruletszamitas!$G10</f>
        <v/>
      </c>
      <c r="P10" s="16"/>
    </row>
    <row r="11" spans="1:17" ht="17.25" customHeight="1" x14ac:dyDescent="0.25">
      <c r="A11" s="119">
        <f>Teruletszamitas!A11</f>
        <v>7</v>
      </c>
      <c r="B11" s="120" t="str">
        <f>IF(Teruletszamitas!$B11&lt;&gt;"",Teruletszamitas!B11,"")</f>
        <v/>
      </c>
      <c r="C11" s="120" t="str">
        <f>IF(Teruletszamitas!$C11&lt;&gt;"",Teruletszamitas!$C11,"")</f>
        <v/>
      </c>
      <c r="D11" s="121" t="str">
        <f>IF(Teruletszamitas!$D11&lt;&gt;"",Teruletszamitas!$D11,"")</f>
        <v/>
      </c>
      <c r="E11" s="122" t="str">
        <f>Teruletszamitas!$E11</f>
        <v/>
      </c>
      <c r="F11" s="122" t="str">
        <f>IF(Teruletszamitas!$H11="","",Teruletszamitas!$H11/100)</f>
        <v/>
      </c>
      <c r="G11" s="123" t="str">
        <f>Teruletszamitas!$G11</f>
        <v/>
      </c>
      <c r="H11" s="39"/>
      <c r="I11" s="119">
        <v>7</v>
      </c>
      <c r="J11" s="120" t="str">
        <f>IF(Teruletszamitas!$B11&lt;&gt;"",Teruletszamitas!$B11,"")</f>
        <v/>
      </c>
      <c r="K11" s="120" t="str">
        <f>IF(Teruletszamitas!$C11&lt;&gt;"",Teruletszamitas!$C11,"")</f>
        <v/>
      </c>
      <c r="L11" s="121" t="str">
        <f>IF(Teruletszamitas!$D11&lt;&gt;"",Teruletszamitas!$D11,"")</f>
        <v/>
      </c>
      <c r="M11" s="122" t="str">
        <f>Teruletszamitas!$E11</f>
        <v/>
      </c>
      <c r="N11" s="122" t="str">
        <f>Teruletszamitas!$F11</f>
        <v/>
      </c>
      <c r="O11" s="123" t="str">
        <f>Teruletszamitas!$G11</f>
        <v/>
      </c>
      <c r="P11" s="16"/>
    </row>
    <row r="12" spans="1:17" ht="17.25" customHeight="1" x14ac:dyDescent="0.25">
      <c r="A12" s="119">
        <f>Teruletszamitas!A12</f>
        <v>8</v>
      </c>
      <c r="B12" s="120" t="str">
        <f>IF(Teruletszamitas!$B12&lt;&gt;"",Teruletszamitas!B12,"")</f>
        <v/>
      </c>
      <c r="C12" s="120" t="str">
        <f>IF(Teruletszamitas!$C12&lt;&gt;"",Teruletszamitas!$C12,"")</f>
        <v/>
      </c>
      <c r="D12" s="121" t="str">
        <f>IF(Teruletszamitas!$D12&lt;&gt;"",Teruletszamitas!$D12,"")</f>
        <v/>
      </c>
      <c r="E12" s="122" t="str">
        <f>Teruletszamitas!$E12</f>
        <v/>
      </c>
      <c r="F12" s="122" t="str">
        <f>IF(Teruletszamitas!$H12="","",Teruletszamitas!$H12/100)</f>
        <v/>
      </c>
      <c r="G12" s="123" t="str">
        <f>Teruletszamitas!$G12</f>
        <v/>
      </c>
      <c r="H12" s="39"/>
      <c r="I12" s="119">
        <v>8</v>
      </c>
      <c r="J12" s="120" t="str">
        <f>IF(Teruletszamitas!$B12&lt;&gt;"",Teruletszamitas!$B12,"")</f>
        <v/>
      </c>
      <c r="K12" s="120" t="str">
        <f>IF(Teruletszamitas!$C12&lt;&gt;"",Teruletszamitas!$C12,"")</f>
        <v/>
      </c>
      <c r="L12" s="121" t="str">
        <f>IF(Teruletszamitas!$D12&lt;&gt;"",Teruletszamitas!$D12,"")</f>
        <v/>
      </c>
      <c r="M12" s="122" t="str">
        <f>Teruletszamitas!$E12</f>
        <v/>
      </c>
      <c r="N12" s="122" t="str">
        <f>Teruletszamitas!$F12</f>
        <v/>
      </c>
      <c r="O12" s="123" t="str">
        <f>Teruletszamitas!$G12</f>
        <v/>
      </c>
      <c r="P12" s="16"/>
    </row>
    <row r="13" spans="1:17" ht="17.25" customHeight="1" x14ac:dyDescent="0.25">
      <c r="A13" s="119">
        <f>Teruletszamitas!A13</f>
        <v>9</v>
      </c>
      <c r="B13" s="120" t="str">
        <f>IF(Teruletszamitas!$B13&lt;&gt;"",Teruletszamitas!B13,"")</f>
        <v/>
      </c>
      <c r="C13" s="120" t="str">
        <f>IF(Teruletszamitas!$C13&lt;&gt;"",Teruletszamitas!$C13,"")</f>
        <v/>
      </c>
      <c r="D13" s="121" t="str">
        <f>IF(Teruletszamitas!$D13&lt;&gt;"",Teruletszamitas!$D13,"")</f>
        <v/>
      </c>
      <c r="E13" s="122" t="str">
        <f>Teruletszamitas!$E13</f>
        <v/>
      </c>
      <c r="F13" s="122" t="str">
        <f>IF(Teruletszamitas!$H13="","",Teruletszamitas!$H13/100)</f>
        <v/>
      </c>
      <c r="G13" s="123" t="str">
        <f>Teruletszamitas!$G13</f>
        <v/>
      </c>
      <c r="H13" s="39"/>
      <c r="I13" s="119">
        <v>9</v>
      </c>
      <c r="J13" s="120" t="str">
        <f>IF(Teruletszamitas!$B13&lt;&gt;"",Teruletszamitas!$B13,"")</f>
        <v/>
      </c>
      <c r="K13" s="120" t="str">
        <f>IF(Teruletszamitas!$C13&lt;&gt;"",Teruletszamitas!$C13,"")</f>
        <v/>
      </c>
      <c r="L13" s="121" t="str">
        <f>IF(Teruletszamitas!$D13&lt;&gt;"",Teruletszamitas!$D13,"")</f>
        <v/>
      </c>
      <c r="M13" s="122" t="str">
        <f>Teruletszamitas!$E13</f>
        <v/>
      </c>
      <c r="N13" s="122" t="str">
        <f>Teruletszamitas!$F13</f>
        <v/>
      </c>
      <c r="O13" s="123" t="str">
        <f>Teruletszamitas!$G13</f>
        <v/>
      </c>
      <c r="P13" s="16"/>
    </row>
    <row r="14" spans="1:17" ht="17.25" customHeight="1" x14ac:dyDescent="0.25">
      <c r="A14" s="119">
        <f>Teruletszamitas!A14</f>
        <v>10</v>
      </c>
      <c r="B14" s="120" t="str">
        <f>IF(Teruletszamitas!$B14&lt;&gt;"",Teruletszamitas!B14,"")</f>
        <v/>
      </c>
      <c r="C14" s="120" t="str">
        <f>IF(Teruletszamitas!$C14&lt;&gt;"",Teruletszamitas!$C14,"")</f>
        <v/>
      </c>
      <c r="D14" s="121" t="str">
        <f>IF(Teruletszamitas!$D14&lt;&gt;"",Teruletszamitas!$D14,"")</f>
        <v/>
      </c>
      <c r="E14" s="122" t="str">
        <f>Teruletszamitas!$E14</f>
        <v/>
      </c>
      <c r="F14" s="122" t="str">
        <f>IF(Teruletszamitas!$H14="","",Teruletszamitas!$H14/100)</f>
        <v/>
      </c>
      <c r="G14" s="123" t="str">
        <f>Teruletszamitas!$G14</f>
        <v/>
      </c>
      <c r="H14" s="39"/>
      <c r="I14" s="119">
        <v>10</v>
      </c>
      <c r="J14" s="120" t="str">
        <f>IF(Teruletszamitas!$B14&lt;&gt;"",Teruletszamitas!$B14,"")</f>
        <v/>
      </c>
      <c r="K14" s="120" t="str">
        <f>IF(Teruletszamitas!$C14&lt;&gt;"",Teruletszamitas!$C14,"")</f>
        <v/>
      </c>
      <c r="L14" s="121" t="str">
        <f>IF(Teruletszamitas!$D14&lt;&gt;"",Teruletszamitas!$D14,"")</f>
        <v/>
      </c>
      <c r="M14" s="122" t="str">
        <f>Teruletszamitas!$E14</f>
        <v/>
      </c>
      <c r="N14" s="122" t="str">
        <f>Teruletszamitas!$F14</f>
        <v/>
      </c>
      <c r="O14" s="123" t="str">
        <f>Teruletszamitas!$G14</f>
        <v/>
      </c>
      <c r="P14" s="16"/>
    </row>
    <row r="15" spans="1:17" ht="17.25" customHeight="1" x14ac:dyDescent="0.25">
      <c r="A15" s="119">
        <f>Teruletszamitas!A15</f>
        <v>11</v>
      </c>
      <c r="B15" s="120" t="str">
        <f>IF(Teruletszamitas!$B15&lt;&gt;"",Teruletszamitas!B15,"")</f>
        <v/>
      </c>
      <c r="C15" s="120" t="str">
        <f>IF(Teruletszamitas!$C15&lt;&gt;"",Teruletszamitas!$C15,"")</f>
        <v/>
      </c>
      <c r="D15" s="121" t="str">
        <f>IF(Teruletszamitas!$D15&lt;&gt;"",Teruletszamitas!$D15,"")</f>
        <v/>
      </c>
      <c r="E15" s="122" t="str">
        <f>Teruletszamitas!$E15</f>
        <v/>
      </c>
      <c r="F15" s="122" t="str">
        <f>IF(Teruletszamitas!$H15="","",Teruletszamitas!$H15/100)</f>
        <v/>
      </c>
      <c r="G15" s="123" t="str">
        <f>Teruletszamitas!$G15</f>
        <v/>
      </c>
      <c r="H15" s="39"/>
      <c r="I15" s="119">
        <v>11</v>
      </c>
      <c r="J15" s="120" t="str">
        <f>IF(Teruletszamitas!$B15&lt;&gt;"",Teruletszamitas!$B15,"")</f>
        <v/>
      </c>
      <c r="K15" s="120" t="str">
        <f>IF(Teruletszamitas!$C15&lt;&gt;"",Teruletszamitas!$C15,"")</f>
        <v/>
      </c>
      <c r="L15" s="121" t="str">
        <f>IF(Teruletszamitas!$D15&lt;&gt;"",Teruletszamitas!$D15,"")</f>
        <v/>
      </c>
      <c r="M15" s="122" t="str">
        <f>Teruletszamitas!$E15</f>
        <v/>
      </c>
      <c r="N15" s="122" t="str">
        <f>Teruletszamitas!$F15</f>
        <v/>
      </c>
      <c r="O15" s="123" t="str">
        <f>Teruletszamitas!$G15</f>
        <v/>
      </c>
      <c r="P15" s="16"/>
    </row>
    <row r="16" spans="1:17" ht="17.25" customHeight="1" x14ac:dyDescent="0.25">
      <c r="A16" s="119">
        <f>Teruletszamitas!A16</f>
        <v>12</v>
      </c>
      <c r="B16" s="120" t="str">
        <f>IF(Teruletszamitas!$B16&lt;&gt;"",Teruletszamitas!B16,"")</f>
        <v/>
      </c>
      <c r="C16" s="120" t="str">
        <f>IF(Teruletszamitas!$C16&lt;&gt;"",Teruletszamitas!$C16,"")</f>
        <v/>
      </c>
      <c r="D16" s="121" t="str">
        <f>IF(Teruletszamitas!$D16&lt;&gt;"",Teruletszamitas!$D16,"")</f>
        <v/>
      </c>
      <c r="E16" s="122" t="str">
        <f>Teruletszamitas!$E16</f>
        <v/>
      </c>
      <c r="F16" s="122" t="str">
        <f>IF(Teruletszamitas!$H16="","",Teruletszamitas!$H16/100)</f>
        <v/>
      </c>
      <c r="G16" s="123" t="str">
        <f>Teruletszamitas!$G16</f>
        <v/>
      </c>
      <c r="H16" s="39"/>
      <c r="I16" s="119">
        <v>12</v>
      </c>
      <c r="J16" s="120" t="str">
        <f>IF(Teruletszamitas!$B16&lt;&gt;"",Teruletszamitas!$B16,"")</f>
        <v/>
      </c>
      <c r="K16" s="120" t="str">
        <f>IF(Teruletszamitas!$C16&lt;&gt;"",Teruletszamitas!$C16,"")</f>
        <v/>
      </c>
      <c r="L16" s="121" t="str">
        <f>IF(Teruletszamitas!$D16&lt;&gt;"",Teruletszamitas!$D16,"")</f>
        <v/>
      </c>
      <c r="M16" s="122" t="str">
        <f>Teruletszamitas!$E16</f>
        <v/>
      </c>
      <c r="N16" s="122" t="str">
        <f>Teruletszamitas!$F16</f>
        <v/>
      </c>
      <c r="O16" s="123" t="str">
        <f>Teruletszamitas!$G16</f>
        <v/>
      </c>
      <c r="P16" s="16"/>
    </row>
    <row r="17" spans="1:16" ht="17.25" customHeight="1" x14ac:dyDescent="0.25">
      <c r="A17" s="119">
        <f>Teruletszamitas!A17</f>
        <v>13</v>
      </c>
      <c r="B17" s="120" t="str">
        <f>IF(Teruletszamitas!$B17&lt;&gt;"",Teruletszamitas!B17,"")</f>
        <v/>
      </c>
      <c r="C17" s="120" t="str">
        <f>IF(Teruletszamitas!$C17&lt;&gt;"",Teruletszamitas!$C17,"")</f>
        <v/>
      </c>
      <c r="D17" s="121" t="str">
        <f>IF(Teruletszamitas!$D17&lt;&gt;"",Teruletszamitas!$D17,"")</f>
        <v/>
      </c>
      <c r="E17" s="122" t="str">
        <f>Teruletszamitas!$E17</f>
        <v/>
      </c>
      <c r="F17" s="122" t="str">
        <f>IF(Teruletszamitas!$H17="","",Teruletszamitas!$H17/100)</f>
        <v/>
      </c>
      <c r="G17" s="123" t="str">
        <f>Teruletszamitas!$G17</f>
        <v/>
      </c>
      <c r="H17" s="39"/>
      <c r="I17" s="119">
        <v>13</v>
      </c>
      <c r="J17" s="120" t="str">
        <f>IF(Teruletszamitas!$B17&lt;&gt;"",Teruletszamitas!$B17,"")</f>
        <v/>
      </c>
      <c r="K17" s="120" t="str">
        <f>IF(Teruletszamitas!$C17&lt;&gt;"",Teruletszamitas!$C17,"")</f>
        <v/>
      </c>
      <c r="L17" s="121" t="str">
        <f>IF(Teruletszamitas!$D17&lt;&gt;"",Teruletszamitas!$D17,"")</f>
        <v/>
      </c>
      <c r="M17" s="122" t="str">
        <f>Teruletszamitas!$E17</f>
        <v/>
      </c>
      <c r="N17" s="122" t="str">
        <f>Teruletszamitas!$F17</f>
        <v/>
      </c>
      <c r="O17" s="123" t="str">
        <f>Teruletszamitas!$G17</f>
        <v/>
      </c>
      <c r="P17" s="16"/>
    </row>
    <row r="18" spans="1:16" ht="17.25" customHeight="1" x14ac:dyDescent="0.25">
      <c r="A18" s="119">
        <f>Teruletszamitas!A18</f>
        <v>14</v>
      </c>
      <c r="B18" s="120" t="str">
        <f>IF(Teruletszamitas!$B18&lt;&gt;"",Teruletszamitas!B18,"")</f>
        <v/>
      </c>
      <c r="C18" s="120" t="str">
        <f>IF(Teruletszamitas!$C18&lt;&gt;"",Teruletszamitas!$C18,"")</f>
        <v/>
      </c>
      <c r="D18" s="121" t="str">
        <f>IF(Teruletszamitas!$D18&lt;&gt;"",Teruletszamitas!$D18,"")</f>
        <v/>
      </c>
      <c r="E18" s="122" t="str">
        <f>Teruletszamitas!$E18</f>
        <v/>
      </c>
      <c r="F18" s="122" t="str">
        <f>IF(Teruletszamitas!$H18="","",Teruletszamitas!$H18/100)</f>
        <v/>
      </c>
      <c r="G18" s="123" t="str">
        <f>Teruletszamitas!$G18</f>
        <v/>
      </c>
      <c r="H18" s="39"/>
      <c r="I18" s="119">
        <v>14</v>
      </c>
      <c r="J18" s="120" t="str">
        <f>IF(Teruletszamitas!$B18&lt;&gt;"",Teruletszamitas!$B18,"")</f>
        <v/>
      </c>
      <c r="K18" s="120" t="str">
        <f>IF(Teruletszamitas!$C18&lt;&gt;"",Teruletszamitas!$C18,"")</f>
        <v/>
      </c>
      <c r="L18" s="121" t="str">
        <f>IF(Teruletszamitas!$D18&lt;&gt;"",Teruletszamitas!$D18,"")</f>
        <v/>
      </c>
      <c r="M18" s="122" t="str">
        <f>Teruletszamitas!$E18</f>
        <v/>
      </c>
      <c r="N18" s="122" t="str">
        <f>Teruletszamitas!$F18</f>
        <v/>
      </c>
      <c r="O18" s="123" t="str">
        <f>Teruletszamitas!$G18</f>
        <v/>
      </c>
      <c r="P18" s="16"/>
    </row>
    <row r="19" spans="1:16" ht="17.25" customHeight="1" x14ac:dyDescent="0.25">
      <c r="A19" s="119">
        <f>Teruletszamitas!A19</f>
        <v>15</v>
      </c>
      <c r="B19" s="120" t="str">
        <f>IF(Teruletszamitas!$B19&lt;&gt;"",Teruletszamitas!B19,"")</f>
        <v/>
      </c>
      <c r="C19" s="120" t="str">
        <f>IF(Teruletszamitas!$C19&lt;&gt;"",Teruletszamitas!$C19,"")</f>
        <v/>
      </c>
      <c r="D19" s="121" t="str">
        <f>IF(Teruletszamitas!$D19&lt;&gt;"",Teruletszamitas!$D19,"")</f>
        <v/>
      </c>
      <c r="E19" s="122" t="str">
        <f>Teruletszamitas!$E19</f>
        <v/>
      </c>
      <c r="F19" s="122" t="str">
        <f>IF(Teruletszamitas!$H19="","",Teruletszamitas!$H19/100)</f>
        <v/>
      </c>
      <c r="G19" s="123" t="str">
        <f>Teruletszamitas!$G19</f>
        <v/>
      </c>
      <c r="H19" s="39"/>
      <c r="I19" s="119">
        <v>15</v>
      </c>
      <c r="J19" s="120" t="str">
        <f>IF(Teruletszamitas!$B19&lt;&gt;"",Teruletszamitas!$B19,"")</f>
        <v/>
      </c>
      <c r="K19" s="120" t="str">
        <f>IF(Teruletszamitas!$C19&lt;&gt;"",Teruletszamitas!$C19,"")</f>
        <v/>
      </c>
      <c r="L19" s="121" t="str">
        <f>IF(Teruletszamitas!$D19&lt;&gt;"",Teruletszamitas!$D19,"")</f>
        <v/>
      </c>
      <c r="M19" s="122" t="str">
        <f>Teruletszamitas!$E19</f>
        <v/>
      </c>
      <c r="N19" s="122" t="str">
        <f>Teruletszamitas!$F19</f>
        <v/>
      </c>
      <c r="O19" s="123" t="str">
        <f>Teruletszamitas!$G19</f>
        <v/>
      </c>
      <c r="P19" s="16"/>
    </row>
    <row r="20" spans="1:16" ht="17.25" customHeight="1" x14ac:dyDescent="0.25">
      <c r="A20" s="119">
        <f>Teruletszamitas!A20</f>
        <v>16</v>
      </c>
      <c r="B20" s="120" t="str">
        <f>IF(Teruletszamitas!$B20&lt;&gt;"",Teruletszamitas!B20,"")</f>
        <v/>
      </c>
      <c r="C20" s="120" t="str">
        <f>IF(Teruletszamitas!$C20&lt;&gt;"",Teruletszamitas!$C20,"")</f>
        <v/>
      </c>
      <c r="D20" s="121" t="str">
        <f>IF(Teruletszamitas!$D20&lt;&gt;"",Teruletszamitas!$D20,"")</f>
        <v/>
      </c>
      <c r="E20" s="122" t="str">
        <f>Teruletszamitas!$E20</f>
        <v/>
      </c>
      <c r="F20" s="122" t="str">
        <f>IF(Teruletszamitas!$H20="","",Teruletszamitas!$H20/100)</f>
        <v/>
      </c>
      <c r="G20" s="123" t="str">
        <f>Teruletszamitas!$G20</f>
        <v/>
      </c>
      <c r="H20" s="39"/>
      <c r="I20" s="119">
        <v>16</v>
      </c>
      <c r="J20" s="120" t="str">
        <f>IF(Teruletszamitas!$B20&lt;&gt;"",Teruletszamitas!$B20,"")</f>
        <v/>
      </c>
      <c r="K20" s="120" t="str">
        <f>IF(Teruletszamitas!$C20&lt;&gt;"",Teruletszamitas!$C20,"")</f>
        <v/>
      </c>
      <c r="L20" s="121" t="str">
        <f>IF(Teruletszamitas!$D20&lt;&gt;"",Teruletszamitas!$D20,"")</f>
        <v/>
      </c>
      <c r="M20" s="122" t="str">
        <f>Teruletszamitas!$E20</f>
        <v/>
      </c>
      <c r="N20" s="122" t="str">
        <f>Teruletszamitas!$F20</f>
        <v/>
      </c>
      <c r="O20" s="123" t="str">
        <f>Teruletszamitas!$G20</f>
        <v/>
      </c>
      <c r="P20" s="16"/>
    </row>
    <row r="21" spans="1:16" ht="17.25" customHeight="1" x14ac:dyDescent="0.25">
      <c r="A21" s="119">
        <f>Teruletszamitas!A21</f>
        <v>17</v>
      </c>
      <c r="B21" s="120" t="str">
        <f>IF(Teruletszamitas!$B21&lt;&gt;"",Teruletszamitas!B21,"")</f>
        <v/>
      </c>
      <c r="C21" s="120" t="str">
        <f>IF(Teruletszamitas!$C21&lt;&gt;"",Teruletszamitas!$C21,"")</f>
        <v/>
      </c>
      <c r="D21" s="121" t="str">
        <f>IF(Teruletszamitas!$D21&lt;&gt;"",Teruletszamitas!$D21,"")</f>
        <v/>
      </c>
      <c r="E21" s="122" t="str">
        <f>Teruletszamitas!$E21</f>
        <v/>
      </c>
      <c r="F21" s="122" t="str">
        <f>IF(Teruletszamitas!$H21="","",Teruletszamitas!$H21/100)</f>
        <v/>
      </c>
      <c r="G21" s="123" t="str">
        <f>Teruletszamitas!$G21</f>
        <v/>
      </c>
      <c r="H21" s="39"/>
      <c r="I21" s="119">
        <v>17</v>
      </c>
      <c r="J21" s="120" t="str">
        <f>IF(Teruletszamitas!$B21&lt;&gt;"",Teruletszamitas!$B21,"")</f>
        <v/>
      </c>
      <c r="K21" s="120" t="str">
        <f>IF(Teruletszamitas!$C21&lt;&gt;"",Teruletszamitas!$C21,"")</f>
        <v/>
      </c>
      <c r="L21" s="121" t="str">
        <f>IF(Teruletszamitas!$D21&lt;&gt;"",Teruletszamitas!$D21,"")</f>
        <v/>
      </c>
      <c r="M21" s="122" t="str">
        <f>Teruletszamitas!$E21</f>
        <v/>
      </c>
      <c r="N21" s="122" t="str">
        <f>Teruletszamitas!$F21</f>
        <v/>
      </c>
      <c r="O21" s="123" t="str">
        <f>Teruletszamitas!$G21</f>
        <v/>
      </c>
      <c r="P21" s="16"/>
    </row>
    <row r="22" spans="1:16" ht="17.25" customHeight="1" x14ac:dyDescent="0.25">
      <c r="A22" s="119">
        <f>Teruletszamitas!A22</f>
        <v>18</v>
      </c>
      <c r="B22" s="120" t="str">
        <f>IF(Teruletszamitas!$B22&lt;&gt;"",Teruletszamitas!B22,"")</f>
        <v/>
      </c>
      <c r="C22" s="120" t="str">
        <f>IF(Teruletszamitas!$C22&lt;&gt;"",Teruletszamitas!$C22,"")</f>
        <v/>
      </c>
      <c r="D22" s="121" t="str">
        <f>IF(Teruletszamitas!$D22&lt;&gt;"",Teruletszamitas!$D22,"")</f>
        <v/>
      </c>
      <c r="E22" s="122" t="str">
        <f>Teruletszamitas!$E22</f>
        <v/>
      </c>
      <c r="F22" s="122" t="str">
        <f>IF(Teruletszamitas!$H22="","",Teruletszamitas!$H22/100)</f>
        <v/>
      </c>
      <c r="G22" s="123" t="str">
        <f>Teruletszamitas!$G22</f>
        <v/>
      </c>
      <c r="H22" s="39"/>
      <c r="I22" s="119">
        <v>18</v>
      </c>
      <c r="J22" s="120" t="str">
        <f>IF(Teruletszamitas!$B22&lt;&gt;"",Teruletszamitas!$B22,"")</f>
        <v/>
      </c>
      <c r="K22" s="120" t="str">
        <f>IF(Teruletszamitas!$C22&lt;&gt;"",Teruletszamitas!$C22,"")</f>
        <v/>
      </c>
      <c r="L22" s="121" t="str">
        <f>IF(Teruletszamitas!$D22&lt;&gt;"",Teruletszamitas!$D22,"")</f>
        <v/>
      </c>
      <c r="M22" s="122" t="str">
        <f>Teruletszamitas!$E22</f>
        <v/>
      </c>
      <c r="N22" s="122" t="str">
        <f>Teruletszamitas!$F22</f>
        <v/>
      </c>
      <c r="O22" s="123" t="str">
        <f>Teruletszamitas!$G22</f>
        <v/>
      </c>
      <c r="P22" s="16"/>
    </row>
    <row r="23" spans="1:16" ht="17.25" customHeight="1" x14ac:dyDescent="0.25">
      <c r="A23" s="119">
        <f>Teruletszamitas!A23</f>
        <v>19</v>
      </c>
      <c r="B23" s="120" t="str">
        <f>IF(Teruletszamitas!$B23&lt;&gt;"",Teruletszamitas!B23,"")</f>
        <v/>
      </c>
      <c r="C23" s="120" t="str">
        <f>IF(Teruletszamitas!$C23&lt;&gt;"",Teruletszamitas!$C23,"")</f>
        <v/>
      </c>
      <c r="D23" s="121" t="str">
        <f>IF(Teruletszamitas!$D23&lt;&gt;"",Teruletszamitas!$D23,"")</f>
        <v/>
      </c>
      <c r="E23" s="122" t="str">
        <f>Teruletszamitas!$E23</f>
        <v/>
      </c>
      <c r="F23" s="122" t="str">
        <f>IF(Teruletszamitas!$H23="","",Teruletszamitas!$H23/100)</f>
        <v/>
      </c>
      <c r="G23" s="123" t="str">
        <f>Teruletszamitas!$G23</f>
        <v/>
      </c>
      <c r="H23" s="39"/>
      <c r="I23" s="119">
        <v>19</v>
      </c>
      <c r="J23" s="120" t="str">
        <f>IF(Teruletszamitas!$B23&lt;&gt;"",Teruletszamitas!$B23,"")</f>
        <v/>
      </c>
      <c r="K23" s="120" t="str">
        <f>IF(Teruletszamitas!$C23&lt;&gt;"",Teruletszamitas!$C23,"")</f>
        <v/>
      </c>
      <c r="L23" s="121" t="str">
        <f>IF(Teruletszamitas!$D23&lt;&gt;"",Teruletszamitas!$D23,"")</f>
        <v/>
      </c>
      <c r="M23" s="122" t="str">
        <f>Teruletszamitas!$E23</f>
        <v/>
      </c>
      <c r="N23" s="122" t="str">
        <f>Teruletszamitas!$F23</f>
        <v/>
      </c>
      <c r="O23" s="123" t="str">
        <f>Teruletszamitas!$G23</f>
        <v/>
      </c>
      <c r="P23" s="16"/>
    </row>
    <row r="24" spans="1:16" ht="17.25" customHeight="1" x14ac:dyDescent="0.25">
      <c r="A24" s="119">
        <f>Teruletszamitas!A24</f>
        <v>20</v>
      </c>
      <c r="B24" s="120" t="str">
        <f>IF(Teruletszamitas!$B24&lt;&gt;"",Teruletszamitas!B24,"")</f>
        <v/>
      </c>
      <c r="C24" s="120" t="str">
        <f>IF(Teruletszamitas!$C24&lt;&gt;"",Teruletszamitas!$C24,"")</f>
        <v/>
      </c>
      <c r="D24" s="121" t="str">
        <f>IF(Teruletszamitas!$D24&lt;&gt;"",Teruletszamitas!$D24,"")</f>
        <v/>
      </c>
      <c r="E24" s="122" t="str">
        <f>Teruletszamitas!$E24</f>
        <v/>
      </c>
      <c r="F24" s="122" t="str">
        <f>IF(Teruletszamitas!$H24="","",Teruletszamitas!$H24/100)</f>
        <v/>
      </c>
      <c r="G24" s="123" t="str">
        <f>Teruletszamitas!$G24</f>
        <v/>
      </c>
      <c r="H24" s="39"/>
      <c r="I24" s="119">
        <v>20</v>
      </c>
      <c r="J24" s="120" t="str">
        <f>IF(Teruletszamitas!$B24&lt;&gt;"",Teruletszamitas!$B24,"")</f>
        <v/>
      </c>
      <c r="K24" s="120" t="str">
        <f>IF(Teruletszamitas!$C24&lt;&gt;"",Teruletszamitas!$C24,"")</f>
        <v/>
      </c>
      <c r="L24" s="121" t="str">
        <f>IF(Teruletszamitas!$D24&lt;&gt;"",Teruletszamitas!$D24,"")</f>
        <v/>
      </c>
      <c r="M24" s="122" t="str">
        <f>Teruletszamitas!$E24</f>
        <v/>
      </c>
      <c r="N24" s="122" t="str">
        <f>Teruletszamitas!$F24</f>
        <v/>
      </c>
      <c r="O24" s="123" t="str">
        <f>Teruletszamitas!$G24</f>
        <v/>
      </c>
      <c r="P24" s="16"/>
    </row>
    <row r="25" spans="1:16" x14ac:dyDescent="0.25">
      <c r="A25" s="118"/>
      <c r="B25" s="118"/>
      <c r="C25" s="124" t="str">
        <f>Teruletszamitas!C25</f>
        <v>Össz:</v>
      </c>
      <c r="D25" s="125">
        <f>Teruletszamitas!D25</f>
        <v>4</v>
      </c>
      <c r="E25" s="126">
        <f>Teruletszamitas!E25</f>
        <v>5.5</v>
      </c>
      <c r="F25" s="127">
        <f>IF(Teruletszamitas!$H25="","",Teruletszamitas!$H25/100)</f>
        <v>20</v>
      </c>
      <c r="G25" s="126">
        <f>Teruletszamitas!G25</f>
        <v>9.3000000000000007</v>
      </c>
      <c r="H25" s="39"/>
      <c r="I25" s="118"/>
      <c r="J25" s="118"/>
      <c r="K25" s="128" t="str">
        <f>C25</f>
        <v>Össz:</v>
      </c>
      <c r="L25" s="129">
        <f>D25</f>
        <v>4</v>
      </c>
      <c r="M25" s="130">
        <f>E25</f>
        <v>5.5</v>
      </c>
      <c r="N25" s="130">
        <f>Teruletszamitas!F25</f>
        <v>0</v>
      </c>
      <c r="O25" s="130">
        <f>G25</f>
        <v>9.3000000000000007</v>
      </c>
      <c r="P25" s="16"/>
    </row>
    <row r="26" spans="1:16" ht="15" customHeight="1" x14ac:dyDescent="0.25">
      <c r="A26" s="203"/>
      <c r="B26" s="203"/>
      <c r="C26" s="203"/>
      <c r="D26" s="203"/>
      <c r="E26" s="203"/>
      <c r="F26" s="203"/>
      <c r="G26" s="203"/>
      <c r="H26" s="26"/>
      <c r="I26" s="203"/>
      <c r="J26" s="203"/>
      <c r="K26" s="203"/>
      <c r="L26" s="203"/>
      <c r="M26" s="203"/>
      <c r="N26" s="203"/>
      <c r="O26" s="203"/>
      <c r="P26" s="13"/>
    </row>
    <row r="27" spans="1:16" ht="3.6" customHeight="1" x14ac:dyDescent="0.25">
      <c r="A27" s="26"/>
      <c r="B27" s="26"/>
      <c r="C27" s="26"/>
      <c r="D27" s="40"/>
      <c r="E27" s="41"/>
      <c r="F27" s="41"/>
      <c r="G27" s="33"/>
      <c r="H27" s="26"/>
      <c r="I27" s="26"/>
      <c r="J27" s="26"/>
      <c r="K27" s="26"/>
      <c r="L27" s="40"/>
      <c r="M27" s="41"/>
      <c r="N27" s="41"/>
      <c r="O27" s="33"/>
      <c r="P27" s="13"/>
    </row>
    <row r="28" spans="1:16" ht="15" customHeight="1" x14ac:dyDescent="0.25">
      <c r="A28" s="26"/>
      <c r="B28" s="102"/>
      <c r="C28" s="198"/>
      <c r="D28" s="198"/>
      <c r="E28" s="204">
        <f>Teruletszamitas!H28</f>
        <v>2166</v>
      </c>
      <c r="F28" s="204"/>
      <c r="G28" s="204"/>
      <c r="H28" s="26"/>
      <c r="I28" s="26"/>
      <c r="J28" s="102"/>
      <c r="K28" s="198"/>
      <c r="L28" s="198"/>
      <c r="M28" s="204">
        <f>Teruletszamitas!H28</f>
        <v>2166</v>
      </c>
      <c r="N28" s="204"/>
      <c r="O28" s="204"/>
      <c r="P28" s="13"/>
    </row>
    <row r="29" spans="1:16" x14ac:dyDescent="0.25">
      <c r="A29" s="26"/>
      <c r="B29" s="201"/>
      <c r="C29" s="201"/>
      <c r="D29" s="42"/>
      <c r="E29" s="43"/>
      <c r="F29" s="201"/>
      <c r="G29" s="201"/>
      <c r="H29" s="26"/>
      <c r="I29" s="26"/>
      <c r="J29" s="201"/>
      <c r="K29" s="201"/>
      <c r="L29" s="42"/>
      <c r="M29" s="43"/>
      <c r="N29" s="201"/>
      <c r="O29" s="201"/>
      <c r="P29" s="13"/>
    </row>
    <row r="30" spans="1:16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</row>
  </sheetData>
  <sheetProtection password="D988" sheet="1" objects="1" scenarios="1"/>
  <mergeCells count="19">
    <mergeCell ref="M28:O28"/>
    <mergeCell ref="C1:D1"/>
    <mergeCell ref="A26:G26"/>
    <mergeCell ref="C28:D28"/>
    <mergeCell ref="B3:G3"/>
    <mergeCell ref="G1:H1"/>
    <mergeCell ref="L2:M2"/>
    <mergeCell ref="B29:C29"/>
    <mergeCell ref="F29:G29"/>
    <mergeCell ref="K1:L1"/>
    <mergeCell ref="I26:O26"/>
    <mergeCell ref="J29:K29"/>
    <mergeCell ref="N29:O29"/>
    <mergeCell ref="K28:L28"/>
    <mergeCell ref="E28:G28"/>
    <mergeCell ref="J3:O3"/>
    <mergeCell ref="N2:O2"/>
    <mergeCell ref="F2:G2"/>
    <mergeCell ref="O1:P1"/>
  </mergeCells>
  <dataValidations count="2">
    <dataValidation type="decimal" operator="notEqual" allowBlank="1" showInputMessage="1" showErrorMessage="1" errorTitle="Hibás számformátum" error="Csak tizedes szám lehet ebben a cellában." sqref="J5:K24 B5:C24" xr:uid="{A19A2B7F-0AB2-472D-BD83-4BDB4499F5B3}">
      <formula1>0</formula1>
    </dataValidation>
    <dataValidation type="whole" operator="notEqual" allowBlank="1" showInputMessage="1" showErrorMessage="1" errorTitle="Hibás számformátum" error="Csak egész szám lehet ebben a cellában." sqref="L5:L24 D5:D24" xr:uid="{B75D0B0A-5B18-4F8A-8145-3DCF0547B4C2}">
      <formula1>0</formula1>
    </dataValidation>
  </dataValidations>
  <pageMargins left="0.7" right="0.15748031496062992" top="0.74803149606299213" bottom="0.74803149606299213" header="0.31496062992125984" footer="0.31496062992125984"/>
  <pageSetup paperSize="9" scale="92" orientation="landscape" horizontalDpi="4294967294" r:id="rId1"/>
  <headerFooter>
    <oddFooter>&amp;L&amp;8Nyomtatás időpontja: &amp;D - &amp;T&amp;R&amp;8Nyomtatás időpontja: &amp;D - &amp;T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9180-1870-44AC-A8A0-F944C0063C3A}">
  <sheetPr codeName="Sheet6"/>
  <dimension ref="A1:I6"/>
  <sheetViews>
    <sheetView workbookViewId="0"/>
  </sheetViews>
  <sheetFormatPr defaultRowHeight="15" x14ac:dyDescent="0.25"/>
  <sheetData>
    <row r="1" spans="1:9" x14ac:dyDescent="0.25">
      <c r="A1">
        <v>1</v>
      </c>
      <c r="B1" s="97">
        <v>100</v>
      </c>
      <c r="C1" s="97">
        <v>100</v>
      </c>
      <c r="D1" s="98">
        <v>1</v>
      </c>
      <c r="E1" s="99">
        <v>1</v>
      </c>
      <c r="F1" s="99">
        <v>0</v>
      </c>
      <c r="G1" s="99">
        <v>1</v>
      </c>
      <c r="H1" s="99">
        <v>400</v>
      </c>
      <c r="I1" s="99">
        <v>127</v>
      </c>
    </row>
    <row r="2" spans="1:9" x14ac:dyDescent="0.25">
      <c r="A2">
        <v>2</v>
      </c>
      <c r="B2" s="97">
        <v>200</v>
      </c>
      <c r="C2" s="97">
        <v>20</v>
      </c>
      <c r="D2" s="98">
        <v>2</v>
      </c>
      <c r="E2" s="99">
        <v>0.8</v>
      </c>
      <c r="F2" s="99">
        <v>0</v>
      </c>
      <c r="G2" s="99">
        <v>0.8</v>
      </c>
      <c r="H2" s="99">
        <v>880</v>
      </c>
      <c r="I2" s="99">
        <v>101.6</v>
      </c>
    </row>
    <row r="3" spans="1:9" x14ac:dyDescent="0.25">
      <c r="A3">
        <v>2</v>
      </c>
      <c r="B3" s="97">
        <v>200</v>
      </c>
      <c r="C3" s="97">
        <v>20</v>
      </c>
      <c r="D3" s="98">
        <v>2</v>
      </c>
      <c r="E3" s="99">
        <v>0.8</v>
      </c>
      <c r="F3" s="99">
        <v>0</v>
      </c>
      <c r="G3" s="99">
        <v>0.8</v>
      </c>
      <c r="H3" s="99">
        <v>880</v>
      </c>
      <c r="I3" s="99">
        <v>101.6</v>
      </c>
    </row>
    <row r="4" spans="1:9" x14ac:dyDescent="0.25">
      <c r="A4">
        <v>3</v>
      </c>
      <c r="B4" s="97">
        <v>300</v>
      </c>
      <c r="C4" s="97">
        <v>25</v>
      </c>
      <c r="D4" s="98">
        <v>2</v>
      </c>
      <c r="E4" s="99">
        <v>1.5</v>
      </c>
      <c r="F4" s="99">
        <v>0</v>
      </c>
      <c r="G4" s="99">
        <v>1.5</v>
      </c>
      <c r="H4" s="99">
        <v>1300</v>
      </c>
      <c r="I4" s="99">
        <v>190.5</v>
      </c>
    </row>
    <row r="5" spans="1:9" x14ac:dyDescent="0.25">
      <c r="A5">
        <v>3</v>
      </c>
      <c r="B5" s="97">
        <v>300</v>
      </c>
      <c r="C5" s="97">
        <v>25</v>
      </c>
      <c r="D5" s="98">
        <v>2</v>
      </c>
      <c r="E5" s="99">
        <v>1.5</v>
      </c>
      <c r="F5" s="99">
        <v>0</v>
      </c>
      <c r="G5" s="99">
        <v>1.5</v>
      </c>
      <c r="H5" s="99">
        <v>1300</v>
      </c>
      <c r="I5" s="99">
        <v>190.5</v>
      </c>
    </row>
    <row r="6" spans="1:9" x14ac:dyDescent="0.25">
      <c r="A6">
        <v>4</v>
      </c>
      <c r="B6" s="97">
        <v>50</v>
      </c>
      <c r="C6" s="97">
        <v>40</v>
      </c>
      <c r="D6" s="98">
        <v>1</v>
      </c>
      <c r="E6" s="99">
        <v>0.2</v>
      </c>
      <c r="F6" s="99">
        <v>0.04</v>
      </c>
      <c r="G6" s="99">
        <v>0.24000000000000002</v>
      </c>
      <c r="H6" s="99">
        <v>180</v>
      </c>
      <c r="I6" s="99">
        <v>30.48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8DE6-ED5D-4E1F-BDBA-B3B52B07FD41}">
  <sheetPr codeName="Sheet5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s="132">
        <v>2173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6E81B-6840-4E49-A3B9-08ADB0ED853E}">
  <sheetPr codeName="Munka2"/>
  <dimension ref="A1:V451"/>
  <sheetViews>
    <sheetView topLeftCell="A152" zoomScaleNormal="100" workbookViewId="0">
      <selection activeCell="A174" sqref="A174"/>
    </sheetView>
  </sheetViews>
  <sheetFormatPr defaultRowHeight="15" outlineLevelCol="1" x14ac:dyDescent="0.25"/>
  <cols>
    <col min="1" max="1" width="36.28515625" customWidth="1"/>
    <col min="2" max="2" width="54.28515625" bestFit="1" customWidth="1"/>
    <col min="3" max="3" width="14.5703125" hidden="1" customWidth="1" outlineLevel="1"/>
    <col min="4" max="4" width="12.42578125" bestFit="1" customWidth="1" collapsed="1"/>
    <col min="5" max="5" width="7.42578125" bestFit="1" customWidth="1"/>
    <col min="6" max="6" width="13.5703125" hidden="1" customWidth="1" outlineLevel="1"/>
    <col min="7" max="7" width="7.7109375" hidden="1" customWidth="1" outlineLevel="1"/>
    <col min="8" max="8" width="13.28515625" bestFit="1" customWidth="1" collapsed="1"/>
    <col min="9" max="9" width="4.85546875" customWidth="1"/>
    <col min="10" max="10" width="14.42578125" customWidth="1"/>
    <col min="12" max="12" width="0.7109375" customWidth="1"/>
    <col min="14" max="14" width="36.7109375" bestFit="1" customWidth="1"/>
    <col min="15" max="15" width="4" customWidth="1"/>
    <col min="16" max="16" width="4" hidden="1" customWidth="1"/>
    <col min="17" max="17" width="2.140625" hidden="1" customWidth="1"/>
    <col min="18" max="18" width="3.42578125" hidden="1" customWidth="1"/>
    <col min="19" max="19" width="10.140625" style="137" customWidth="1"/>
    <col min="20" max="20" width="9.140625" style="137" customWidth="1"/>
    <col min="21" max="21" width="10.7109375" style="137" customWidth="1"/>
  </cols>
  <sheetData>
    <row r="1" spans="1:22" ht="29.25" customHeight="1" x14ac:dyDescent="0.25">
      <c r="A1" s="1" t="s">
        <v>2</v>
      </c>
      <c r="B1" s="1" t="s">
        <v>3</v>
      </c>
      <c r="C1" s="1" t="s">
        <v>9</v>
      </c>
      <c r="D1" s="1" t="s">
        <v>15</v>
      </c>
      <c r="E1" s="1" t="s">
        <v>12</v>
      </c>
      <c r="F1" s="1" t="s">
        <v>10</v>
      </c>
      <c r="G1" s="1" t="s">
        <v>11</v>
      </c>
      <c r="H1" t="s">
        <v>13</v>
      </c>
      <c r="I1" s="1" t="s">
        <v>21</v>
      </c>
      <c r="J1" s="1" t="s">
        <v>20</v>
      </c>
      <c r="N1" s="142" t="s">
        <v>335</v>
      </c>
      <c r="O1" s="143"/>
      <c r="P1" s="27"/>
      <c r="Q1" s="27"/>
      <c r="R1" s="27"/>
      <c r="S1" s="144" t="s">
        <v>334</v>
      </c>
      <c r="T1" s="145" t="s">
        <v>332</v>
      </c>
      <c r="U1" s="144" t="s">
        <v>333</v>
      </c>
    </row>
    <row r="2" spans="1:22" ht="18.75" x14ac:dyDescent="0.3">
      <c r="A2" s="18" t="s">
        <v>429</v>
      </c>
      <c r="B2" s="21" t="str">
        <f ca="1">VLOOKUP(A2,TermekKod_data,2,FALSE)</f>
        <v>Float 4mm-Low-e 4mm termó</v>
      </c>
      <c r="C2" s="20"/>
      <c r="D2" s="32">
        <f t="shared" ref="D2:D28" ca="1" si="0">VLOOKUP($A2,TermekKod_data,8,0)</f>
        <v>226</v>
      </c>
      <c r="E2" s="20" t="s">
        <v>18</v>
      </c>
      <c r="F2" s="20"/>
      <c r="G2" s="20"/>
      <c r="H2" s="32">
        <f t="shared" ref="H2:H28" ca="1" si="1">VLOOKUP($A2,TermekKod_data,9,0)</f>
        <v>193</v>
      </c>
      <c r="I2" s="20" t="s">
        <v>18</v>
      </c>
      <c r="J2" t="str">
        <f t="shared" ref="J2:J28" ca="1" si="2">VLOOKUP(A2,TermekKod_data,3,FALSE)</f>
        <v>Duplex</v>
      </c>
      <c r="M2" s="25"/>
      <c r="N2" s="28" t="s">
        <v>222</v>
      </c>
      <c r="O2" s="32">
        <f t="shared" ref="O2:O65" ca="1" si="3">VLOOKUP($A2,TermekKod_data,9,0)</f>
        <v>193</v>
      </c>
      <c r="P2" s="146">
        <f ca="1">SUM(O2-(O2*9/115))</f>
        <v>177.89565217391305</v>
      </c>
      <c r="Q2" s="29"/>
      <c r="R2" s="29"/>
      <c r="S2" s="147">
        <f ca="1">SUM(T2-(T2*19/119))</f>
        <v>29.898428936792111</v>
      </c>
      <c r="T2" s="147">
        <f ca="1">SUM(P2/5)</f>
        <v>35.579130434782613</v>
      </c>
      <c r="U2" s="148">
        <f ca="1">SUM(P2)</f>
        <v>177.89565217391305</v>
      </c>
      <c r="V2" s="139"/>
    </row>
    <row r="3" spans="1:22" s="25" customFormat="1" ht="15.75" x14ac:dyDescent="0.25">
      <c r="A3" s="29" t="s">
        <v>430</v>
      </c>
      <c r="B3" s="31" t="str">
        <f t="shared" ref="B3:B28" ca="1" si="4">VLOOKUP(A3,TermekKod_data,2,FALSE)</f>
        <v>Float 4mm-Float 4mm termó</v>
      </c>
      <c r="C3" s="29"/>
      <c r="D3" s="32">
        <f t="shared" ca="1" si="0"/>
        <v>211</v>
      </c>
      <c r="E3" s="29" t="s">
        <v>19</v>
      </c>
      <c r="F3" s="29"/>
      <c r="G3" s="29"/>
      <c r="H3" s="32">
        <f t="shared" ca="1" si="1"/>
        <v>180</v>
      </c>
      <c r="I3" s="29" t="s">
        <v>19</v>
      </c>
      <c r="J3" s="25" t="str">
        <f t="shared" ca="1" si="2"/>
        <v>Duplex</v>
      </c>
      <c r="N3" s="29" t="s">
        <v>221</v>
      </c>
      <c r="O3" s="32">
        <f t="shared" ca="1" si="3"/>
        <v>180</v>
      </c>
      <c r="P3" s="146">
        <f t="shared" ref="P3:P66" ca="1" si="5">SUM(O3-(O3*9/115))</f>
        <v>165.91304347826087</v>
      </c>
      <c r="Q3" s="29"/>
      <c r="R3" s="29"/>
      <c r="S3" s="147">
        <f t="shared" ref="S3:S66" ca="1" si="6">SUM(T3-(T3*19/119))</f>
        <v>27.884545122396787</v>
      </c>
      <c r="T3" s="147">
        <f t="shared" ref="T3:T66" ca="1" si="7">SUM(P3/5)</f>
        <v>33.182608695652178</v>
      </c>
      <c r="U3" s="148">
        <f t="shared" ref="U3:U66" ca="1" si="8">SUM(P3)</f>
        <v>165.91304347826087</v>
      </c>
      <c r="V3" s="139"/>
    </row>
    <row r="4" spans="1:22" ht="18.75" x14ac:dyDescent="0.3">
      <c r="A4" s="18" t="s">
        <v>162</v>
      </c>
      <c r="B4" s="31" t="str">
        <f t="shared" ca="1" si="4"/>
        <v>Float 6mm-Low-e 4mm termó</v>
      </c>
      <c r="C4" s="20"/>
      <c r="D4" s="32">
        <f t="shared" ca="1" si="0"/>
        <v>278</v>
      </c>
      <c r="E4" s="20" t="s">
        <v>18</v>
      </c>
      <c r="F4" s="20"/>
      <c r="G4" s="20"/>
      <c r="H4" s="32">
        <f t="shared" ca="1" si="1"/>
        <v>237</v>
      </c>
      <c r="I4" s="20" t="s">
        <v>18</v>
      </c>
      <c r="J4" t="str">
        <f t="shared" ca="1" si="2"/>
        <v>Duplex</v>
      </c>
      <c r="M4" s="25"/>
      <c r="N4" s="28" t="s">
        <v>162</v>
      </c>
      <c r="O4" s="32">
        <f t="shared" ca="1" si="3"/>
        <v>237</v>
      </c>
      <c r="P4" s="146">
        <f t="shared" ca="1" si="5"/>
        <v>218.45217391304348</v>
      </c>
      <c r="Q4" s="29"/>
      <c r="R4" s="29"/>
      <c r="S4" s="147">
        <f t="shared" ca="1" si="6"/>
        <v>36.714651077822438</v>
      </c>
      <c r="T4" s="147">
        <f t="shared" ca="1" si="7"/>
        <v>43.690434782608698</v>
      </c>
      <c r="U4" s="148">
        <f t="shared" ca="1" si="8"/>
        <v>218.45217391304348</v>
      </c>
      <c r="V4" s="139"/>
    </row>
    <row r="5" spans="1:22" ht="18.75" x14ac:dyDescent="0.3">
      <c r="A5" s="18" t="s">
        <v>223</v>
      </c>
      <c r="B5" s="21" t="str">
        <f t="shared" ca="1" si="4"/>
        <v>Reflexios 4mm-Low-e 4mm termó</v>
      </c>
      <c r="C5" s="20"/>
      <c r="D5" s="32">
        <f t="shared" ca="1" si="0"/>
        <v>466</v>
      </c>
      <c r="E5" s="20" t="s">
        <v>18</v>
      </c>
      <c r="F5" s="20"/>
      <c r="G5" s="20"/>
      <c r="H5" s="32">
        <f t="shared" ca="1" si="1"/>
        <v>397</v>
      </c>
      <c r="I5" s="20" t="s">
        <v>18</v>
      </c>
      <c r="J5" t="str">
        <f t="shared" ca="1" si="2"/>
        <v>Duplex</v>
      </c>
      <c r="M5" s="25"/>
      <c r="N5" s="28" t="s">
        <v>223</v>
      </c>
      <c r="O5" s="32">
        <f t="shared" ca="1" si="3"/>
        <v>397</v>
      </c>
      <c r="P5" s="146">
        <f t="shared" ca="1" si="5"/>
        <v>365.9304347826087</v>
      </c>
      <c r="Q5" s="29"/>
      <c r="R5" s="29"/>
      <c r="S5" s="147">
        <f t="shared" ca="1" si="6"/>
        <v>61.500913408841797</v>
      </c>
      <c r="T5" s="147">
        <f t="shared" ca="1" si="7"/>
        <v>73.186086956521734</v>
      </c>
      <c r="U5" s="148">
        <f t="shared" ca="1" si="8"/>
        <v>365.9304347826087</v>
      </c>
      <c r="V5" s="139"/>
    </row>
    <row r="6" spans="1:22" ht="18.75" x14ac:dyDescent="0.3">
      <c r="A6" s="18" t="s">
        <v>63</v>
      </c>
      <c r="B6" s="21" t="str">
        <f t="shared" ca="1" si="4"/>
        <v>Duplex 3.1.3.-Low-e 4mm termó</v>
      </c>
      <c r="C6" s="20"/>
      <c r="D6" s="32">
        <f t="shared" ca="1" si="0"/>
        <v>380</v>
      </c>
      <c r="E6" s="20" t="s">
        <v>18</v>
      </c>
      <c r="F6" s="20"/>
      <c r="G6" s="20"/>
      <c r="H6" s="32">
        <f t="shared" ca="1" si="1"/>
        <v>323</v>
      </c>
      <c r="I6" s="20" t="s">
        <v>18</v>
      </c>
      <c r="J6" t="str">
        <f t="shared" ca="1" si="2"/>
        <v>Duplex</v>
      </c>
      <c r="M6" s="25"/>
      <c r="N6" s="28" t="s">
        <v>63</v>
      </c>
      <c r="O6" s="32">
        <f t="shared" ca="1" si="3"/>
        <v>323</v>
      </c>
      <c r="P6" s="146">
        <f t="shared" ca="1" si="5"/>
        <v>297.7217391304348</v>
      </c>
      <c r="Q6" s="29"/>
      <c r="R6" s="29"/>
      <c r="S6" s="147">
        <f t="shared" ca="1" si="6"/>
        <v>50.037267080745352</v>
      </c>
      <c r="T6" s="147">
        <f t="shared" ca="1" si="7"/>
        <v>59.544347826086963</v>
      </c>
      <c r="U6" s="148">
        <f t="shared" ca="1" si="8"/>
        <v>297.7217391304348</v>
      </c>
      <c r="V6" s="139"/>
    </row>
    <row r="7" spans="1:22" ht="18.75" x14ac:dyDescent="0.3">
      <c r="A7" s="18" t="s">
        <v>62</v>
      </c>
      <c r="B7" s="21" t="str">
        <f t="shared" ca="1" si="4"/>
        <v>Float 4mm-Float 4mm-Float 4mm termó</v>
      </c>
      <c r="C7" s="20"/>
      <c r="D7" s="32">
        <f t="shared" ca="1" si="0"/>
        <v>361</v>
      </c>
      <c r="E7" s="20" t="s">
        <v>18</v>
      </c>
      <c r="F7" s="20"/>
      <c r="G7" s="20"/>
      <c r="H7" s="32">
        <f t="shared" ca="1" si="1"/>
        <v>307</v>
      </c>
      <c r="I7" s="20" t="s">
        <v>18</v>
      </c>
      <c r="J7" t="str">
        <f t="shared" ca="1" si="2"/>
        <v>Triplex</v>
      </c>
      <c r="M7" s="25"/>
      <c r="N7" s="28" t="s">
        <v>62</v>
      </c>
      <c r="O7" s="32">
        <f t="shared" ca="1" si="3"/>
        <v>307</v>
      </c>
      <c r="P7" s="146">
        <f t="shared" ca="1" si="5"/>
        <v>282.97391304347826</v>
      </c>
      <c r="Q7" s="29"/>
      <c r="R7" s="29"/>
      <c r="S7" s="147">
        <f t="shared" ca="1" si="6"/>
        <v>47.558640847643403</v>
      </c>
      <c r="T7" s="147">
        <f t="shared" ca="1" si="7"/>
        <v>56.594782608695652</v>
      </c>
      <c r="U7" s="148">
        <f t="shared" ca="1" si="8"/>
        <v>282.97391304347826</v>
      </c>
      <c r="V7" s="139"/>
    </row>
    <row r="8" spans="1:22" ht="18.75" x14ac:dyDescent="0.3">
      <c r="A8" s="18" t="s">
        <v>395</v>
      </c>
      <c r="B8" s="21" t="str">
        <f t="shared" ca="1" si="4"/>
        <v>Low-e 4mm-Float 4mm-Low-e 4mm termó</v>
      </c>
      <c r="C8" s="20"/>
      <c r="D8" s="32">
        <f t="shared" ca="1" si="0"/>
        <v>374</v>
      </c>
      <c r="E8" s="20" t="s">
        <v>18</v>
      </c>
      <c r="F8" s="20"/>
      <c r="G8" s="20"/>
      <c r="H8" s="32">
        <f t="shared" ca="1" si="1"/>
        <v>318</v>
      </c>
      <c r="I8" s="20" t="s">
        <v>18</v>
      </c>
      <c r="J8" t="str">
        <f t="shared" ca="1" si="2"/>
        <v>Triplex</v>
      </c>
      <c r="M8" s="25"/>
      <c r="N8" s="28" t="s">
        <v>224</v>
      </c>
      <c r="O8" s="32">
        <f t="shared" ca="1" si="3"/>
        <v>318</v>
      </c>
      <c r="P8" s="146">
        <f t="shared" ca="1" si="5"/>
        <v>293.11304347826086</v>
      </c>
      <c r="Q8" s="29"/>
      <c r="R8" s="29"/>
      <c r="S8" s="147">
        <f t="shared" ca="1" si="6"/>
        <v>49.262696382900984</v>
      </c>
      <c r="T8" s="147">
        <f t="shared" ca="1" si="7"/>
        <v>58.622608695652175</v>
      </c>
      <c r="U8" s="148">
        <f t="shared" ca="1" si="8"/>
        <v>293.11304347826086</v>
      </c>
      <c r="V8" s="139"/>
    </row>
    <row r="9" spans="1:22" ht="18.75" x14ac:dyDescent="0.3">
      <c r="A9" s="18" t="s">
        <v>226</v>
      </c>
      <c r="B9" s="21" t="str">
        <f t="shared" ca="1" si="4"/>
        <v>Homokfujt 4mm-Low-e 4mm termó</v>
      </c>
      <c r="C9" s="20"/>
      <c r="D9" s="32">
        <f t="shared" ca="1" si="0"/>
        <v>311</v>
      </c>
      <c r="E9" s="20" t="s">
        <v>18</v>
      </c>
      <c r="F9" s="20"/>
      <c r="G9" s="20"/>
      <c r="H9" s="32">
        <f t="shared" ca="1" si="1"/>
        <v>265</v>
      </c>
      <c r="I9" s="20" t="s">
        <v>18</v>
      </c>
      <c r="J9" t="str">
        <f t="shared" ca="1" si="2"/>
        <v>Duplex</v>
      </c>
      <c r="M9" s="25"/>
      <c r="N9" s="28" t="s">
        <v>226</v>
      </c>
      <c r="O9" s="32">
        <f t="shared" ca="1" si="3"/>
        <v>265</v>
      </c>
      <c r="P9" s="146">
        <f t="shared" ca="1" si="5"/>
        <v>244.26086956521738</v>
      </c>
      <c r="Q9" s="29"/>
      <c r="R9" s="29"/>
      <c r="S9" s="147">
        <f t="shared" ca="1" si="6"/>
        <v>41.05224698575082</v>
      </c>
      <c r="T9" s="147">
        <f t="shared" ca="1" si="7"/>
        <v>48.852173913043472</v>
      </c>
      <c r="U9" s="148">
        <f t="shared" ca="1" si="8"/>
        <v>244.26086956521738</v>
      </c>
      <c r="V9" s="139"/>
    </row>
    <row r="10" spans="1:22" ht="15.75" x14ac:dyDescent="0.25">
      <c r="A10" s="19" t="s">
        <v>227</v>
      </c>
      <c r="B10" s="21" t="str">
        <f t="shared" ca="1" si="4"/>
        <v>Duplakockas-Low-e 4mm termó</v>
      </c>
      <c r="C10" s="20"/>
      <c r="D10" s="32">
        <f t="shared" ca="1" si="0"/>
        <v>276</v>
      </c>
      <c r="E10" s="20" t="s">
        <v>18</v>
      </c>
      <c r="F10" s="20"/>
      <c r="G10" s="20"/>
      <c r="H10" s="32">
        <f t="shared" ca="1" si="1"/>
        <v>235</v>
      </c>
      <c r="I10" s="20" t="s">
        <v>18</v>
      </c>
      <c r="J10" t="str">
        <f t="shared" ca="1" si="2"/>
        <v>Duplex</v>
      </c>
      <c r="M10" s="25"/>
      <c r="N10" s="149" t="s">
        <v>227</v>
      </c>
      <c r="O10" s="32">
        <f t="shared" ca="1" si="3"/>
        <v>235</v>
      </c>
      <c r="P10" s="146">
        <f t="shared" ca="1" si="5"/>
        <v>216.60869565217391</v>
      </c>
      <c r="Q10" s="29"/>
      <c r="R10" s="29"/>
      <c r="S10" s="147">
        <f t="shared" ca="1" si="6"/>
        <v>36.404822798684691</v>
      </c>
      <c r="T10" s="147">
        <f t="shared" ca="1" si="7"/>
        <v>43.321739130434779</v>
      </c>
      <c r="U10" s="148">
        <f t="shared" ca="1" si="8"/>
        <v>216.60869565217391</v>
      </c>
      <c r="V10" s="139"/>
    </row>
    <row r="11" spans="1:22" ht="15.75" x14ac:dyDescent="0.25">
      <c r="A11" s="19" t="s">
        <v>228</v>
      </c>
      <c r="B11" s="21" t="str">
        <f t="shared" ca="1" si="4"/>
        <v>Satin bronz-Low-e 4mm termó</v>
      </c>
      <c r="C11" s="20"/>
      <c r="D11" s="32">
        <f t="shared" ca="1" si="0"/>
        <v>337</v>
      </c>
      <c r="E11" s="20" t="s">
        <v>18</v>
      </c>
      <c r="F11" s="20"/>
      <c r="G11" s="20"/>
      <c r="H11" s="32">
        <f t="shared" ca="1" si="1"/>
        <v>287</v>
      </c>
      <c r="I11" s="20" t="s">
        <v>18</v>
      </c>
      <c r="J11" t="str">
        <f t="shared" ca="1" si="2"/>
        <v>Duplex</v>
      </c>
      <c r="M11" s="25"/>
      <c r="N11" s="149" t="s">
        <v>228</v>
      </c>
      <c r="O11" s="32">
        <f t="shared" ca="1" si="3"/>
        <v>287</v>
      </c>
      <c r="P11" s="146">
        <f t="shared" ca="1" si="5"/>
        <v>264.53913043478263</v>
      </c>
      <c r="Q11" s="29"/>
      <c r="R11" s="29"/>
      <c r="S11" s="147">
        <f t="shared" ca="1" si="6"/>
        <v>44.460358056265989</v>
      </c>
      <c r="T11" s="147">
        <f t="shared" ca="1" si="7"/>
        <v>52.907826086956526</v>
      </c>
      <c r="U11" s="148">
        <f t="shared" ca="1" si="8"/>
        <v>264.53913043478263</v>
      </c>
      <c r="V11" s="139"/>
    </row>
    <row r="12" spans="1:22" ht="15.75" x14ac:dyDescent="0.25">
      <c r="A12" s="19" t="s">
        <v>229</v>
      </c>
      <c r="B12" s="21" t="str">
        <f t="shared" ca="1" si="4"/>
        <v>Fustos 4mm-Low-e 4mm termó</v>
      </c>
      <c r="C12" s="20"/>
      <c r="D12" s="32">
        <f t="shared" ca="1" si="0"/>
        <v>311</v>
      </c>
      <c r="E12" s="20" t="s">
        <v>18</v>
      </c>
      <c r="F12" s="20"/>
      <c r="G12" s="20"/>
      <c r="H12" s="32">
        <f t="shared" ca="1" si="1"/>
        <v>265</v>
      </c>
      <c r="I12" s="20" t="s">
        <v>18</v>
      </c>
      <c r="J12" t="str">
        <f t="shared" ca="1" si="2"/>
        <v>Duplex</v>
      </c>
      <c r="M12" s="25"/>
      <c r="N12" s="149" t="s">
        <v>229</v>
      </c>
      <c r="O12" s="32">
        <f t="shared" ca="1" si="3"/>
        <v>265</v>
      </c>
      <c r="P12" s="146">
        <f t="shared" ca="1" si="5"/>
        <v>244.26086956521738</v>
      </c>
      <c r="Q12" s="29"/>
      <c r="R12" s="29"/>
      <c r="S12" s="147">
        <f t="shared" ca="1" si="6"/>
        <v>41.05224698575082</v>
      </c>
      <c r="T12" s="147">
        <f t="shared" ca="1" si="7"/>
        <v>48.852173913043472</v>
      </c>
      <c r="U12" s="148">
        <f t="shared" ca="1" si="8"/>
        <v>244.26086956521738</v>
      </c>
      <c r="V12" s="139"/>
    </row>
    <row r="13" spans="1:22" ht="18.75" x14ac:dyDescent="0.3">
      <c r="A13" s="18" t="s">
        <v>230</v>
      </c>
      <c r="B13" s="21" t="str">
        <f t="shared" ca="1" si="4"/>
        <v>Tukor 4mm-Tukor 4mm termó</v>
      </c>
      <c r="C13" s="20"/>
      <c r="D13" s="32">
        <f t="shared" ca="1" si="0"/>
        <v>519</v>
      </c>
      <c r="E13" s="20" t="s">
        <v>18</v>
      </c>
      <c r="F13" s="20"/>
      <c r="G13" s="20"/>
      <c r="H13" s="32">
        <f t="shared" ca="1" si="1"/>
        <v>442</v>
      </c>
      <c r="I13" s="20" t="s">
        <v>18</v>
      </c>
      <c r="J13" t="str">
        <f t="shared" ca="1" si="2"/>
        <v>Duplex</v>
      </c>
      <c r="M13" s="25"/>
      <c r="N13" s="28" t="s">
        <v>230</v>
      </c>
      <c r="O13" s="32">
        <f t="shared" ca="1" si="3"/>
        <v>442</v>
      </c>
      <c r="P13" s="146">
        <f t="shared" ca="1" si="5"/>
        <v>407.40869565217389</v>
      </c>
      <c r="Q13" s="29"/>
      <c r="R13" s="29"/>
      <c r="S13" s="147">
        <f t="shared" ca="1" si="6"/>
        <v>68.472049689440993</v>
      </c>
      <c r="T13" s="147">
        <f t="shared" ca="1" si="7"/>
        <v>81.481739130434775</v>
      </c>
      <c r="U13" s="148">
        <f t="shared" ca="1" si="8"/>
        <v>407.40869565217389</v>
      </c>
      <c r="V13" s="139"/>
    </row>
    <row r="14" spans="1:22" ht="18.75" x14ac:dyDescent="0.3">
      <c r="A14" s="18" t="s">
        <v>65</v>
      </c>
      <c r="B14" s="21" t="str">
        <f t="shared" ca="1" si="4"/>
        <v>Float 4mm-Float 4mm-Low-e 4mm termó</v>
      </c>
      <c r="C14" s="20"/>
      <c r="D14" s="32">
        <f t="shared" ca="1" si="0"/>
        <v>366</v>
      </c>
      <c r="E14" s="20" t="s">
        <v>18</v>
      </c>
      <c r="F14" s="20"/>
      <c r="G14" s="20"/>
      <c r="H14" s="32">
        <f t="shared" ca="1" si="1"/>
        <v>312</v>
      </c>
      <c r="I14" s="20" t="s">
        <v>18</v>
      </c>
      <c r="J14" t="str">
        <f t="shared" ca="1" si="2"/>
        <v>Triplex</v>
      </c>
      <c r="M14" s="25"/>
      <c r="N14" s="28" t="s">
        <v>65</v>
      </c>
      <c r="O14" s="32">
        <f t="shared" ca="1" si="3"/>
        <v>312</v>
      </c>
      <c r="P14" s="146">
        <f t="shared" ca="1" si="5"/>
        <v>287.5826086956522</v>
      </c>
      <c r="Q14" s="29"/>
      <c r="R14" s="29"/>
      <c r="S14" s="147">
        <f t="shared" ca="1" si="6"/>
        <v>48.333211545487764</v>
      </c>
      <c r="T14" s="147">
        <f t="shared" ca="1" si="7"/>
        <v>57.51652173913044</v>
      </c>
      <c r="U14" s="148">
        <f t="shared" ca="1" si="8"/>
        <v>287.5826086956522</v>
      </c>
      <c r="V14" s="139"/>
    </row>
    <row r="15" spans="1:22" ht="18.75" x14ac:dyDescent="0.3">
      <c r="A15" s="18" t="s">
        <v>395</v>
      </c>
      <c r="B15" s="21" t="str">
        <f t="shared" ca="1" si="4"/>
        <v>Low-e 4mm-Float 4mm-Low-e 4mm termó</v>
      </c>
      <c r="C15" s="20"/>
      <c r="D15" s="32">
        <f t="shared" ca="1" si="0"/>
        <v>374</v>
      </c>
      <c r="E15" s="20" t="s">
        <v>18</v>
      </c>
      <c r="F15" s="20"/>
      <c r="G15" s="20"/>
      <c r="H15" s="32">
        <f t="shared" ca="1" si="1"/>
        <v>318</v>
      </c>
      <c r="I15" s="20" t="s">
        <v>18</v>
      </c>
      <c r="J15" t="str">
        <f t="shared" ca="1" si="2"/>
        <v>Triplex</v>
      </c>
      <c r="M15" s="25"/>
      <c r="N15" s="28" t="s">
        <v>224</v>
      </c>
      <c r="O15" s="32">
        <f t="shared" ca="1" si="3"/>
        <v>318</v>
      </c>
      <c r="P15" s="146">
        <f t="shared" ca="1" si="5"/>
        <v>293.11304347826086</v>
      </c>
      <c r="Q15" s="29"/>
      <c r="R15" s="29"/>
      <c r="S15" s="147">
        <f t="shared" ca="1" si="6"/>
        <v>49.262696382900984</v>
      </c>
      <c r="T15" s="147">
        <f t="shared" ca="1" si="7"/>
        <v>58.622608695652175</v>
      </c>
      <c r="U15" s="148">
        <f t="shared" ca="1" si="8"/>
        <v>293.11304347826086</v>
      </c>
      <c r="V15" s="139"/>
    </row>
    <row r="16" spans="1:22" ht="18.75" x14ac:dyDescent="0.3">
      <c r="A16" s="18" t="s">
        <v>66</v>
      </c>
      <c r="B16" s="21" t="str">
        <f t="shared" ca="1" si="4"/>
        <v>Duplex 3.1.3.-Low-e 4mm-Low-e 4mm termó</v>
      </c>
      <c r="C16" s="20"/>
      <c r="D16" s="32">
        <f t="shared" ca="1" si="0"/>
        <v>536</v>
      </c>
      <c r="E16" s="20" t="s">
        <v>18</v>
      </c>
      <c r="F16" s="20"/>
      <c r="G16" s="20"/>
      <c r="H16" s="32">
        <f t="shared" ca="1" si="1"/>
        <v>456</v>
      </c>
      <c r="I16" s="20" t="s">
        <v>18</v>
      </c>
      <c r="J16" t="str">
        <f t="shared" ca="1" si="2"/>
        <v>Triplex</v>
      </c>
      <c r="M16" s="25"/>
      <c r="N16" s="28" t="s">
        <v>66</v>
      </c>
      <c r="O16" s="32">
        <f t="shared" ca="1" si="3"/>
        <v>456</v>
      </c>
      <c r="P16" s="146">
        <f t="shared" ca="1" si="5"/>
        <v>420.31304347826085</v>
      </c>
      <c r="Q16" s="29"/>
      <c r="R16" s="29"/>
      <c r="S16" s="147">
        <f t="shared" ca="1" si="6"/>
        <v>70.640847643405181</v>
      </c>
      <c r="T16" s="147">
        <f t="shared" ca="1" si="7"/>
        <v>84.062608695652173</v>
      </c>
      <c r="U16" s="148">
        <f t="shared" ca="1" si="8"/>
        <v>420.31304347826085</v>
      </c>
      <c r="V16" s="139"/>
    </row>
    <row r="17" spans="1:22" ht="18.75" x14ac:dyDescent="0.3">
      <c r="A17" s="18" t="s">
        <v>67</v>
      </c>
      <c r="B17" s="21" t="str">
        <f t="shared" ca="1" si="4"/>
        <v>Duplex 3.1.3.-4 evszakos-Low-e 4mm termó</v>
      </c>
      <c r="C17" s="20"/>
      <c r="D17" s="32">
        <f t="shared" ca="1" si="0"/>
        <v>533</v>
      </c>
      <c r="E17" s="20" t="s">
        <v>18</v>
      </c>
      <c r="F17" s="20"/>
      <c r="G17" s="20"/>
      <c r="H17" s="32">
        <f t="shared" ca="1" si="1"/>
        <v>454</v>
      </c>
      <c r="I17" s="20" t="s">
        <v>18</v>
      </c>
      <c r="J17" t="str">
        <f t="shared" ca="1" si="2"/>
        <v>Triplex</v>
      </c>
      <c r="M17" s="25"/>
      <c r="N17" s="28" t="s">
        <v>67</v>
      </c>
      <c r="O17" s="32">
        <f t="shared" ca="1" si="3"/>
        <v>454</v>
      </c>
      <c r="P17" s="146">
        <f t="shared" ca="1" si="5"/>
        <v>418.46956521739128</v>
      </c>
      <c r="Q17" s="29"/>
      <c r="R17" s="29"/>
      <c r="S17" s="147">
        <f t="shared" ca="1" si="6"/>
        <v>70.331019364267448</v>
      </c>
      <c r="T17" s="147">
        <f t="shared" ca="1" si="7"/>
        <v>83.693913043478261</v>
      </c>
      <c r="U17" s="148">
        <f t="shared" ca="1" si="8"/>
        <v>418.46956521739128</v>
      </c>
      <c r="V17" s="139"/>
    </row>
    <row r="18" spans="1:22" ht="18.75" x14ac:dyDescent="0.3">
      <c r="A18" s="18" t="s">
        <v>68</v>
      </c>
      <c r="B18" s="21" t="str">
        <f t="shared" ca="1" si="4"/>
        <v>Float 3mm-Float 3mm termó</v>
      </c>
      <c r="C18" s="20"/>
      <c r="D18" s="32">
        <f t="shared" ca="1" si="0"/>
        <v>205</v>
      </c>
      <c r="E18" s="20" t="s">
        <v>18</v>
      </c>
      <c r="F18" s="20"/>
      <c r="G18" s="20"/>
      <c r="H18" s="32">
        <f t="shared" ca="1" si="1"/>
        <v>175</v>
      </c>
      <c r="I18" s="20" t="s">
        <v>18</v>
      </c>
      <c r="J18" t="str">
        <f t="shared" ca="1" si="2"/>
        <v>Duplex</v>
      </c>
      <c r="M18" s="25"/>
      <c r="N18" s="28" t="s">
        <v>68</v>
      </c>
      <c r="O18" s="32">
        <f t="shared" ca="1" si="3"/>
        <v>175</v>
      </c>
      <c r="P18" s="146">
        <f t="shared" ca="1" si="5"/>
        <v>161.30434782608697</v>
      </c>
      <c r="Q18" s="29"/>
      <c r="R18" s="29"/>
      <c r="S18" s="147">
        <f t="shared" ca="1" si="6"/>
        <v>27.10997442455243</v>
      </c>
      <c r="T18" s="147">
        <f t="shared" ca="1" si="7"/>
        <v>32.260869565217391</v>
      </c>
      <c r="U18" s="148">
        <f t="shared" ca="1" si="8"/>
        <v>161.30434782608697</v>
      </c>
      <c r="V18" s="139"/>
    </row>
    <row r="19" spans="1:22" ht="18.75" x14ac:dyDescent="0.3">
      <c r="A19" s="18" t="s">
        <v>231</v>
      </c>
      <c r="B19" s="21" t="str">
        <f t="shared" ca="1" si="4"/>
        <v>4 evszakos-Low-e 4mm-Low-e 4mm termó</v>
      </c>
      <c r="C19" s="20"/>
      <c r="D19" s="32">
        <f t="shared" ca="1" si="0"/>
        <v>412</v>
      </c>
      <c r="E19" s="20" t="s">
        <v>18</v>
      </c>
      <c r="F19" s="20"/>
      <c r="G19" s="20"/>
      <c r="H19" s="32">
        <f t="shared" ca="1" si="1"/>
        <v>351</v>
      </c>
      <c r="I19" s="20" t="s">
        <v>18</v>
      </c>
      <c r="J19" t="str">
        <f t="shared" ca="1" si="2"/>
        <v>Triplex</v>
      </c>
      <c r="M19" s="25"/>
      <c r="N19" s="28" t="s">
        <v>231</v>
      </c>
      <c r="O19" s="32">
        <f t="shared" ca="1" si="3"/>
        <v>351</v>
      </c>
      <c r="P19" s="146">
        <f t="shared" ca="1" si="5"/>
        <v>323.53043478260872</v>
      </c>
      <c r="Q19" s="29"/>
      <c r="R19" s="29"/>
      <c r="S19" s="147">
        <f t="shared" ca="1" si="6"/>
        <v>54.374862988673733</v>
      </c>
      <c r="T19" s="147">
        <f t="shared" ca="1" si="7"/>
        <v>64.706086956521744</v>
      </c>
      <c r="U19" s="148">
        <f t="shared" ca="1" si="8"/>
        <v>323.53043478260872</v>
      </c>
      <c r="V19" s="139"/>
    </row>
    <row r="20" spans="1:22" ht="18.75" x14ac:dyDescent="0.3">
      <c r="A20" s="18" t="s">
        <v>64</v>
      </c>
      <c r="B20" s="21" t="str">
        <f t="shared" ca="1" si="4"/>
        <v>4 evszakos-Low-e 4mm termó</v>
      </c>
      <c r="C20" s="20"/>
      <c r="D20" s="32">
        <f t="shared" ca="1" si="0"/>
        <v>256</v>
      </c>
      <c r="E20" s="20" t="s">
        <v>18</v>
      </c>
      <c r="F20" s="20"/>
      <c r="G20" s="20"/>
      <c r="H20" s="32">
        <f t="shared" ca="1" si="1"/>
        <v>218</v>
      </c>
      <c r="I20" s="20" t="s">
        <v>18</v>
      </c>
      <c r="J20" t="str">
        <f t="shared" ca="1" si="2"/>
        <v>Duplex</v>
      </c>
      <c r="M20" s="25"/>
      <c r="N20" s="28" t="s">
        <v>64</v>
      </c>
      <c r="O20" s="32">
        <f t="shared" ca="1" si="3"/>
        <v>218</v>
      </c>
      <c r="P20" s="146">
        <f t="shared" ca="1" si="5"/>
        <v>200.93913043478261</v>
      </c>
      <c r="Q20" s="29"/>
      <c r="R20" s="29"/>
      <c r="S20" s="147">
        <f t="shared" ca="1" si="6"/>
        <v>33.771282426013883</v>
      </c>
      <c r="T20" s="147">
        <f t="shared" ca="1" si="7"/>
        <v>40.18782608695652</v>
      </c>
      <c r="U20" s="148">
        <f t="shared" ca="1" si="8"/>
        <v>200.93913043478261</v>
      </c>
      <c r="V20" s="139"/>
    </row>
    <row r="21" spans="1:22" ht="18.75" x14ac:dyDescent="0.3">
      <c r="A21" s="18" t="s">
        <v>232</v>
      </c>
      <c r="B21" s="21" t="str">
        <f t="shared" ca="1" si="4"/>
        <v>4 evszakos-Float 4mm-Low-e 4mm termó</v>
      </c>
      <c r="C21" s="20"/>
      <c r="D21" s="32">
        <f t="shared" ca="1" si="0"/>
        <v>394</v>
      </c>
      <c r="E21" s="20" t="s">
        <v>18</v>
      </c>
      <c r="F21" s="20"/>
      <c r="G21" s="20"/>
      <c r="H21" s="32">
        <f t="shared" ca="1" si="1"/>
        <v>335</v>
      </c>
      <c r="I21" s="20" t="s">
        <v>18</v>
      </c>
      <c r="J21" t="str">
        <f t="shared" ca="1" si="2"/>
        <v>Triplex</v>
      </c>
      <c r="M21" s="25"/>
      <c r="N21" s="28" t="s">
        <v>232</v>
      </c>
      <c r="O21" s="32">
        <f t="shared" ca="1" si="3"/>
        <v>335</v>
      </c>
      <c r="P21" s="146">
        <f t="shared" ca="1" si="5"/>
        <v>308.78260869565219</v>
      </c>
      <c r="Q21" s="29"/>
      <c r="R21" s="29"/>
      <c r="S21" s="147">
        <f t="shared" ca="1" si="6"/>
        <v>51.896236755571792</v>
      </c>
      <c r="T21" s="147">
        <f t="shared" ca="1" si="7"/>
        <v>61.756521739130434</v>
      </c>
      <c r="U21" s="148">
        <f t="shared" ca="1" si="8"/>
        <v>308.78260869565219</v>
      </c>
      <c r="V21" s="139"/>
    </row>
    <row r="22" spans="1:22" s="25" customFormat="1" ht="18.75" x14ac:dyDescent="0.3">
      <c r="A22" s="28" t="s">
        <v>225</v>
      </c>
      <c r="B22" s="21" t="str">
        <f t="shared" ca="1" si="4"/>
        <v>Homokfujt 4mm-Low-e 4mm-Low-e 4mm termó</v>
      </c>
      <c r="C22" s="29"/>
      <c r="D22" s="32">
        <f t="shared" ca="1" si="0"/>
        <v>467</v>
      </c>
      <c r="E22" s="29" t="s">
        <v>19</v>
      </c>
      <c r="F22" s="29"/>
      <c r="G22" s="29"/>
      <c r="H22" s="32">
        <f t="shared" ca="1" si="1"/>
        <v>397</v>
      </c>
      <c r="I22" s="29" t="s">
        <v>19</v>
      </c>
      <c r="J22" s="25" t="str">
        <f t="shared" ca="1" si="2"/>
        <v>Triplex</v>
      </c>
      <c r="N22" s="28" t="s">
        <v>225</v>
      </c>
      <c r="O22" s="32">
        <f t="shared" ca="1" si="3"/>
        <v>397</v>
      </c>
      <c r="P22" s="146">
        <f t="shared" ca="1" si="5"/>
        <v>365.9304347826087</v>
      </c>
      <c r="Q22" s="29"/>
      <c r="R22" s="29"/>
      <c r="S22" s="147">
        <f t="shared" ca="1" si="6"/>
        <v>61.500913408841797</v>
      </c>
      <c r="T22" s="147">
        <f t="shared" ca="1" si="7"/>
        <v>73.186086956521734</v>
      </c>
      <c r="U22" s="148">
        <f t="shared" ca="1" si="8"/>
        <v>365.9304347826087</v>
      </c>
      <c r="V22" s="139"/>
    </row>
    <row r="23" spans="1:22" s="25" customFormat="1" ht="15.75" x14ac:dyDescent="0.25">
      <c r="A23" s="29" t="s">
        <v>117</v>
      </c>
      <c r="B23" s="31" t="str">
        <f t="shared" ca="1" si="4"/>
        <v>Mintas uveg aprokockas-Float 4mm termó</v>
      </c>
      <c r="C23" s="29"/>
      <c r="D23" s="32">
        <f t="shared" ca="1" si="0"/>
        <v>238</v>
      </c>
      <c r="E23" s="29" t="s">
        <v>19</v>
      </c>
      <c r="F23" s="29"/>
      <c r="G23" s="29"/>
      <c r="H23" s="32">
        <f t="shared" ca="1" si="1"/>
        <v>203</v>
      </c>
      <c r="I23" s="29" t="s">
        <v>19</v>
      </c>
      <c r="J23" s="25" t="str">
        <f t="shared" ca="1" si="2"/>
        <v>Duplex</v>
      </c>
      <c r="N23" s="29" t="s">
        <v>117</v>
      </c>
      <c r="O23" s="32">
        <f t="shared" ca="1" si="3"/>
        <v>203</v>
      </c>
      <c r="P23" s="146">
        <f t="shared" ca="1" si="5"/>
        <v>187.11304347826086</v>
      </c>
      <c r="Q23" s="29"/>
      <c r="R23" s="29"/>
      <c r="S23" s="147">
        <f t="shared" ca="1" si="6"/>
        <v>31.447570332480815</v>
      </c>
      <c r="T23" s="147">
        <f t="shared" ca="1" si="7"/>
        <v>37.422608695652173</v>
      </c>
      <c r="U23" s="148">
        <f t="shared" ca="1" si="8"/>
        <v>187.11304347826086</v>
      </c>
      <c r="V23" s="139"/>
    </row>
    <row r="24" spans="1:22" s="25" customFormat="1" ht="15.75" x14ac:dyDescent="0.25">
      <c r="A24" s="29" t="s">
        <v>118</v>
      </c>
      <c r="B24" s="31" t="str">
        <f t="shared" ca="1" si="4"/>
        <v>Tukor 4mm-Savmarta barna tuskes termó</v>
      </c>
      <c r="C24" s="29"/>
      <c r="D24" s="32">
        <f t="shared" ca="1" si="0"/>
        <v>530</v>
      </c>
      <c r="E24" s="29" t="s">
        <v>19</v>
      </c>
      <c r="F24" s="29"/>
      <c r="G24" s="29"/>
      <c r="H24" s="32">
        <f t="shared" ca="1" si="1"/>
        <v>451</v>
      </c>
      <c r="I24" s="29" t="s">
        <v>19</v>
      </c>
      <c r="J24" s="25" t="str">
        <f t="shared" ca="1" si="2"/>
        <v>Duplex</v>
      </c>
      <c r="N24" s="29" t="s">
        <v>118</v>
      </c>
      <c r="O24" s="32">
        <f t="shared" ca="1" si="3"/>
        <v>451</v>
      </c>
      <c r="P24" s="146">
        <f t="shared" ca="1" si="5"/>
        <v>415.70434782608697</v>
      </c>
      <c r="Q24" s="29"/>
      <c r="R24" s="29"/>
      <c r="S24" s="147">
        <f t="shared" ca="1" si="6"/>
        <v>69.866276945560841</v>
      </c>
      <c r="T24" s="147">
        <f t="shared" ca="1" si="7"/>
        <v>83.1408695652174</v>
      </c>
      <c r="U24" s="148">
        <f t="shared" ca="1" si="8"/>
        <v>415.70434782608697</v>
      </c>
      <c r="V24" s="139"/>
    </row>
    <row r="25" spans="1:22" s="25" customFormat="1" ht="15.75" x14ac:dyDescent="0.25">
      <c r="A25" s="29" t="s">
        <v>85</v>
      </c>
      <c r="B25" s="31" t="str">
        <f t="shared" ca="1" si="4"/>
        <v>Duplex 3.1.3.-Duplex 3.1.3.-Float 6mm termó</v>
      </c>
      <c r="C25" s="29"/>
      <c r="D25" s="32">
        <f t="shared" ca="1" si="0"/>
        <v>676</v>
      </c>
      <c r="E25" s="29" t="s">
        <v>19</v>
      </c>
      <c r="F25" s="29"/>
      <c r="G25" s="29"/>
      <c r="H25" s="32">
        <f t="shared" ca="1" si="1"/>
        <v>575</v>
      </c>
      <c r="I25" s="29" t="s">
        <v>19</v>
      </c>
      <c r="J25" s="25" t="str">
        <f t="shared" ca="1" si="2"/>
        <v>Triplex</v>
      </c>
      <c r="N25" s="29" t="s">
        <v>85</v>
      </c>
      <c r="O25" s="32">
        <f t="shared" ca="1" si="3"/>
        <v>575</v>
      </c>
      <c r="P25" s="146">
        <f t="shared" ca="1" si="5"/>
        <v>530</v>
      </c>
      <c r="Q25" s="29"/>
      <c r="R25" s="29"/>
      <c r="S25" s="147">
        <f t="shared" ca="1" si="6"/>
        <v>89.075630252100837</v>
      </c>
      <c r="T25" s="147">
        <f t="shared" ca="1" si="7"/>
        <v>106</v>
      </c>
      <c r="U25" s="148">
        <f t="shared" ca="1" si="8"/>
        <v>530</v>
      </c>
      <c r="V25" s="139"/>
    </row>
    <row r="26" spans="1:22" s="25" customFormat="1" ht="19.5" customHeight="1" x14ac:dyDescent="0.25">
      <c r="A26" s="29" t="s">
        <v>90</v>
      </c>
      <c r="B26" s="31" t="str">
        <f t="shared" ca="1" si="4"/>
        <v>Duplex 3.1.3.-Float 4mm-Low-e 4mm termó</v>
      </c>
      <c r="C26" s="29"/>
      <c r="D26" s="32">
        <f t="shared" ca="1" si="0"/>
        <v>518</v>
      </c>
      <c r="E26" s="29" t="s">
        <v>19</v>
      </c>
      <c r="F26" s="29"/>
      <c r="G26" s="29"/>
      <c r="H26" s="32">
        <f t="shared" ca="1" si="1"/>
        <v>441</v>
      </c>
      <c r="I26" s="29" t="s">
        <v>19</v>
      </c>
      <c r="J26" s="25" t="str">
        <f t="shared" ca="1" si="2"/>
        <v>Triplex</v>
      </c>
      <c r="N26" s="29" t="s">
        <v>90</v>
      </c>
      <c r="O26" s="32">
        <f t="shared" ca="1" si="3"/>
        <v>441</v>
      </c>
      <c r="P26" s="146">
        <f t="shared" ca="1" si="5"/>
        <v>406.4869565217391</v>
      </c>
      <c r="Q26" s="29"/>
      <c r="R26" s="29"/>
      <c r="S26" s="147">
        <f t="shared" ca="1" si="6"/>
        <v>68.31713554987212</v>
      </c>
      <c r="T26" s="147">
        <f t="shared" ca="1" si="7"/>
        <v>81.297391304347826</v>
      </c>
      <c r="U26" s="148">
        <f t="shared" ca="1" si="8"/>
        <v>406.4869565217391</v>
      </c>
      <c r="V26" s="139"/>
    </row>
    <row r="27" spans="1:22" s="25" customFormat="1" ht="19.5" customHeight="1" x14ac:dyDescent="0.25">
      <c r="A27" s="29" t="s">
        <v>119</v>
      </c>
      <c r="B27" s="31" t="str">
        <f t="shared" ca="1" si="4"/>
        <v>Mintas uveg delta 2-Low-e 4mm termó</v>
      </c>
      <c r="C27" s="29"/>
      <c r="D27" s="32">
        <f t="shared" ca="1" si="0"/>
        <v>256</v>
      </c>
      <c r="E27" s="29" t="s">
        <v>19</v>
      </c>
      <c r="F27" s="29"/>
      <c r="G27" s="29"/>
      <c r="H27" s="32">
        <f t="shared" ca="1" si="1"/>
        <v>218</v>
      </c>
      <c r="I27" s="29" t="s">
        <v>19</v>
      </c>
      <c r="J27" s="25" t="str">
        <f t="shared" ca="1" si="2"/>
        <v>Duplex</v>
      </c>
      <c r="N27" s="29" t="s">
        <v>119</v>
      </c>
      <c r="O27" s="32">
        <f t="shared" ca="1" si="3"/>
        <v>218</v>
      </c>
      <c r="P27" s="146">
        <f t="shared" ca="1" si="5"/>
        <v>200.93913043478261</v>
      </c>
      <c r="Q27" s="29"/>
      <c r="R27" s="29"/>
      <c r="S27" s="147">
        <f t="shared" ca="1" si="6"/>
        <v>33.771282426013883</v>
      </c>
      <c r="T27" s="147">
        <f t="shared" ca="1" si="7"/>
        <v>40.18782608695652</v>
      </c>
      <c r="U27" s="148">
        <f t="shared" ca="1" si="8"/>
        <v>200.93913043478261</v>
      </c>
      <c r="V27" s="139"/>
    </row>
    <row r="28" spans="1:22" s="25" customFormat="1" ht="19.5" customHeight="1" x14ac:dyDescent="0.25">
      <c r="A28" s="29" t="s">
        <v>120</v>
      </c>
      <c r="B28" s="31" t="str">
        <f t="shared" ca="1" si="4"/>
        <v>Barna csincsilla-Low-e 4mm-Low-e 4mm termó</v>
      </c>
      <c r="C28" s="29"/>
      <c r="D28" s="32">
        <f t="shared" ca="1" si="0"/>
        <v>518</v>
      </c>
      <c r="E28" s="29" t="s">
        <v>19</v>
      </c>
      <c r="F28" s="29"/>
      <c r="G28" s="29"/>
      <c r="H28" s="32">
        <f t="shared" ca="1" si="1"/>
        <v>441</v>
      </c>
      <c r="I28" s="29" t="s">
        <v>19</v>
      </c>
      <c r="J28" s="25" t="str">
        <f t="shared" ca="1" si="2"/>
        <v>Triplex</v>
      </c>
      <c r="N28" s="29" t="s">
        <v>120</v>
      </c>
      <c r="O28" s="32">
        <f t="shared" ca="1" si="3"/>
        <v>441</v>
      </c>
      <c r="P28" s="146">
        <f t="shared" ca="1" si="5"/>
        <v>406.4869565217391</v>
      </c>
      <c r="Q28" s="29"/>
      <c r="R28" s="29"/>
      <c r="S28" s="147">
        <f t="shared" ca="1" si="6"/>
        <v>68.31713554987212</v>
      </c>
      <c r="T28" s="147">
        <f t="shared" ca="1" si="7"/>
        <v>81.297391304347826</v>
      </c>
      <c r="U28" s="148">
        <f t="shared" ca="1" si="8"/>
        <v>406.4869565217391</v>
      </c>
      <c r="V28" s="139"/>
    </row>
    <row r="29" spans="1:22" s="25" customFormat="1" ht="19.5" customHeight="1" x14ac:dyDescent="0.25">
      <c r="A29" s="29" t="s">
        <v>121</v>
      </c>
      <c r="B29" s="31" t="str">
        <f t="shared" ref="B29:B60" ca="1" si="9">VLOOKUP(A29,TermekKod_data,2,FALSE)</f>
        <v>Barna delta 2-Low-e 4mm termó</v>
      </c>
      <c r="C29" s="29"/>
      <c r="D29" s="32">
        <f t="shared" ref="D29:D60" ca="1" si="10">VLOOKUP($A29,TermekKod_data,8,0)</f>
        <v>362</v>
      </c>
      <c r="E29" s="29" t="s">
        <v>19</v>
      </c>
      <c r="F29" s="29"/>
      <c r="G29" s="29"/>
      <c r="H29" s="32">
        <f t="shared" ref="H29:H60" ca="1" si="11">VLOOKUP($A29,TermekKod_data,9,0)</f>
        <v>308</v>
      </c>
      <c r="I29" s="29" t="s">
        <v>19</v>
      </c>
      <c r="J29" s="25" t="str">
        <f t="shared" ref="J29:J60" ca="1" si="12">VLOOKUP(A29,TermekKod_data,3,FALSE)</f>
        <v>Duplex</v>
      </c>
      <c r="N29" s="29" t="s">
        <v>121</v>
      </c>
      <c r="O29" s="32">
        <f t="shared" ca="1" si="3"/>
        <v>308</v>
      </c>
      <c r="P29" s="146">
        <f t="shared" ca="1" si="5"/>
        <v>283.89565217391305</v>
      </c>
      <c r="Q29" s="29"/>
      <c r="R29" s="29"/>
      <c r="S29" s="147">
        <f t="shared" ca="1" si="6"/>
        <v>47.713554987212277</v>
      </c>
      <c r="T29" s="147">
        <f t="shared" ca="1" si="7"/>
        <v>56.779130434782608</v>
      </c>
      <c r="U29" s="148">
        <f t="shared" ca="1" si="8"/>
        <v>283.89565217391305</v>
      </c>
      <c r="V29" s="139"/>
    </row>
    <row r="30" spans="1:22" s="25" customFormat="1" ht="19.5" customHeight="1" x14ac:dyDescent="0.25">
      <c r="A30" s="29" t="s">
        <v>122</v>
      </c>
      <c r="B30" s="31" t="str">
        <f t="shared" ca="1" si="9"/>
        <v>Barna fatorzs-Low-e 4mm termó</v>
      </c>
      <c r="C30" s="29"/>
      <c r="D30" s="32">
        <f t="shared" ca="1" si="10"/>
        <v>362</v>
      </c>
      <c r="E30" s="29" t="s">
        <v>19</v>
      </c>
      <c r="F30" s="29"/>
      <c r="G30" s="29"/>
      <c r="H30" s="32">
        <f t="shared" ca="1" si="11"/>
        <v>308</v>
      </c>
      <c r="I30" s="29" t="s">
        <v>19</v>
      </c>
      <c r="J30" s="25" t="str">
        <f t="shared" ca="1" si="12"/>
        <v>Duplex</v>
      </c>
      <c r="N30" s="29" t="s">
        <v>122</v>
      </c>
      <c r="O30" s="32">
        <f t="shared" ca="1" si="3"/>
        <v>308</v>
      </c>
      <c r="P30" s="146">
        <f t="shared" ca="1" si="5"/>
        <v>283.89565217391305</v>
      </c>
      <c r="Q30" s="29"/>
      <c r="R30" s="29"/>
      <c r="S30" s="147">
        <f t="shared" ca="1" si="6"/>
        <v>47.713554987212277</v>
      </c>
      <c r="T30" s="147">
        <f t="shared" ca="1" si="7"/>
        <v>56.779130434782608</v>
      </c>
      <c r="U30" s="148">
        <f t="shared" ca="1" si="8"/>
        <v>283.89565217391305</v>
      </c>
      <c r="V30" s="139"/>
    </row>
    <row r="31" spans="1:22" s="25" customFormat="1" ht="19.5" customHeight="1" x14ac:dyDescent="0.25">
      <c r="A31" s="29" t="s">
        <v>123</v>
      </c>
      <c r="B31" s="31" t="str">
        <f t="shared" ca="1" si="9"/>
        <v>Mintas uveg feher fatorzs-Low-e 4mm termó</v>
      </c>
      <c r="C31" s="29"/>
      <c r="D31" s="32">
        <f t="shared" ca="1" si="10"/>
        <v>256</v>
      </c>
      <c r="E31" s="29" t="s">
        <v>19</v>
      </c>
      <c r="F31" s="29"/>
      <c r="G31" s="29"/>
      <c r="H31" s="32">
        <f t="shared" ca="1" si="11"/>
        <v>218</v>
      </c>
      <c r="I31" s="29" t="s">
        <v>19</v>
      </c>
      <c r="J31" s="25" t="str">
        <f t="shared" ca="1" si="12"/>
        <v>Duplex</v>
      </c>
      <c r="N31" s="29" t="s">
        <v>123</v>
      </c>
      <c r="O31" s="32">
        <f t="shared" ca="1" si="3"/>
        <v>218</v>
      </c>
      <c r="P31" s="146">
        <f t="shared" ca="1" si="5"/>
        <v>200.93913043478261</v>
      </c>
      <c r="Q31" s="29"/>
      <c r="R31" s="29"/>
      <c r="S31" s="147">
        <f t="shared" ca="1" si="6"/>
        <v>33.771282426013883</v>
      </c>
      <c r="T31" s="147">
        <f t="shared" ca="1" si="7"/>
        <v>40.18782608695652</v>
      </c>
      <c r="U31" s="148">
        <f t="shared" ca="1" si="8"/>
        <v>200.93913043478261</v>
      </c>
      <c r="V31" s="139"/>
    </row>
    <row r="32" spans="1:22" s="25" customFormat="1" ht="19.5" customHeight="1" x14ac:dyDescent="0.25">
      <c r="A32" s="29" t="s">
        <v>124</v>
      </c>
      <c r="B32" s="31" t="str">
        <f t="shared" ca="1" si="9"/>
        <v>Tukor 4mm-Barna csincsilla termó</v>
      </c>
      <c r="C32" s="29"/>
      <c r="D32" s="32">
        <f t="shared" ca="1" si="10"/>
        <v>492</v>
      </c>
      <c r="E32" s="29" t="s">
        <v>19</v>
      </c>
      <c r="F32" s="29"/>
      <c r="G32" s="29"/>
      <c r="H32" s="32">
        <f t="shared" ca="1" si="11"/>
        <v>419</v>
      </c>
      <c r="I32" s="29" t="s">
        <v>19</v>
      </c>
      <c r="J32" s="25" t="str">
        <f t="shared" ca="1" si="12"/>
        <v>Duplex</v>
      </c>
      <c r="N32" s="29" t="s">
        <v>124</v>
      </c>
      <c r="O32" s="32">
        <f t="shared" ca="1" si="3"/>
        <v>419</v>
      </c>
      <c r="P32" s="146">
        <f t="shared" ca="1" si="5"/>
        <v>386.2086956521739</v>
      </c>
      <c r="Q32" s="29"/>
      <c r="R32" s="29"/>
      <c r="S32" s="147">
        <f t="shared" ca="1" si="6"/>
        <v>64.909024479356958</v>
      </c>
      <c r="T32" s="147">
        <f t="shared" ca="1" si="7"/>
        <v>77.24173913043478</v>
      </c>
      <c r="U32" s="148">
        <f t="shared" ca="1" si="8"/>
        <v>386.2086956521739</v>
      </c>
      <c r="V32" s="139"/>
    </row>
    <row r="33" spans="1:22" s="25" customFormat="1" ht="19.5" customHeight="1" x14ac:dyDescent="0.25">
      <c r="A33" s="29" t="s">
        <v>125</v>
      </c>
      <c r="B33" s="31" t="str">
        <f t="shared" ca="1" si="9"/>
        <v>Savmarta barna tuskes-Low-e 4mm termó</v>
      </c>
      <c r="C33" s="29"/>
      <c r="D33" s="32">
        <f t="shared" ca="1" si="10"/>
        <v>400</v>
      </c>
      <c r="E33" s="29" t="s">
        <v>19</v>
      </c>
      <c r="F33" s="29"/>
      <c r="G33" s="29"/>
      <c r="H33" s="32">
        <f t="shared" ca="1" si="11"/>
        <v>340</v>
      </c>
      <c r="I33" s="29" t="s">
        <v>19</v>
      </c>
      <c r="J33" s="25" t="str">
        <f t="shared" ca="1" si="12"/>
        <v>Duplex</v>
      </c>
      <c r="N33" s="29" t="s">
        <v>125</v>
      </c>
      <c r="O33" s="32">
        <f t="shared" ca="1" si="3"/>
        <v>340</v>
      </c>
      <c r="P33" s="146">
        <f t="shared" ca="1" si="5"/>
        <v>313.39130434782606</v>
      </c>
      <c r="Q33" s="29"/>
      <c r="R33" s="29"/>
      <c r="S33" s="147">
        <f t="shared" ca="1" si="6"/>
        <v>52.670807453416145</v>
      </c>
      <c r="T33" s="147">
        <f t="shared" ca="1" si="7"/>
        <v>62.678260869565214</v>
      </c>
      <c r="U33" s="148">
        <f t="shared" ca="1" si="8"/>
        <v>313.39130434782606</v>
      </c>
      <c r="V33" s="139"/>
    </row>
    <row r="34" spans="1:22" s="25" customFormat="1" ht="19.5" customHeight="1" x14ac:dyDescent="0.25">
      <c r="A34" s="29" t="s">
        <v>91</v>
      </c>
      <c r="B34" s="31" t="str">
        <f t="shared" ca="1" si="9"/>
        <v>Float 8mm-Low-e 4mm termó</v>
      </c>
      <c r="C34" s="29"/>
      <c r="D34" s="32">
        <f t="shared" ca="1" si="10"/>
        <v>295</v>
      </c>
      <c r="E34" s="29" t="s">
        <v>19</v>
      </c>
      <c r="F34" s="29"/>
      <c r="G34" s="29"/>
      <c r="H34" s="32">
        <f t="shared" ca="1" si="11"/>
        <v>251</v>
      </c>
      <c r="I34" s="29" t="s">
        <v>19</v>
      </c>
      <c r="J34" s="25" t="str">
        <f t="shared" ca="1" si="12"/>
        <v>Duplex</v>
      </c>
      <c r="N34" s="29" t="s">
        <v>91</v>
      </c>
      <c r="O34" s="32">
        <f t="shared" ca="1" si="3"/>
        <v>251</v>
      </c>
      <c r="P34" s="146">
        <f t="shared" ca="1" si="5"/>
        <v>231.35652173913044</v>
      </c>
      <c r="Q34" s="29"/>
      <c r="R34" s="29"/>
      <c r="S34" s="147">
        <f t="shared" ca="1" si="6"/>
        <v>38.883449031786625</v>
      </c>
      <c r="T34" s="147">
        <f t="shared" ca="1" si="7"/>
        <v>46.271304347826089</v>
      </c>
      <c r="U34" s="148">
        <f t="shared" ca="1" si="8"/>
        <v>231.35652173913044</v>
      </c>
      <c r="V34" s="139"/>
    </row>
    <row r="35" spans="1:22" s="25" customFormat="1" ht="19.5" customHeight="1" x14ac:dyDescent="0.25">
      <c r="A35" s="29" t="s">
        <v>126</v>
      </c>
      <c r="B35" s="31" t="str">
        <f t="shared" ca="1" si="9"/>
        <v>Feher screen-Low-e 4mm termó</v>
      </c>
      <c r="C35" s="29"/>
      <c r="D35" s="32">
        <f t="shared" ca="1" si="10"/>
        <v>290</v>
      </c>
      <c r="E35" s="29" t="s">
        <v>19</v>
      </c>
      <c r="F35" s="29"/>
      <c r="G35" s="29"/>
      <c r="H35" s="32">
        <f t="shared" ca="1" si="11"/>
        <v>247</v>
      </c>
      <c r="I35" s="29" t="s">
        <v>19</v>
      </c>
      <c r="J35" s="25" t="str">
        <f t="shared" ca="1" si="12"/>
        <v>Duplex</v>
      </c>
      <c r="N35" s="29" t="s">
        <v>126</v>
      </c>
      <c r="O35" s="32">
        <f t="shared" ca="1" si="3"/>
        <v>247</v>
      </c>
      <c r="P35" s="146">
        <f t="shared" ca="1" si="5"/>
        <v>227.66956521739129</v>
      </c>
      <c r="Q35" s="29"/>
      <c r="R35" s="29"/>
      <c r="S35" s="147">
        <f t="shared" ca="1" si="6"/>
        <v>38.263792473511138</v>
      </c>
      <c r="T35" s="147">
        <f t="shared" ca="1" si="7"/>
        <v>45.533913043478258</v>
      </c>
      <c r="U35" s="148">
        <f t="shared" ca="1" si="8"/>
        <v>227.66956521739129</v>
      </c>
      <c r="V35" s="139"/>
    </row>
    <row r="36" spans="1:22" s="25" customFormat="1" ht="19.5" customHeight="1" x14ac:dyDescent="0.25">
      <c r="A36" s="29" t="s">
        <v>127</v>
      </c>
      <c r="B36" s="31" t="str">
        <f t="shared" ca="1" si="9"/>
        <v>Mintas uveg delta 2-Float 4mm termó</v>
      </c>
      <c r="C36" s="29"/>
      <c r="D36" s="32">
        <f t="shared" ca="1" si="10"/>
        <v>238</v>
      </c>
      <c r="E36" s="29" t="s">
        <v>19</v>
      </c>
      <c r="F36" s="29"/>
      <c r="G36" s="29"/>
      <c r="H36" s="32">
        <f t="shared" ca="1" si="11"/>
        <v>203</v>
      </c>
      <c r="I36" s="29" t="s">
        <v>19</v>
      </c>
      <c r="J36" s="25" t="str">
        <f t="shared" ca="1" si="12"/>
        <v>Duplex</v>
      </c>
      <c r="N36" s="29" t="s">
        <v>127</v>
      </c>
      <c r="O36" s="32">
        <f t="shared" ca="1" si="3"/>
        <v>203</v>
      </c>
      <c r="P36" s="146">
        <f t="shared" ca="1" si="5"/>
        <v>187.11304347826086</v>
      </c>
      <c r="Q36" s="29"/>
      <c r="R36" s="29"/>
      <c r="S36" s="147">
        <f t="shared" ca="1" si="6"/>
        <v>31.447570332480815</v>
      </c>
      <c r="T36" s="147">
        <f t="shared" ca="1" si="7"/>
        <v>37.422608695652173</v>
      </c>
      <c r="U36" s="148">
        <f t="shared" ca="1" si="8"/>
        <v>187.11304347826086</v>
      </c>
      <c r="V36" s="139"/>
    </row>
    <row r="37" spans="1:22" s="25" customFormat="1" ht="19.5" customHeight="1" x14ac:dyDescent="0.25">
      <c r="A37" s="29" t="s">
        <v>92</v>
      </c>
      <c r="B37" s="31" t="str">
        <f t="shared" ca="1" si="9"/>
        <v>Float 6mm-Low-e 4mm-Low-e 4mm termó</v>
      </c>
      <c r="C37" s="29"/>
      <c r="D37" s="32">
        <f t="shared" ca="1" si="10"/>
        <v>434</v>
      </c>
      <c r="E37" s="29" t="s">
        <v>19</v>
      </c>
      <c r="F37" s="29"/>
      <c r="G37" s="29"/>
      <c r="H37" s="32">
        <f t="shared" ca="1" si="11"/>
        <v>369</v>
      </c>
      <c r="I37" s="29" t="s">
        <v>19</v>
      </c>
      <c r="J37" s="25" t="str">
        <f t="shared" ca="1" si="12"/>
        <v>Triplex</v>
      </c>
      <c r="N37" s="29" t="s">
        <v>92</v>
      </c>
      <c r="O37" s="32">
        <f t="shared" ca="1" si="3"/>
        <v>369</v>
      </c>
      <c r="P37" s="146">
        <f t="shared" ca="1" si="5"/>
        <v>340.12173913043478</v>
      </c>
      <c r="Q37" s="29"/>
      <c r="R37" s="29"/>
      <c r="S37" s="147">
        <f t="shared" ca="1" si="6"/>
        <v>57.163317500913408</v>
      </c>
      <c r="T37" s="147">
        <f t="shared" ca="1" si="7"/>
        <v>68.024347826086952</v>
      </c>
      <c r="U37" s="148">
        <f t="shared" ca="1" si="8"/>
        <v>340.12173913043478</v>
      </c>
      <c r="V37" s="139"/>
    </row>
    <row r="38" spans="1:22" s="25" customFormat="1" ht="19.5" customHeight="1" x14ac:dyDescent="0.25">
      <c r="A38" s="29" t="s">
        <v>128</v>
      </c>
      <c r="B38" s="31" t="str">
        <f t="shared" ca="1" si="9"/>
        <v>Feher screen-Float 4mm-Low-e 4mm termó</v>
      </c>
      <c r="C38" s="29"/>
      <c r="D38" s="32">
        <f t="shared" ca="1" si="10"/>
        <v>443</v>
      </c>
      <c r="E38" s="29" t="s">
        <v>19</v>
      </c>
      <c r="F38" s="29"/>
      <c r="G38" s="29"/>
      <c r="H38" s="32">
        <f t="shared" ca="1" si="11"/>
        <v>377</v>
      </c>
      <c r="I38" s="29" t="s">
        <v>19</v>
      </c>
      <c r="J38" s="25" t="str">
        <f t="shared" ca="1" si="12"/>
        <v>Triplex</v>
      </c>
      <c r="N38" s="29" t="s">
        <v>128</v>
      </c>
      <c r="O38" s="32">
        <f t="shared" ca="1" si="3"/>
        <v>377</v>
      </c>
      <c r="P38" s="146">
        <f t="shared" ca="1" si="5"/>
        <v>347.49565217391307</v>
      </c>
      <c r="Q38" s="29"/>
      <c r="R38" s="29"/>
      <c r="S38" s="147">
        <f t="shared" ca="1" si="6"/>
        <v>58.402630617464382</v>
      </c>
      <c r="T38" s="147">
        <f t="shared" ca="1" si="7"/>
        <v>69.499130434782614</v>
      </c>
      <c r="U38" s="148">
        <f t="shared" ca="1" si="8"/>
        <v>347.49565217391307</v>
      </c>
      <c r="V38" s="139"/>
    </row>
    <row r="39" spans="1:22" s="25" customFormat="1" ht="19.5" customHeight="1" x14ac:dyDescent="0.25">
      <c r="A39" s="29" t="s">
        <v>129</v>
      </c>
      <c r="B39" s="31" t="str">
        <f t="shared" ca="1" si="9"/>
        <v>Mintas uveg feher fatorzs-Float 4mm termó</v>
      </c>
      <c r="C39" s="29"/>
      <c r="D39" s="32">
        <f t="shared" ca="1" si="10"/>
        <v>238</v>
      </c>
      <c r="E39" s="29" t="s">
        <v>19</v>
      </c>
      <c r="F39" s="29"/>
      <c r="G39" s="29"/>
      <c r="H39" s="32">
        <f t="shared" ca="1" si="11"/>
        <v>203</v>
      </c>
      <c r="I39" s="29" t="s">
        <v>19</v>
      </c>
      <c r="J39" s="25" t="str">
        <f t="shared" ca="1" si="12"/>
        <v>Duplex</v>
      </c>
      <c r="N39" s="29" t="s">
        <v>129</v>
      </c>
      <c r="O39" s="32">
        <f t="shared" ca="1" si="3"/>
        <v>203</v>
      </c>
      <c r="P39" s="146">
        <f t="shared" ca="1" si="5"/>
        <v>187.11304347826086</v>
      </c>
      <c r="Q39" s="29"/>
      <c r="R39" s="29"/>
      <c r="S39" s="147">
        <f t="shared" ca="1" si="6"/>
        <v>31.447570332480815</v>
      </c>
      <c r="T39" s="147">
        <f t="shared" ca="1" si="7"/>
        <v>37.422608695652173</v>
      </c>
      <c r="U39" s="148">
        <f t="shared" ca="1" si="8"/>
        <v>187.11304347826086</v>
      </c>
      <c r="V39" s="139"/>
    </row>
    <row r="40" spans="1:22" s="25" customFormat="1" ht="19.5" customHeight="1" x14ac:dyDescent="0.25">
      <c r="A40" s="29" t="s">
        <v>130</v>
      </c>
      <c r="B40" s="31" t="str">
        <f t="shared" ca="1" si="9"/>
        <v>Homokfujt 4mm-Float 4mm termó</v>
      </c>
      <c r="C40" s="29"/>
      <c r="D40" s="32">
        <f t="shared" ca="1" si="10"/>
        <v>293</v>
      </c>
      <c r="E40" s="29" t="s">
        <v>19</v>
      </c>
      <c r="F40" s="29"/>
      <c r="G40" s="29"/>
      <c r="H40" s="32">
        <f t="shared" ca="1" si="11"/>
        <v>250</v>
      </c>
      <c r="I40" s="29" t="s">
        <v>19</v>
      </c>
      <c r="J40" s="25" t="str">
        <f t="shared" ca="1" si="12"/>
        <v>Duplex</v>
      </c>
      <c r="N40" s="29" t="s">
        <v>130</v>
      </c>
      <c r="O40" s="32">
        <f t="shared" ca="1" si="3"/>
        <v>250</v>
      </c>
      <c r="P40" s="146">
        <f t="shared" ca="1" si="5"/>
        <v>230.43478260869566</v>
      </c>
      <c r="Q40" s="29"/>
      <c r="R40" s="29"/>
      <c r="S40" s="147">
        <f t="shared" ca="1" si="6"/>
        <v>38.728534892217759</v>
      </c>
      <c r="T40" s="147">
        <f t="shared" ca="1" si="7"/>
        <v>46.086956521739133</v>
      </c>
      <c r="U40" s="148">
        <f t="shared" ca="1" si="8"/>
        <v>230.43478260869566</v>
      </c>
      <c r="V40" s="139"/>
    </row>
    <row r="41" spans="1:22" s="25" customFormat="1" ht="19.5" customHeight="1" x14ac:dyDescent="0.25">
      <c r="A41" s="29" t="s">
        <v>131</v>
      </c>
      <c r="B41" s="31" t="str">
        <f t="shared" ca="1" si="9"/>
        <v>Mintas uveg aprokockas-Low-e 4mm termó</v>
      </c>
      <c r="C41" s="29"/>
      <c r="D41" s="32">
        <f t="shared" ca="1" si="10"/>
        <v>256</v>
      </c>
      <c r="E41" s="29" t="s">
        <v>19</v>
      </c>
      <c r="F41" s="29"/>
      <c r="G41" s="29"/>
      <c r="H41" s="32">
        <f t="shared" ca="1" si="11"/>
        <v>218</v>
      </c>
      <c r="I41" s="29" t="s">
        <v>19</v>
      </c>
      <c r="J41" s="25" t="str">
        <f t="shared" ca="1" si="12"/>
        <v>Duplex</v>
      </c>
      <c r="N41" s="29" t="s">
        <v>131</v>
      </c>
      <c r="O41" s="32">
        <f t="shared" ca="1" si="3"/>
        <v>218</v>
      </c>
      <c r="P41" s="146">
        <f t="shared" ca="1" si="5"/>
        <v>200.93913043478261</v>
      </c>
      <c r="Q41" s="29"/>
      <c r="R41" s="29"/>
      <c r="S41" s="147">
        <f t="shared" ca="1" si="6"/>
        <v>33.771282426013883</v>
      </c>
      <c r="T41" s="147">
        <f t="shared" ca="1" si="7"/>
        <v>40.18782608695652</v>
      </c>
      <c r="U41" s="148">
        <f t="shared" ca="1" si="8"/>
        <v>200.93913043478261</v>
      </c>
      <c r="V41" s="139"/>
    </row>
    <row r="42" spans="1:22" s="25" customFormat="1" ht="19.5" customHeight="1" x14ac:dyDescent="0.25">
      <c r="A42" s="29" t="s">
        <v>93</v>
      </c>
      <c r="B42" s="31" t="str">
        <f t="shared" ca="1" si="9"/>
        <v>Reflexios 4mm-Low-e 4mm-Low-e 4mm termó</v>
      </c>
      <c r="C42" s="29"/>
      <c r="D42" s="32">
        <f t="shared" ca="1" si="10"/>
        <v>622</v>
      </c>
      <c r="E42" s="29" t="s">
        <v>19</v>
      </c>
      <c r="F42" s="29"/>
      <c r="G42" s="29"/>
      <c r="H42" s="32">
        <f t="shared" ca="1" si="11"/>
        <v>529</v>
      </c>
      <c r="I42" s="29" t="s">
        <v>19</v>
      </c>
      <c r="J42" s="25" t="str">
        <f t="shared" ca="1" si="12"/>
        <v>Triplex</v>
      </c>
      <c r="N42" s="29" t="s">
        <v>93</v>
      </c>
      <c r="O42" s="32">
        <f t="shared" ca="1" si="3"/>
        <v>529</v>
      </c>
      <c r="P42" s="146">
        <f t="shared" ca="1" si="5"/>
        <v>487.6</v>
      </c>
      <c r="Q42" s="29"/>
      <c r="R42" s="29"/>
      <c r="S42" s="147">
        <f t="shared" ca="1" si="6"/>
        <v>81.94957983193278</v>
      </c>
      <c r="T42" s="147">
        <f t="shared" ca="1" si="7"/>
        <v>97.52000000000001</v>
      </c>
      <c r="U42" s="148">
        <f t="shared" ca="1" si="8"/>
        <v>487.6</v>
      </c>
      <c r="V42" s="139"/>
    </row>
    <row r="43" spans="1:22" s="25" customFormat="1" ht="19.5" customHeight="1" x14ac:dyDescent="0.25">
      <c r="A43" s="29" t="s">
        <v>132</v>
      </c>
      <c r="B43" s="31" t="str">
        <f t="shared" ca="1" si="9"/>
        <v>Savmarta feher tuskes-Low-e 4mm termó</v>
      </c>
      <c r="C43" s="29"/>
      <c r="D43" s="32">
        <f t="shared" ca="1" si="10"/>
        <v>354</v>
      </c>
      <c r="E43" s="29" t="s">
        <v>19</v>
      </c>
      <c r="F43" s="29"/>
      <c r="G43" s="29"/>
      <c r="H43" s="32">
        <f t="shared" ca="1" si="11"/>
        <v>301</v>
      </c>
      <c r="I43" s="29" t="s">
        <v>19</v>
      </c>
      <c r="J43" s="25" t="str">
        <f t="shared" ca="1" si="12"/>
        <v>Duplex</v>
      </c>
      <c r="N43" s="29" t="s">
        <v>132</v>
      </c>
      <c r="O43" s="32">
        <f t="shared" ca="1" si="3"/>
        <v>301</v>
      </c>
      <c r="P43" s="146">
        <f t="shared" ca="1" si="5"/>
        <v>277.44347826086954</v>
      </c>
      <c r="Q43" s="29"/>
      <c r="R43" s="29"/>
      <c r="S43" s="147">
        <f t="shared" ca="1" si="6"/>
        <v>46.629156010230176</v>
      </c>
      <c r="T43" s="147">
        <f t="shared" ca="1" si="7"/>
        <v>55.488695652173909</v>
      </c>
      <c r="U43" s="148">
        <f t="shared" ca="1" si="8"/>
        <v>277.44347826086954</v>
      </c>
      <c r="V43" s="139"/>
    </row>
    <row r="44" spans="1:22" s="25" customFormat="1" ht="19.5" customHeight="1" x14ac:dyDescent="0.25">
      <c r="A44" s="29" t="s">
        <v>133</v>
      </c>
      <c r="B44" s="31" t="str">
        <f t="shared" ca="1" si="9"/>
        <v>Barna csincsilla-Low-e 4mm termó</v>
      </c>
      <c r="C44" s="29"/>
      <c r="D44" s="32">
        <f t="shared" ca="1" si="10"/>
        <v>362</v>
      </c>
      <c r="E44" s="29" t="s">
        <v>19</v>
      </c>
      <c r="F44" s="29"/>
      <c r="G44" s="29"/>
      <c r="H44" s="32">
        <f t="shared" ca="1" si="11"/>
        <v>308</v>
      </c>
      <c r="I44" s="29" t="s">
        <v>19</v>
      </c>
      <c r="J44" s="25" t="str">
        <f t="shared" ca="1" si="12"/>
        <v>Duplex</v>
      </c>
      <c r="N44" s="29" t="s">
        <v>133</v>
      </c>
      <c r="O44" s="32">
        <f t="shared" ca="1" si="3"/>
        <v>308</v>
      </c>
      <c r="P44" s="146">
        <f t="shared" ca="1" si="5"/>
        <v>283.89565217391305</v>
      </c>
      <c r="Q44" s="29"/>
      <c r="R44" s="29"/>
      <c r="S44" s="147">
        <f t="shared" ca="1" si="6"/>
        <v>47.713554987212277</v>
      </c>
      <c r="T44" s="147">
        <f t="shared" ca="1" si="7"/>
        <v>56.779130434782608</v>
      </c>
      <c r="U44" s="148">
        <f t="shared" ca="1" si="8"/>
        <v>283.89565217391305</v>
      </c>
      <c r="V44" s="139"/>
    </row>
    <row r="45" spans="1:22" s="25" customFormat="1" ht="19.5" customHeight="1" x14ac:dyDescent="0.25">
      <c r="A45" s="29" t="s">
        <v>134</v>
      </c>
      <c r="B45" s="31" t="str">
        <f t="shared" ca="1" si="9"/>
        <v>Mintas uveg aprokockas-Float 4mm-Low-e 4mm termó</v>
      </c>
      <c r="C45" s="29"/>
      <c r="D45" s="32">
        <f t="shared" ca="1" si="10"/>
        <v>394</v>
      </c>
      <c r="E45" s="29" t="s">
        <v>19</v>
      </c>
      <c r="F45" s="29"/>
      <c r="G45" s="29"/>
      <c r="H45" s="32">
        <f t="shared" ca="1" si="11"/>
        <v>335</v>
      </c>
      <c r="I45" s="29" t="s">
        <v>19</v>
      </c>
      <c r="J45" s="25" t="str">
        <f t="shared" ca="1" si="12"/>
        <v>Triplex</v>
      </c>
      <c r="N45" s="29" t="s">
        <v>134</v>
      </c>
      <c r="O45" s="32">
        <f t="shared" ca="1" si="3"/>
        <v>335</v>
      </c>
      <c r="P45" s="146">
        <f t="shared" ca="1" si="5"/>
        <v>308.78260869565219</v>
      </c>
      <c r="Q45" s="29"/>
      <c r="R45" s="29"/>
      <c r="S45" s="147">
        <f t="shared" ca="1" si="6"/>
        <v>51.896236755571792</v>
      </c>
      <c r="T45" s="147">
        <f t="shared" ca="1" si="7"/>
        <v>61.756521739130434</v>
      </c>
      <c r="U45" s="148">
        <f t="shared" ca="1" si="8"/>
        <v>308.78260869565219</v>
      </c>
      <c r="V45" s="139"/>
    </row>
    <row r="46" spans="1:22" s="25" customFormat="1" ht="19.5" customHeight="1" x14ac:dyDescent="0.25">
      <c r="A46" s="29" t="s">
        <v>135</v>
      </c>
      <c r="B46" s="31" t="str">
        <f t="shared" ca="1" si="9"/>
        <v>Homokfujt 4mm-Float 4mm-Low-e 4mm termó</v>
      </c>
      <c r="C46" s="29"/>
      <c r="D46" s="32">
        <f t="shared" ca="1" si="10"/>
        <v>449</v>
      </c>
      <c r="E46" s="29" t="s">
        <v>19</v>
      </c>
      <c r="F46" s="29"/>
      <c r="G46" s="29"/>
      <c r="H46" s="32">
        <f t="shared" ca="1" si="11"/>
        <v>382</v>
      </c>
      <c r="I46" s="29" t="s">
        <v>19</v>
      </c>
      <c r="J46" s="25" t="str">
        <f t="shared" ca="1" si="12"/>
        <v>Triplex</v>
      </c>
      <c r="N46" s="29" t="s">
        <v>135</v>
      </c>
      <c r="O46" s="32">
        <f t="shared" ca="1" si="3"/>
        <v>382</v>
      </c>
      <c r="P46" s="146">
        <f t="shared" ca="1" si="5"/>
        <v>352.10434782608695</v>
      </c>
      <c r="Q46" s="29"/>
      <c r="R46" s="29"/>
      <c r="S46" s="147">
        <f t="shared" ca="1" si="6"/>
        <v>59.177201315308729</v>
      </c>
      <c r="T46" s="147">
        <f t="shared" ca="1" si="7"/>
        <v>70.420869565217387</v>
      </c>
      <c r="U46" s="148">
        <f t="shared" ca="1" si="8"/>
        <v>352.10434782608695</v>
      </c>
      <c r="V46" s="139"/>
    </row>
    <row r="47" spans="1:22" s="25" customFormat="1" ht="19.5" customHeight="1" x14ac:dyDescent="0.25">
      <c r="A47" s="29" t="s">
        <v>136</v>
      </c>
      <c r="B47" s="31" t="str">
        <f t="shared" ca="1" si="9"/>
        <v>Savamarta barna tegla-Low-e 4mm termó</v>
      </c>
      <c r="C47" s="29"/>
      <c r="D47" s="32">
        <f t="shared" ca="1" si="10"/>
        <v>400</v>
      </c>
      <c r="E47" s="29" t="s">
        <v>19</v>
      </c>
      <c r="F47" s="29"/>
      <c r="G47" s="29"/>
      <c r="H47" s="32">
        <f t="shared" ca="1" si="11"/>
        <v>340</v>
      </c>
      <c r="I47" s="29" t="s">
        <v>19</v>
      </c>
      <c r="J47" s="25" t="str">
        <f t="shared" ca="1" si="12"/>
        <v>Duplex</v>
      </c>
      <c r="N47" s="29" t="s">
        <v>136</v>
      </c>
      <c r="O47" s="32">
        <f t="shared" ca="1" si="3"/>
        <v>340</v>
      </c>
      <c r="P47" s="146">
        <f t="shared" ca="1" si="5"/>
        <v>313.39130434782606</v>
      </c>
      <c r="Q47" s="29"/>
      <c r="R47" s="29"/>
      <c r="S47" s="147">
        <f t="shared" ca="1" si="6"/>
        <v>52.670807453416145</v>
      </c>
      <c r="T47" s="147">
        <f t="shared" ca="1" si="7"/>
        <v>62.678260869565214</v>
      </c>
      <c r="U47" s="148">
        <f t="shared" ca="1" si="8"/>
        <v>313.39130434782606</v>
      </c>
      <c r="V47" s="139"/>
    </row>
    <row r="48" spans="1:22" s="25" customFormat="1" ht="19.5" customHeight="1" x14ac:dyDescent="0.25">
      <c r="A48" s="29" t="s">
        <v>137</v>
      </c>
      <c r="B48" s="31" t="str">
        <f t="shared" ca="1" si="9"/>
        <v>Savmarta feher Tegla-Low-e 4mm termó</v>
      </c>
      <c r="C48" s="29"/>
      <c r="D48" s="32">
        <f t="shared" ca="1" si="10"/>
        <v>354</v>
      </c>
      <c r="E48" s="29" t="s">
        <v>19</v>
      </c>
      <c r="F48" s="29"/>
      <c r="G48" s="29"/>
      <c r="H48" s="32">
        <f t="shared" ca="1" si="11"/>
        <v>301</v>
      </c>
      <c r="I48" s="29" t="s">
        <v>19</v>
      </c>
      <c r="J48" s="25" t="str">
        <f t="shared" ca="1" si="12"/>
        <v>Duplex</v>
      </c>
      <c r="N48" s="29" t="s">
        <v>137</v>
      </c>
      <c r="O48" s="32">
        <f t="shared" ca="1" si="3"/>
        <v>301</v>
      </c>
      <c r="P48" s="146">
        <f t="shared" ca="1" si="5"/>
        <v>277.44347826086954</v>
      </c>
      <c r="Q48" s="29"/>
      <c r="R48" s="29"/>
      <c r="S48" s="147">
        <f t="shared" ca="1" si="6"/>
        <v>46.629156010230176</v>
      </c>
      <c r="T48" s="147">
        <f t="shared" ca="1" si="7"/>
        <v>55.488695652173909</v>
      </c>
      <c r="U48" s="148">
        <f t="shared" ca="1" si="8"/>
        <v>277.44347826086954</v>
      </c>
      <c r="V48" s="139"/>
    </row>
    <row r="49" spans="1:22" s="25" customFormat="1" ht="19.5" customHeight="1" x14ac:dyDescent="0.25">
      <c r="A49" s="29" t="s">
        <v>94</v>
      </c>
      <c r="B49" s="31" t="str">
        <f t="shared" ca="1" si="9"/>
        <v>Duplex 3.1.3.-Duplex 3.1.3. termó</v>
      </c>
      <c r="C49" s="29"/>
      <c r="D49" s="32">
        <f t="shared" ca="1" si="10"/>
        <v>501</v>
      </c>
      <c r="E49" s="29" t="s">
        <v>19</v>
      </c>
      <c r="F49" s="29"/>
      <c r="G49" s="29"/>
      <c r="H49" s="32">
        <f t="shared" ca="1" si="11"/>
        <v>426</v>
      </c>
      <c r="I49" s="29" t="s">
        <v>19</v>
      </c>
      <c r="J49" s="25" t="str">
        <f t="shared" ca="1" si="12"/>
        <v>Duplex</v>
      </c>
      <c r="N49" s="29" t="s">
        <v>94</v>
      </c>
      <c r="O49" s="32">
        <f t="shared" ca="1" si="3"/>
        <v>426</v>
      </c>
      <c r="P49" s="146">
        <f t="shared" ca="1" si="5"/>
        <v>392.66086956521741</v>
      </c>
      <c r="Q49" s="29"/>
      <c r="R49" s="29"/>
      <c r="S49" s="147">
        <f t="shared" ca="1" si="6"/>
        <v>65.993423456339059</v>
      </c>
      <c r="T49" s="147">
        <f t="shared" ca="1" si="7"/>
        <v>78.532173913043479</v>
      </c>
      <c r="U49" s="148">
        <f t="shared" ca="1" si="8"/>
        <v>392.66086956521741</v>
      </c>
      <c r="V49" s="139"/>
    </row>
    <row r="50" spans="1:22" s="25" customFormat="1" ht="19.5" customHeight="1" x14ac:dyDescent="0.25">
      <c r="A50" s="29" t="s">
        <v>440</v>
      </c>
      <c r="B50" s="31" t="str">
        <f t="shared" ca="1" si="9"/>
        <v>Barna delta 2-Tukor 4mm termó</v>
      </c>
      <c r="C50" s="29"/>
      <c r="D50" s="32">
        <f t="shared" ca="1" si="10"/>
        <v>492</v>
      </c>
      <c r="E50" s="29" t="s">
        <v>19</v>
      </c>
      <c r="F50" s="29"/>
      <c r="G50" s="29"/>
      <c r="H50" s="32">
        <f t="shared" ca="1" si="11"/>
        <v>419</v>
      </c>
      <c r="I50" s="29" t="s">
        <v>19</v>
      </c>
      <c r="J50" s="25" t="str">
        <f t="shared" ca="1" si="12"/>
        <v>Duplex</v>
      </c>
      <c r="N50" s="29" t="s">
        <v>138</v>
      </c>
      <c r="O50" s="32">
        <f t="shared" ca="1" si="3"/>
        <v>419</v>
      </c>
      <c r="P50" s="146">
        <f t="shared" ca="1" si="5"/>
        <v>386.2086956521739</v>
      </c>
      <c r="Q50" s="29"/>
      <c r="R50" s="29"/>
      <c r="S50" s="147">
        <f t="shared" ca="1" si="6"/>
        <v>64.909024479356958</v>
      </c>
      <c r="T50" s="147">
        <f t="shared" ca="1" si="7"/>
        <v>77.24173913043478</v>
      </c>
      <c r="U50" s="148">
        <f t="shared" ca="1" si="8"/>
        <v>386.2086956521739</v>
      </c>
      <c r="V50" s="139"/>
    </row>
    <row r="51" spans="1:22" s="25" customFormat="1" ht="19.5" customHeight="1" x14ac:dyDescent="0.25">
      <c r="A51" s="29" t="s">
        <v>139</v>
      </c>
      <c r="B51" s="31" t="str">
        <f t="shared" ca="1" si="9"/>
        <v>Reflexios 4mm-Savmarta barna tuskes termó</v>
      </c>
      <c r="C51" s="29"/>
      <c r="D51" s="32">
        <f t="shared" ca="1" si="10"/>
        <v>607</v>
      </c>
      <c r="E51" s="29" t="s">
        <v>19</v>
      </c>
      <c r="F51" s="29"/>
      <c r="G51" s="29"/>
      <c r="H51" s="32">
        <f t="shared" ca="1" si="11"/>
        <v>516</v>
      </c>
      <c r="I51" s="29" t="s">
        <v>19</v>
      </c>
      <c r="J51" s="25" t="str">
        <f t="shared" ca="1" si="12"/>
        <v>Duplex</v>
      </c>
      <c r="N51" s="29" t="s">
        <v>139</v>
      </c>
      <c r="O51" s="32">
        <f t="shared" ca="1" si="3"/>
        <v>516</v>
      </c>
      <c r="P51" s="146">
        <f t="shared" ca="1" si="5"/>
        <v>475.61739130434785</v>
      </c>
      <c r="Q51" s="29"/>
      <c r="R51" s="29"/>
      <c r="S51" s="147">
        <f t="shared" ca="1" si="6"/>
        <v>79.935696017537452</v>
      </c>
      <c r="T51" s="147">
        <f t="shared" ca="1" si="7"/>
        <v>95.123478260869575</v>
      </c>
      <c r="U51" s="148">
        <f t="shared" ca="1" si="8"/>
        <v>475.61739130434785</v>
      </c>
      <c r="V51" s="139"/>
    </row>
    <row r="52" spans="1:22" s="25" customFormat="1" ht="19.5" customHeight="1" x14ac:dyDescent="0.25">
      <c r="A52" s="29" t="s">
        <v>140</v>
      </c>
      <c r="B52" s="31" t="str">
        <f t="shared" ca="1" si="9"/>
        <v>Satin bronz-Satin bronz termó</v>
      </c>
      <c r="C52" s="29"/>
      <c r="D52" s="32">
        <f t="shared" ca="1" si="10"/>
        <v>415</v>
      </c>
      <c r="E52" s="29" t="s">
        <v>19</v>
      </c>
      <c r="F52" s="29"/>
      <c r="G52" s="29"/>
      <c r="H52" s="32">
        <f t="shared" ca="1" si="11"/>
        <v>353</v>
      </c>
      <c r="I52" s="29" t="s">
        <v>19</v>
      </c>
      <c r="J52" s="25" t="str">
        <f t="shared" ca="1" si="12"/>
        <v>Duplex</v>
      </c>
      <c r="N52" s="29" t="s">
        <v>140</v>
      </c>
      <c r="O52" s="32">
        <f t="shared" ca="1" si="3"/>
        <v>353</v>
      </c>
      <c r="P52" s="146">
        <f t="shared" ca="1" si="5"/>
        <v>325.37391304347824</v>
      </c>
      <c r="Q52" s="29"/>
      <c r="R52" s="29"/>
      <c r="S52" s="147">
        <f t="shared" ca="1" si="6"/>
        <v>54.684691267811466</v>
      </c>
      <c r="T52" s="147">
        <f t="shared" ca="1" si="7"/>
        <v>65.074782608695642</v>
      </c>
      <c r="U52" s="148">
        <f t="shared" ca="1" si="8"/>
        <v>325.37391304347824</v>
      </c>
      <c r="V52" s="139"/>
    </row>
    <row r="53" spans="1:22" s="25" customFormat="1" ht="19.5" customHeight="1" x14ac:dyDescent="0.25">
      <c r="A53" s="29" t="s">
        <v>141</v>
      </c>
      <c r="B53" s="31" t="str">
        <f t="shared" ca="1" si="9"/>
        <v>4 evszakos-Homokfujt 4mm-Low-e 4mm termó</v>
      </c>
      <c r="C53" s="29"/>
      <c r="D53" s="32">
        <f t="shared" ca="1" si="10"/>
        <v>464</v>
      </c>
      <c r="E53" s="29" t="s">
        <v>19</v>
      </c>
      <c r="F53" s="29"/>
      <c r="G53" s="29"/>
      <c r="H53" s="32">
        <f t="shared" ca="1" si="11"/>
        <v>395</v>
      </c>
      <c r="I53" s="29" t="s">
        <v>19</v>
      </c>
      <c r="J53" s="25" t="str">
        <f t="shared" ca="1" si="12"/>
        <v>Triplex</v>
      </c>
      <c r="N53" s="29" t="s">
        <v>141</v>
      </c>
      <c r="O53" s="32">
        <f t="shared" ca="1" si="3"/>
        <v>395</v>
      </c>
      <c r="P53" s="146">
        <f t="shared" ca="1" si="5"/>
        <v>364.08695652173913</v>
      </c>
      <c r="Q53" s="29"/>
      <c r="R53" s="29"/>
      <c r="S53" s="147">
        <f t="shared" ca="1" si="6"/>
        <v>61.191085129704049</v>
      </c>
      <c r="T53" s="147">
        <f t="shared" ca="1" si="7"/>
        <v>72.817391304347822</v>
      </c>
      <c r="U53" s="148">
        <f t="shared" ca="1" si="8"/>
        <v>364.08695652173913</v>
      </c>
      <c r="V53" s="139"/>
    </row>
    <row r="54" spans="1:22" s="25" customFormat="1" ht="19.5" customHeight="1" x14ac:dyDescent="0.25">
      <c r="A54" s="29" t="s">
        <v>96</v>
      </c>
      <c r="B54" s="31" t="str">
        <f t="shared" ca="1" si="9"/>
        <v>Float 6mm-Float 4mm termó</v>
      </c>
      <c r="C54" s="29"/>
      <c r="D54" s="32">
        <f t="shared" ca="1" si="10"/>
        <v>260</v>
      </c>
      <c r="E54" s="29" t="s">
        <v>19</v>
      </c>
      <c r="F54" s="29"/>
      <c r="G54" s="29"/>
      <c r="H54" s="32">
        <f t="shared" ca="1" si="11"/>
        <v>221</v>
      </c>
      <c r="I54" s="29" t="s">
        <v>19</v>
      </c>
      <c r="J54" s="25" t="str">
        <f t="shared" ca="1" si="12"/>
        <v>Duplex</v>
      </c>
      <c r="N54" s="29" t="s">
        <v>96</v>
      </c>
      <c r="O54" s="32">
        <f t="shared" ca="1" si="3"/>
        <v>221</v>
      </c>
      <c r="P54" s="146">
        <f t="shared" ca="1" si="5"/>
        <v>203.70434782608694</v>
      </c>
      <c r="Q54" s="29"/>
      <c r="R54" s="29"/>
      <c r="S54" s="147">
        <f t="shared" ca="1" si="6"/>
        <v>34.236024844720497</v>
      </c>
      <c r="T54" s="147">
        <f t="shared" ca="1" si="7"/>
        <v>40.740869565217388</v>
      </c>
      <c r="U54" s="148">
        <f t="shared" ca="1" si="8"/>
        <v>203.70434782608694</v>
      </c>
      <c r="V54" s="139"/>
    </row>
    <row r="55" spans="1:22" s="25" customFormat="1" ht="19.5" customHeight="1" x14ac:dyDescent="0.25">
      <c r="A55" s="29" t="s">
        <v>97</v>
      </c>
      <c r="B55" s="31" t="str">
        <f t="shared" ca="1" si="9"/>
        <v>Reflexios 4mm-Float 4mm termó</v>
      </c>
      <c r="C55" s="29"/>
      <c r="D55" s="32">
        <f t="shared" ca="1" si="10"/>
        <v>448</v>
      </c>
      <c r="E55" s="29" t="s">
        <v>19</v>
      </c>
      <c r="F55" s="29"/>
      <c r="G55" s="29"/>
      <c r="H55" s="32">
        <f t="shared" ca="1" si="11"/>
        <v>381</v>
      </c>
      <c r="I55" s="29" t="s">
        <v>19</v>
      </c>
      <c r="J55" s="25" t="str">
        <f t="shared" ca="1" si="12"/>
        <v>Duplex</v>
      </c>
      <c r="N55" s="29" t="s">
        <v>97</v>
      </c>
      <c r="O55" s="32">
        <f t="shared" ca="1" si="3"/>
        <v>381</v>
      </c>
      <c r="P55" s="146">
        <f t="shared" ca="1" si="5"/>
        <v>351.18260869565216</v>
      </c>
      <c r="Q55" s="29"/>
      <c r="R55" s="29"/>
      <c r="S55" s="147">
        <f t="shared" ca="1" si="6"/>
        <v>59.022287175739862</v>
      </c>
      <c r="T55" s="147">
        <f t="shared" ca="1" si="7"/>
        <v>70.236521739130438</v>
      </c>
      <c r="U55" s="148">
        <f t="shared" ca="1" si="8"/>
        <v>351.18260869565216</v>
      </c>
      <c r="V55" s="139"/>
    </row>
    <row r="56" spans="1:22" s="25" customFormat="1" ht="19.5" customHeight="1" x14ac:dyDescent="0.25">
      <c r="A56" s="29" t="s">
        <v>142</v>
      </c>
      <c r="B56" s="31" t="str">
        <f t="shared" ca="1" si="9"/>
        <v>Feher csincsilla-Low-e 4mm termó</v>
      </c>
      <c r="C56" s="29"/>
      <c r="D56" s="32">
        <f t="shared" ca="1" si="10"/>
        <v>305</v>
      </c>
      <c r="E56" s="29" t="s">
        <v>19</v>
      </c>
      <c r="F56" s="29"/>
      <c r="G56" s="29"/>
      <c r="H56" s="32">
        <f t="shared" ca="1" si="11"/>
        <v>260</v>
      </c>
      <c r="I56" s="29" t="s">
        <v>19</v>
      </c>
      <c r="J56" s="25" t="str">
        <f t="shared" ca="1" si="12"/>
        <v>Duplex</v>
      </c>
      <c r="N56" s="29" t="s">
        <v>142</v>
      </c>
      <c r="O56" s="32">
        <f t="shared" ca="1" si="3"/>
        <v>260</v>
      </c>
      <c r="P56" s="146">
        <f t="shared" ca="1" si="5"/>
        <v>239.65217391304347</v>
      </c>
      <c r="Q56" s="29"/>
      <c r="R56" s="29"/>
      <c r="S56" s="147">
        <f t="shared" ca="1" si="6"/>
        <v>40.277676287906466</v>
      </c>
      <c r="T56" s="147">
        <f t="shared" ca="1" si="7"/>
        <v>47.930434782608693</v>
      </c>
      <c r="U56" s="148">
        <f t="shared" ca="1" si="8"/>
        <v>239.65217391304347</v>
      </c>
      <c r="V56" s="139"/>
    </row>
    <row r="57" spans="1:22" s="25" customFormat="1" ht="19.5" customHeight="1" x14ac:dyDescent="0.25">
      <c r="A57" s="29" t="s">
        <v>143</v>
      </c>
      <c r="B57" s="31" t="str">
        <f t="shared" ca="1" si="9"/>
        <v>Savmarta feher tuskes-Float 4mm termó</v>
      </c>
      <c r="C57" s="29"/>
      <c r="D57" s="32">
        <f t="shared" ca="1" si="10"/>
        <v>336</v>
      </c>
      <c r="E57" s="29" t="s">
        <v>19</v>
      </c>
      <c r="F57" s="29"/>
      <c r="G57" s="29"/>
      <c r="H57" s="32">
        <f t="shared" ca="1" si="11"/>
        <v>286</v>
      </c>
      <c r="I57" s="29" t="s">
        <v>19</v>
      </c>
      <c r="J57" s="25" t="str">
        <f t="shared" ca="1" si="12"/>
        <v>Duplex</v>
      </c>
      <c r="N57" s="29" t="s">
        <v>143</v>
      </c>
      <c r="O57" s="32">
        <f t="shared" ca="1" si="3"/>
        <v>286</v>
      </c>
      <c r="P57" s="146">
        <f t="shared" ca="1" si="5"/>
        <v>263.61739130434785</v>
      </c>
      <c r="Q57" s="29"/>
      <c r="R57" s="29"/>
      <c r="S57" s="147">
        <f t="shared" ca="1" si="6"/>
        <v>44.305443916697115</v>
      </c>
      <c r="T57" s="147">
        <f t="shared" ca="1" si="7"/>
        <v>52.72347826086957</v>
      </c>
      <c r="U57" s="148">
        <f t="shared" ca="1" si="8"/>
        <v>263.61739130434785</v>
      </c>
      <c r="V57" s="139"/>
    </row>
    <row r="58" spans="1:22" s="25" customFormat="1" ht="19.5" customHeight="1" x14ac:dyDescent="0.25">
      <c r="A58" s="29" t="s">
        <v>144</v>
      </c>
      <c r="B58" s="31" t="str">
        <f t="shared" ca="1" si="9"/>
        <v>Savmarta barna tuskes-Float 4mm termó</v>
      </c>
      <c r="C58" s="29"/>
      <c r="D58" s="32">
        <f t="shared" ca="1" si="10"/>
        <v>382</v>
      </c>
      <c r="E58" s="29" t="s">
        <v>19</v>
      </c>
      <c r="F58" s="29"/>
      <c r="G58" s="29"/>
      <c r="H58" s="32">
        <f t="shared" ca="1" si="11"/>
        <v>325</v>
      </c>
      <c r="I58" s="29" t="s">
        <v>19</v>
      </c>
      <c r="J58" s="25" t="str">
        <f t="shared" ca="1" si="12"/>
        <v>Duplex</v>
      </c>
      <c r="N58" s="29" t="s">
        <v>144</v>
      </c>
      <c r="O58" s="32">
        <f t="shared" ca="1" si="3"/>
        <v>325</v>
      </c>
      <c r="P58" s="146">
        <f t="shared" ca="1" si="5"/>
        <v>299.56521739130437</v>
      </c>
      <c r="Q58" s="29"/>
      <c r="R58" s="29"/>
      <c r="S58" s="147">
        <f t="shared" ca="1" si="6"/>
        <v>50.347095359883085</v>
      </c>
      <c r="T58" s="147">
        <f t="shared" ca="1" si="7"/>
        <v>59.913043478260875</v>
      </c>
      <c r="U58" s="148">
        <f t="shared" ca="1" si="8"/>
        <v>299.56521739130437</v>
      </c>
      <c r="V58" s="139"/>
    </row>
    <row r="59" spans="1:22" s="25" customFormat="1" ht="19.5" customHeight="1" x14ac:dyDescent="0.25">
      <c r="A59" s="29" t="s">
        <v>145</v>
      </c>
      <c r="B59" s="31" t="str">
        <f t="shared" ca="1" si="9"/>
        <v>Savmarta barna hovirag-Low-e 4mm termó</v>
      </c>
      <c r="C59" s="29"/>
      <c r="D59" s="32">
        <f t="shared" ca="1" si="10"/>
        <v>400</v>
      </c>
      <c r="E59" s="29" t="s">
        <v>19</v>
      </c>
      <c r="F59" s="29"/>
      <c r="G59" s="29"/>
      <c r="H59" s="32">
        <f t="shared" ca="1" si="11"/>
        <v>340</v>
      </c>
      <c r="I59" s="29" t="s">
        <v>19</v>
      </c>
      <c r="J59" s="25" t="str">
        <f t="shared" ca="1" si="12"/>
        <v>Duplex</v>
      </c>
      <c r="N59" s="29" t="s">
        <v>145</v>
      </c>
      <c r="O59" s="32">
        <f t="shared" ca="1" si="3"/>
        <v>340</v>
      </c>
      <c r="P59" s="146">
        <f t="shared" ca="1" si="5"/>
        <v>313.39130434782606</v>
      </c>
      <c r="Q59" s="29"/>
      <c r="R59" s="29"/>
      <c r="S59" s="147">
        <f t="shared" ca="1" si="6"/>
        <v>52.670807453416145</v>
      </c>
      <c r="T59" s="147">
        <f t="shared" ca="1" si="7"/>
        <v>62.678260869565214</v>
      </c>
      <c r="U59" s="148">
        <f t="shared" ca="1" si="8"/>
        <v>313.39130434782606</v>
      </c>
      <c r="V59" s="139"/>
    </row>
    <row r="60" spans="1:22" s="25" customFormat="1" ht="19.5" customHeight="1" x14ac:dyDescent="0.25">
      <c r="A60" s="29" t="s">
        <v>146</v>
      </c>
      <c r="B60" s="31" t="str">
        <f t="shared" ca="1" si="9"/>
        <v>Duplex 3.1.3.-Homokfujt 4mm-Low-e 4mm termó</v>
      </c>
      <c r="C60" s="29"/>
      <c r="D60" s="32">
        <f t="shared" ca="1" si="10"/>
        <v>588</v>
      </c>
      <c r="E60" s="29" t="s">
        <v>19</v>
      </c>
      <c r="F60" s="29"/>
      <c r="G60" s="29"/>
      <c r="H60" s="32">
        <f t="shared" ca="1" si="11"/>
        <v>500</v>
      </c>
      <c r="I60" s="29" t="s">
        <v>19</v>
      </c>
      <c r="J60" s="25" t="str">
        <f t="shared" ca="1" si="12"/>
        <v>Triplex</v>
      </c>
      <c r="N60" s="29" t="s">
        <v>146</v>
      </c>
      <c r="O60" s="32">
        <f t="shared" ca="1" si="3"/>
        <v>500</v>
      </c>
      <c r="P60" s="146">
        <f t="shared" ca="1" si="5"/>
        <v>460.86956521739131</v>
      </c>
      <c r="Q60" s="29"/>
      <c r="R60" s="29"/>
      <c r="S60" s="147">
        <f t="shared" ca="1" si="6"/>
        <v>77.457069784435518</v>
      </c>
      <c r="T60" s="147">
        <f t="shared" ca="1" si="7"/>
        <v>92.173913043478265</v>
      </c>
      <c r="U60" s="148">
        <f t="shared" ca="1" si="8"/>
        <v>460.86956521739131</v>
      </c>
      <c r="V60" s="139"/>
    </row>
    <row r="61" spans="1:22" s="25" customFormat="1" ht="19.5" customHeight="1" x14ac:dyDescent="0.25">
      <c r="A61" s="29" t="s">
        <v>147</v>
      </c>
      <c r="B61" s="31" t="str">
        <f t="shared" ref="B61:B92" ca="1" si="13">VLOOKUP(A61,TermekKod_data,2,FALSE)</f>
        <v>Duplakockas-Float 4mm-Low-e 4mm termó</v>
      </c>
      <c r="C61" s="29"/>
      <c r="D61" s="32">
        <f t="shared" ref="D61:D92" ca="1" si="14">VLOOKUP($A61,TermekKod_data,8,0)</f>
        <v>414</v>
      </c>
      <c r="E61" s="29" t="s">
        <v>19</v>
      </c>
      <c r="F61" s="29"/>
      <c r="G61" s="29"/>
      <c r="H61" s="32">
        <f t="shared" ref="H61:H92" ca="1" si="15">VLOOKUP($A61,TermekKod_data,9,0)</f>
        <v>352</v>
      </c>
      <c r="I61" s="29" t="s">
        <v>19</v>
      </c>
      <c r="J61" s="25" t="str">
        <f t="shared" ref="J61:J92" ca="1" si="16">VLOOKUP(A61,TermekKod_data,3,FALSE)</f>
        <v>Triplex</v>
      </c>
      <c r="N61" s="29" t="s">
        <v>147</v>
      </c>
      <c r="O61" s="32">
        <f t="shared" ca="1" si="3"/>
        <v>352</v>
      </c>
      <c r="P61" s="146">
        <f t="shared" ca="1" si="5"/>
        <v>324.45217391304345</v>
      </c>
      <c r="Q61" s="29"/>
      <c r="R61" s="29"/>
      <c r="S61" s="147">
        <f t="shared" ca="1" si="6"/>
        <v>54.5297771282426</v>
      </c>
      <c r="T61" s="147">
        <f t="shared" ca="1" si="7"/>
        <v>64.890434782608693</v>
      </c>
      <c r="U61" s="148">
        <f t="shared" ca="1" si="8"/>
        <v>324.45217391304345</v>
      </c>
      <c r="V61" s="139"/>
    </row>
    <row r="62" spans="1:22" s="25" customFormat="1" ht="19.5" customHeight="1" x14ac:dyDescent="0.25">
      <c r="A62" s="29" t="s">
        <v>148</v>
      </c>
      <c r="B62" s="31" t="str">
        <f t="shared" ca="1" si="13"/>
        <v>Fustos 4mm-Mintas uveg feher fatorzs termó</v>
      </c>
      <c r="C62" s="29"/>
      <c r="D62" s="32">
        <f t="shared" ca="1" si="14"/>
        <v>308</v>
      </c>
      <c r="E62" s="29" t="s">
        <v>19</v>
      </c>
      <c r="F62" s="29"/>
      <c r="G62" s="29"/>
      <c r="H62" s="32">
        <f t="shared" ca="1" si="15"/>
        <v>262</v>
      </c>
      <c r="I62" s="29" t="s">
        <v>19</v>
      </c>
      <c r="J62" s="25" t="str">
        <f t="shared" ca="1" si="16"/>
        <v>Duplex</v>
      </c>
      <c r="N62" s="29" t="s">
        <v>148</v>
      </c>
      <c r="O62" s="32">
        <f t="shared" ca="1" si="3"/>
        <v>262</v>
      </c>
      <c r="P62" s="146">
        <f t="shared" ca="1" si="5"/>
        <v>241.49565217391304</v>
      </c>
      <c r="Q62" s="29"/>
      <c r="R62" s="29"/>
      <c r="S62" s="147">
        <f t="shared" ca="1" si="6"/>
        <v>40.587504567044213</v>
      </c>
      <c r="T62" s="147">
        <f t="shared" ca="1" si="7"/>
        <v>48.299130434782612</v>
      </c>
      <c r="U62" s="148">
        <f t="shared" ca="1" si="8"/>
        <v>241.49565217391304</v>
      </c>
      <c r="V62" s="139"/>
    </row>
    <row r="63" spans="1:22" s="25" customFormat="1" ht="19.5" customHeight="1" x14ac:dyDescent="0.25">
      <c r="A63" s="29" t="s">
        <v>149</v>
      </c>
      <c r="B63" s="31" t="str">
        <f t="shared" ca="1" si="13"/>
        <v>4 evszakos-Mintas uveg feher fatorzs-Low-e 4mm termó</v>
      </c>
      <c r="C63" s="29"/>
      <c r="D63" s="32">
        <f t="shared" ca="1" si="14"/>
        <v>409</v>
      </c>
      <c r="E63" s="29" t="s">
        <v>19</v>
      </c>
      <c r="F63" s="29"/>
      <c r="G63" s="29"/>
      <c r="H63" s="32">
        <f t="shared" ca="1" si="15"/>
        <v>348</v>
      </c>
      <c r="I63" s="29" t="s">
        <v>19</v>
      </c>
      <c r="J63" s="25" t="str">
        <f t="shared" ca="1" si="16"/>
        <v>Triplex</v>
      </c>
      <c r="N63" s="29" t="s">
        <v>149</v>
      </c>
      <c r="O63" s="32">
        <f t="shared" ca="1" si="3"/>
        <v>348</v>
      </c>
      <c r="P63" s="146">
        <f t="shared" ca="1" si="5"/>
        <v>320.76521739130436</v>
      </c>
      <c r="Q63" s="29"/>
      <c r="R63" s="29"/>
      <c r="S63" s="147">
        <f t="shared" ca="1" si="6"/>
        <v>53.91012056996712</v>
      </c>
      <c r="T63" s="147">
        <f t="shared" ca="1" si="7"/>
        <v>64.153043478260869</v>
      </c>
      <c r="U63" s="148">
        <f t="shared" ca="1" si="8"/>
        <v>320.76521739130436</v>
      </c>
      <c r="V63" s="139"/>
    </row>
    <row r="64" spans="1:22" s="25" customFormat="1" ht="19.5" customHeight="1" x14ac:dyDescent="0.25">
      <c r="A64" s="29" t="s">
        <v>98</v>
      </c>
      <c r="B64" s="31" t="str">
        <f t="shared" ca="1" si="13"/>
        <v>Float 6mm-Float 4mm-Float 4mm termó</v>
      </c>
      <c r="C64" s="29"/>
      <c r="D64" s="32">
        <f t="shared" ca="1" si="14"/>
        <v>398</v>
      </c>
      <c r="E64" s="29" t="s">
        <v>19</v>
      </c>
      <c r="F64" s="29"/>
      <c r="G64" s="29"/>
      <c r="H64" s="32">
        <f t="shared" ca="1" si="15"/>
        <v>339</v>
      </c>
      <c r="I64" s="29" t="s">
        <v>19</v>
      </c>
      <c r="J64" s="25" t="str">
        <f t="shared" ca="1" si="16"/>
        <v>Triplex</v>
      </c>
      <c r="N64" s="29" t="s">
        <v>98</v>
      </c>
      <c r="O64" s="32">
        <f t="shared" ca="1" si="3"/>
        <v>339</v>
      </c>
      <c r="P64" s="146">
        <f t="shared" ca="1" si="5"/>
        <v>312.46956521739128</v>
      </c>
      <c r="Q64" s="29"/>
      <c r="R64" s="29"/>
      <c r="S64" s="147">
        <f t="shared" ca="1" si="6"/>
        <v>52.515893313847272</v>
      </c>
      <c r="T64" s="147">
        <f t="shared" ca="1" si="7"/>
        <v>62.493913043478258</v>
      </c>
      <c r="U64" s="148">
        <f t="shared" ca="1" si="8"/>
        <v>312.46956521739128</v>
      </c>
      <c r="V64" s="139"/>
    </row>
    <row r="65" spans="1:22" s="25" customFormat="1" ht="19.5" customHeight="1" x14ac:dyDescent="0.25">
      <c r="A65" s="29" t="s">
        <v>150</v>
      </c>
      <c r="B65" s="31" t="str">
        <f t="shared" ca="1" si="13"/>
        <v>Barna fatorzs-Float 4mm termó</v>
      </c>
      <c r="C65" s="29"/>
      <c r="D65" s="32">
        <f t="shared" ca="1" si="14"/>
        <v>344</v>
      </c>
      <c r="E65" s="29" t="s">
        <v>19</v>
      </c>
      <c r="F65" s="29"/>
      <c r="G65" s="29"/>
      <c r="H65" s="32">
        <f t="shared" ca="1" si="15"/>
        <v>293</v>
      </c>
      <c r="I65" s="29" t="s">
        <v>19</v>
      </c>
      <c r="J65" s="25" t="str">
        <f t="shared" ca="1" si="16"/>
        <v>Duplex</v>
      </c>
      <c r="N65" s="29" t="s">
        <v>150</v>
      </c>
      <c r="O65" s="32">
        <f t="shared" ca="1" si="3"/>
        <v>293</v>
      </c>
      <c r="P65" s="146">
        <f t="shared" ca="1" si="5"/>
        <v>270.0695652173913</v>
      </c>
      <c r="Q65" s="29"/>
      <c r="R65" s="29"/>
      <c r="S65" s="147">
        <f t="shared" ca="1" si="6"/>
        <v>45.389842893679209</v>
      </c>
      <c r="T65" s="147">
        <f t="shared" ca="1" si="7"/>
        <v>54.013913043478261</v>
      </c>
      <c r="U65" s="148">
        <f t="shared" ca="1" si="8"/>
        <v>270.0695652173913</v>
      </c>
      <c r="V65" s="139"/>
    </row>
    <row r="66" spans="1:22" s="25" customFormat="1" ht="19.5" customHeight="1" x14ac:dyDescent="0.25">
      <c r="A66" s="29" t="s">
        <v>151</v>
      </c>
      <c r="B66" s="31" t="str">
        <f t="shared" ca="1" si="13"/>
        <v>4 evszakos-Savmarta feher Tegla-Low-e 4mm termó</v>
      </c>
      <c r="C66" s="29"/>
      <c r="D66" s="32">
        <f t="shared" ca="1" si="14"/>
        <v>507</v>
      </c>
      <c r="E66" s="29" t="s">
        <v>19</v>
      </c>
      <c r="F66" s="29"/>
      <c r="G66" s="29"/>
      <c r="H66" s="32">
        <f t="shared" ca="1" si="15"/>
        <v>431</v>
      </c>
      <c r="I66" s="29" t="s">
        <v>19</v>
      </c>
      <c r="J66" s="25" t="str">
        <f t="shared" ca="1" si="16"/>
        <v>Triplex</v>
      </c>
      <c r="N66" s="29" t="s">
        <v>151</v>
      </c>
      <c r="O66" s="32">
        <f t="shared" ref="O66:O117" ca="1" si="17">VLOOKUP($A66,TermekKod_data,9,0)</f>
        <v>431</v>
      </c>
      <c r="P66" s="146">
        <f t="shared" ca="1" si="5"/>
        <v>397.26956521739129</v>
      </c>
      <c r="Q66" s="29"/>
      <c r="R66" s="29"/>
      <c r="S66" s="147">
        <f t="shared" ca="1" si="6"/>
        <v>66.767994154183413</v>
      </c>
      <c r="T66" s="147">
        <f t="shared" ca="1" si="7"/>
        <v>79.453913043478252</v>
      </c>
      <c r="U66" s="148">
        <f t="shared" ca="1" si="8"/>
        <v>397.26956521739129</v>
      </c>
      <c r="V66" s="139"/>
    </row>
    <row r="67" spans="1:22" s="25" customFormat="1" ht="19.5" customHeight="1" x14ac:dyDescent="0.25">
      <c r="A67" s="29" t="s">
        <v>99</v>
      </c>
      <c r="B67" s="31" t="str">
        <f t="shared" ca="1" si="13"/>
        <v>Reflexios 4mm-Float 4mm-Low-e 4mm termó</v>
      </c>
      <c r="C67" s="29"/>
      <c r="D67" s="32">
        <f t="shared" ca="1" si="14"/>
        <v>604</v>
      </c>
      <c r="E67" s="29" t="s">
        <v>19</v>
      </c>
      <c r="F67" s="29"/>
      <c r="G67" s="29"/>
      <c r="H67" s="32">
        <f t="shared" ca="1" si="15"/>
        <v>514</v>
      </c>
      <c r="I67" s="29" t="s">
        <v>19</v>
      </c>
      <c r="J67" s="25" t="str">
        <f t="shared" ca="1" si="16"/>
        <v>Triplex</v>
      </c>
      <c r="N67" s="29" t="s">
        <v>99</v>
      </c>
      <c r="O67" s="32">
        <f t="shared" ca="1" si="17"/>
        <v>514</v>
      </c>
      <c r="P67" s="146">
        <f t="shared" ref="P67:P125" ca="1" si="18">SUM(O67-(O67*9/115))</f>
        <v>473.77391304347827</v>
      </c>
      <c r="Q67" s="29"/>
      <c r="R67" s="29"/>
      <c r="S67" s="147">
        <f t="shared" ref="S67:S125" ca="1" si="19">SUM(T67-(T67*19/119))</f>
        <v>79.625867738399705</v>
      </c>
      <c r="T67" s="147">
        <f t="shared" ref="T67:T125" ca="1" si="20">SUM(P67/5)</f>
        <v>94.754782608695649</v>
      </c>
      <c r="U67" s="148">
        <f t="shared" ref="U67:U125" ca="1" si="21">SUM(P67)</f>
        <v>473.77391304347827</v>
      </c>
      <c r="V67" s="139"/>
    </row>
    <row r="68" spans="1:22" s="25" customFormat="1" ht="19.5" customHeight="1" x14ac:dyDescent="0.25">
      <c r="A68" s="29" t="s">
        <v>100</v>
      </c>
      <c r="B68" s="31" t="str">
        <f t="shared" ca="1" si="13"/>
        <v>Float 6mm-Float 4mm-Low-e 4mm termó</v>
      </c>
      <c r="C68" s="29"/>
      <c r="D68" s="32">
        <f t="shared" ca="1" si="14"/>
        <v>416</v>
      </c>
      <c r="E68" s="29" t="s">
        <v>19</v>
      </c>
      <c r="F68" s="29"/>
      <c r="G68" s="29"/>
      <c r="H68" s="32">
        <f t="shared" ca="1" si="15"/>
        <v>354</v>
      </c>
      <c r="I68" s="29" t="s">
        <v>19</v>
      </c>
      <c r="J68" s="25" t="str">
        <f t="shared" ca="1" si="16"/>
        <v>Triplex</v>
      </c>
      <c r="N68" s="29" t="s">
        <v>100</v>
      </c>
      <c r="O68" s="32">
        <f t="shared" ca="1" si="17"/>
        <v>354</v>
      </c>
      <c r="P68" s="146">
        <f t="shared" ca="1" si="18"/>
        <v>326.29565217391303</v>
      </c>
      <c r="Q68" s="29"/>
      <c r="R68" s="29"/>
      <c r="S68" s="147">
        <f t="shared" ca="1" si="19"/>
        <v>54.83960540738034</v>
      </c>
      <c r="T68" s="147">
        <f t="shared" ca="1" si="20"/>
        <v>65.259130434782605</v>
      </c>
      <c r="U68" s="148">
        <f t="shared" ca="1" si="21"/>
        <v>326.29565217391303</v>
      </c>
      <c r="V68" s="139"/>
    </row>
    <row r="69" spans="1:22" s="25" customFormat="1" ht="19.5" customHeight="1" x14ac:dyDescent="0.25">
      <c r="A69" s="29" t="s">
        <v>101</v>
      </c>
      <c r="B69" s="31" t="str">
        <f t="shared" ca="1" si="13"/>
        <v>4 evszakos-Low-e 4mm-Duplex 3.1.3. termó</v>
      </c>
      <c r="C69" s="29"/>
      <c r="D69" s="32">
        <f t="shared" ca="1" si="14"/>
        <v>533</v>
      </c>
      <c r="E69" s="29" t="s">
        <v>19</v>
      </c>
      <c r="F69" s="29"/>
      <c r="G69" s="29"/>
      <c r="H69" s="32">
        <f t="shared" ca="1" si="15"/>
        <v>454</v>
      </c>
      <c r="I69" s="29" t="s">
        <v>19</v>
      </c>
      <c r="J69" s="25" t="str">
        <f t="shared" ca="1" si="16"/>
        <v>Triplex</v>
      </c>
      <c r="N69" s="29" t="s">
        <v>101</v>
      </c>
      <c r="O69" s="32">
        <f t="shared" ca="1" si="17"/>
        <v>454</v>
      </c>
      <c r="P69" s="146">
        <f t="shared" ca="1" si="18"/>
        <v>418.46956521739128</v>
      </c>
      <c r="Q69" s="29"/>
      <c r="R69" s="29"/>
      <c r="S69" s="147">
        <f t="shared" ca="1" si="19"/>
        <v>70.331019364267448</v>
      </c>
      <c r="T69" s="147">
        <f t="shared" ca="1" si="20"/>
        <v>83.693913043478261</v>
      </c>
      <c r="U69" s="148">
        <f t="shared" ca="1" si="21"/>
        <v>418.46956521739128</v>
      </c>
      <c r="V69" s="139"/>
    </row>
    <row r="70" spans="1:22" s="25" customFormat="1" ht="19.5" customHeight="1" x14ac:dyDescent="0.25">
      <c r="A70" s="29" t="s">
        <v>152</v>
      </c>
      <c r="B70" s="31" t="str">
        <f t="shared" ca="1" si="13"/>
        <v>Savmarta feher Tegla-Float 4mm-Low-e 4mm termó</v>
      </c>
      <c r="C70" s="29"/>
      <c r="D70" s="32">
        <f t="shared" ca="1" si="14"/>
        <v>492</v>
      </c>
      <c r="E70" s="29" t="s">
        <v>19</v>
      </c>
      <c r="F70" s="29"/>
      <c r="G70" s="29"/>
      <c r="H70" s="32">
        <f t="shared" ca="1" si="15"/>
        <v>419</v>
      </c>
      <c r="I70" s="29" t="s">
        <v>19</v>
      </c>
      <c r="J70" s="25" t="str">
        <f t="shared" ca="1" si="16"/>
        <v>Triplex</v>
      </c>
      <c r="N70" s="29" t="s">
        <v>152</v>
      </c>
      <c r="O70" s="32">
        <f t="shared" ca="1" si="17"/>
        <v>419</v>
      </c>
      <c r="P70" s="146">
        <f t="shared" ca="1" si="18"/>
        <v>386.2086956521739</v>
      </c>
      <c r="Q70" s="29"/>
      <c r="R70" s="29"/>
      <c r="S70" s="147">
        <f t="shared" ca="1" si="19"/>
        <v>64.909024479356958</v>
      </c>
      <c r="T70" s="147">
        <f t="shared" ca="1" si="20"/>
        <v>77.24173913043478</v>
      </c>
      <c r="U70" s="148">
        <f t="shared" ca="1" si="21"/>
        <v>386.2086956521739</v>
      </c>
      <c r="V70" s="139"/>
    </row>
    <row r="71" spans="1:22" s="25" customFormat="1" ht="19.5" customHeight="1" x14ac:dyDescent="0.25">
      <c r="A71" s="29" t="s">
        <v>153</v>
      </c>
      <c r="B71" s="31" t="str">
        <f t="shared" ca="1" si="13"/>
        <v>Tukor 4mm-Barna fatorzs termó</v>
      </c>
      <c r="C71" s="29"/>
      <c r="D71" s="32">
        <f t="shared" ca="1" si="14"/>
        <v>492</v>
      </c>
      <c r="E71" s="29" t="s">
        <v>19</v>
      </c>
      <c r="F71" s="29"/>
      <c r="G71" s="29"/>
      <c r="H71" s="32">
        <f t="shared" ca="1" si="15"/>
        <v>419</v>
      </c>
      <c r="I71" s="29" t="s">
        <v>19</v>
      </c>
      <c r="J71" s="25" t="str">
        <f t="shared" ca="1" si="16"/>
        <v>Duplex</v>
      </c>
      <c r="N71" s="29" t="s">
        <v>153</v>
      </c>
      <c r="O71" s="32">
        <f t="shared" ca="1" si="17"/>
        <v>419</v>
      </c>
      <c r="P71" s="146">
        <f t="shared" ca="1" si="18"/>
        <v>386.2086956521739</v>
      </c>
      <c r="Q71" s="29"/>
      <c r="R71" s="29"/>
      <c r="S71" s="147">
        <f t="shared" ca="1" si="19"/>
        <v>64.909024479356958</v>
      </c>
      <c r="T71" s="147">
        <f t="shared" ca="1" si="20"/>
        <v>77.24173913043478</v>
      </c>
      <c r="U71" s="148">
        <f t="shared" ca="1" si="21"/>
        <v>386.2086956521739</v>
      </c>
      <c r="V71" s="139"/>
    </row>
    <row r="72" spans="1:22" s="25" customFormat="1" ht="19.5" customHeight="1" x14ac:dyDescent="0.25">
      <c r="A72" s="29" t="s">
        <v>154</v>
      </c>
      <c r="B72" s="31" t="str">
        <f t="shared" ca="1" si="13"/>
        <v>Barna delta 2-Float 4mm termó</v>
      </c>
      <c r="C72" s="29"/>
      <c r="D72" s="32">
        <f t="shared" ca="1" si="14"/>
        <v>344</v>
      </c>
      <c r="E72" s="29" t="s">
        <v>19</v>
      </c>
      <c r="F72" s="29"/>
      <c r="G72" s="29"/>
      <c r="H72" s="32">
        <f t="shared" ca="1" si="15"/>
        <v>293</v>
      </c>
      <c r="I72" s="29" t="s">
        <v>19</v>
      </c>
      <c r="J72" s="25" t="str">
        <f t="shared" ca="1" si="16"/>
        <v>Duplex</v>
      </c>
      <c r="N72" s="29" t="s">
        <v>154</v>
      </c>
      <c r="O72" s="32">
        <f t="shared" ca="1" si="17"/>
        <v>293</v>
      </c>
      <c r="P72" s="146">
        <f t="shared" ca="1" si="18"/>
        <v>270.0695652173913</v>
      </c>
      <c r="Q72" s="29"/>
      <c r="R72" s="29"/>
      <c r="S72" s="147">
        <f t="shared" ca="1" si="19"/>
        <v>45.389842893679209</v>
      </c>
      <c r="T72" s="147">
        <f t="shared" ca="1" si="20"/>
        <v>54.013913043478261</v>
      </c>
      <c r="U72" s="148">
        <f t="shared" ca="1" si="21"/>
        <v>270.0695652173913</v>
      </c>
      <c r="V72" s="139"/>
    </row>
    <row r="73" spans="1:22" s="25" customFormat="1" ht="19.5" customHeight="1" x14ac:dyDescent="0.25">
      <c r="A73" s="29" t="s">
        <v>156</v>
      </c>
      <c r="B73" s="31" t="str">
        <f t="shared" ca="1" si="13"/>
        <v>Fehér hóvirág-Low-e 4mm-Low-e 4mm termó</v>
      </c>
      <c r="C73" s="29"/>
      <c r="D73" s="32">
        <f t="shared" ca="1" si="14"/>
        <v>510</v>
      </c>
      <c r="E73" s="29" t="s">
        <v>19</v>
      </c>
      <c r="F73" s="29"/>
      <c r="G73" s="29"/>
      <c r="H73" s="32">
        <f t="shared" ca="1" si="15"/>
        <v>434</v>
      </c>
      <c r="I73" s="29" t="s">
        <v>19</v>
      </c>
      <c r="J73" s="25" t="str">
        <f t="shared" ca="1" si="16"/>
        <v>Triplex</v>
      </c>
      <c r="N73" s="29" t="s">
        <v>156</v>
      </c>
      <c r="O73" s="32">
        <f t="shared" ca="1" si="17"/>
        <v>434</v>
      </c>
      <c r="P73" s="146">
        <f t="shared" ca="1" si="18"/>
        <v>400.03478260869565</v>
      </c>
      <c r="Q73" s="29"/>
      <c r="R73" s="29"/>
      <c r="S73" s="147">
        <f t="shared" ca="1" si="19"/>
        <v>67.232736572890019</v>
      </c>
      <c r="T73" s="147">
        <f t="shared" ca="1" si="20"/>
        <v>80.006956521739127</v>
      </c>
      <c r="U73" s="148">
        <f t="shared" ca="1" si="21"/>
        <v>400.03478260869565</v>
      </c>
      <c r="V73" s="139"/>
    </row>
    <row r="74" spans="1:22" s="25" customFormat="1" ht="19.5" customHeight="1" x14ac:dyDescent="0.25">
      <c r="A74" s="29" t="s">
        <v>157</v>
      </c>
      <c r="B74" s="31" t="str">
        <f t="shared" ca="1" si="13"/>
        <v>4 evszakos-Float 4mm-Duplex 3.1.3. termó</v>
      </c>
      <c r="C74" s="29"/>
      <c r="D74" s="32">
        <f t="shared" ca="1" si="14"/>
        <v>515</v>
      </c>
      <c r="E74" s="29" t="s">
        <v>19</v>
      </c>
      <c r="F74" s="29"/>
      <c r="G74" s="29"/>
      <c r="H74" s="32">
        <f t="shared" ca="1" si="15"/>
        <v>438</v>
      </c>
      <c r="I74" s="29" t="s">
        <v>19</v>
      </c>
      <c r="J74" s="25" t="str">
        <f t="shared" ca="1" si="16"/>
        <v>Triplex</v>
      </c>
      <c r="N74" s="29" t="s">
        <v>157</v>
      </c>
      <c r="O74" s="32">
        <f t="shared" ca="1" si="17"/>
        <v>438</v>
      </c>
      <c r="P74" s="146">
        <f t="shared" ca="1" si="18"/>
        <v>403.7217391304348</v>
      </c>
      <c r="Q74" s="29"/>
      <c r="R74" s="29"/>
      <c r="S74" s="147">
        <f t="shared" ca="1" si="19"/>
        <v>67.852393131165513</v>
      </c>
      <c r="T74" s="147">
        <f t="shared" ca="1" si="20"/>
        <v>80.744347826086965</v>
      </c>
      <c r="U74" s="148">
        <f t="shared" ca="1" si="21"/>
        <v>403.7217391304348</v>
      </c>
      <c r="V74" s="139"/>
    </row>
    <row r="75" spans="1:22" s="25" customFormat="1" ht="19.5" customHeight="1" x14ac:dyDescent="0.25">
      <c r="A75" s="29" t="s">
        <v>158</v>
      </c>
      <c r="B75" s="31" t="str">
        <f t="shared" ca="1" si="13"/>
        <v>Savmarta feher Tegla-Float 4mm termó</v>
      </c>
      <c r="C75" s="29"/>
      <c r="D75" s="32">
        <f t="shared" ca="1" si="14"/>
        <v>336</v>
      </c>
      <c r="E75" s="29" t="s">
        <v>19</v>
      </c>
      <c r="F75" s="29"/>
      <c r="G75" s="29"/>
      <c r="H75" s="32">
        <f t="shared" ca="1" si="15"/>
        <v>286</v>
      </c>
      <c r="I75" s="29" t="s">
        <v>19</v>
      </c>
      <c r="J75" s="25" t="str">
        <f t="shared" ca="1" si="16"/>
        <v>Duplex</v>
      </c>
      <c r="N75" s="29" t="s">
        <v>158</v>
      </c>
      <c r="O75" s="32">
        <f t="shared" ca="1" si="17"/>
        <v>286</v>
      </c>
      <c r="P75" s="146">
        <f t="shared" ca="1" si="18"/>
        <v>263.61739130434785</v>
      </c>
      <c r="Q75" s="29"/>
      <c r="R75" s="29"/>
      <c r="S75" s="147">
        <f t="shared" ca="1" si="19"/>
        <v>44.305443916697115</v>
      </c>
      <c r="T75" s="147">
        <f t="shared" ca="1" si="20"/>
        <v>52.72347826086957</v>
      </c>
      <c r="U75" s="148">
        <f t="shared" ca="1" si="21"/>
        <v>263.61739130434785</v>
      </c>
      <c r="V75" s="139"/>
    </row>
    <row r="76" spans="1:22" s="25" customFormat="1" ht="19.5" customHeight="1" x14ac:dyDescent="0.25">
      <c r="A76" s="29" t="s">
        <v>159</v>
      </c>
      <c r="B76" s="31" t="str">
        <f t="shared" ca="1" si="13"/>
        <v>Savmarta barna hovirag-Float 4mm-Low-e 4mm termó</v>
      </c>
      <c r="C76" s="29"/>
      <c r="D76" s="32">
        <f t="shared" ca="1" si="14"/>
        <v>538</v>
      </c>
      <c r="E76" s="29" t="s">
        <v>19</v>
      </c>
      <c r="F76" s="29"/>
      <c r="G76" s="29"/>
      <c r="H76" s="32">
        <f t="shared" ca="1" si="15"/>
        <v>458</v>
      </c>
      <c r="I76" s="29" t="s">
        <v>19</v>
      </c>
      <c r="J76" s="25" t="str">
        <f t="shared" ca="1" si="16"/>
        <v>Triplex</v>
      </c>
      <c r="N76" s="29" t="s">
        <v>159</v>
      </c>
      <c r="O76" s="32">
        <f t="shared" ca="1" si="17"/>
        <v>458</v>
      </c>
      <c r="P76" s="146">
        <f t="shared" ca="1" si="18"/>
        <v>422.15652173913043</v>
      </c>
      <c r="Q76" s="29"/>
      <c r="R76" s="29"/>
      <c r="S76" s="147">
        <f t="shared" ca="1" si="19"/>
        <v>70.950675922542928</v>
      </c>
      <c r="T76" s="147">
        <f t="shared" ca="1" si="20"/>
        <v>84.431304347826085</v>
      </c>
      <c r="U76" s="148">
        <f t="shared" ca="1" si="21"/>
        <v>422.15652173913043</v>
      </c>
      <c r="V76" s="139"/>
    </row>
    <row r="77" spans="1:22" s="25" customFormat="1" ht="19.5" customHeight="1" x14ac:dyDescent="0.25">
      <c r="A77" s="29" t="s">
        <v>163</v>
      </c>
      <c r="B77" s="31" t="str">
        <f t="shared" ca="1" si="13"/>
        <v>4 evszakos-Satin bronz-Low-e 4mm termó</v>
      </c>
      <c r="C77" s="29"/>
      <c r="D77" s="32">
        <f t="shared" ca="1" si="14"/>
        <v>490</v>
      </c>
      <c r="E77" s="29" t="s">
        <v>19</v>
      </c>
      <c r="F77" s="29"/>
      <c r="G77" s="29"/>
      <c r="H77" s="32">
        <f t="shared" ca="1" si="15"/>
        <v>417</v>
      </c>
      <c r="I77" s="29" t="s">
        <v>19</v>
      </c>
      <c r="J77" s="25" t="str">
        <f t="shared" ca="1" si="16"/>
        <v>Triplex</v>
      </c>
      <c r="N77" s="29" t="s">
        <v>163</v>
      </c>
      <c r="O77" s="32">
        <f t="shared" ca="1" si="17"/>
        <v>417</v>
      </c>
      <c r="P77" s="146">
        <f t="shared" ca="1" si="18"/>
        <v>384.36521739130433</v>
      </c>
      <c r="Q77" s="29"/>
      <c r="R77" s="29"/>
      <c r="S77" s="147">
        <f t="shared" ca="1" si="19"/>
        <v>64.599196200219211</v>
      </c>
      <c r="T77" s="147">
        <f t="shared" ca="1" si="20"/>
        <v>76.873043478260868</v>
      </c>
      <c r="U77" s="148">
        <f t="shared" ca="1" si="21"/>
        <v>384.36521739130433</v>
      </c>
      <c r="V77" s="139"/>
    </row>
    <row r="78" spans="1:22" s="25" customFormat="1" ht="19.5" customHeight="1" x14ac:dyDescent="0.25">
      <c r="A78" s="29" t="s">
        <v>164</v>
      </c>
      <c r="B78" s="31" t="str">
        <f t="shared" ca="1" si="13"/>
        <v>Savmarta feher tuskes-Low-e 4mm-Low-e 4mm termó</v>
      </c>
      <c r="C78" s="29"/>
      <c r="D78" s="32">
        <f t="shared" ca="1" si="14"/>
        <v>510</v>
      </c>
      <c r="E78" s="29" t="s">
        <v>19</v>
      </c>
      <c r="F78" s="29"/>
      <c r="G78" s="29"/>
      <c r="H78" s="32">
        <f t="shared" ca="1" si="15"/>
        <v>434</v>
      </c>
      <c r="I78" s="29" t="s">
        <v>19</v>
      </c>
      <c r="J78" s="25" t="str">
        <f t="shared" ca="1" si="16"/>
        <v>Triplex</v>
      </c>
      <c r="N78" s="29" t="s">
        <v>164</v>
      </c>
      <c r="O78" s="32">
        <f t="shared" ca="1" si="17"/>
        <v>434</v>
      </c>
      <c r="P78" s="146">
        <f t="shared" ca="1" si="18"/>
        <v>400.03478260869565</v>
      </c>
      <c r="Q78" s="29"/>
      <c r="R78" s="29"/>
      <c r="S78" s="147">
        <f t="shared" ca="1" si="19"/>
        <v>67.232736572890019</v>
      </c>
      <c r="T78" s="147">
        <f t="shared" ca="1" si="20"/>
        <v>80.006956521739127</v>
      </c>
      <c r="U78" s="148">
        <f t="shared" ca="1" si="21"/>
        <v>400.03478260869565</v>
      </c>
      <c r="V78" s="139"/>
    </row>
    <row r="79" spans="1:22" s="25" customFormat="1" ht="19.5" customHeight="1" x14ac:dyDescent="0.25">
      <c r="A79" s="29" t="s">
        <v>165</v>
      </c>
      <c r="B79" s="31" t="str">
        <f t="shared" ca="1" si="13"/>
        <v>Mintas uveg aprokockas-Low-e 4mm-Low-e 4mm termó</v>
      </c>
      <c r="C79" s="29"/>
      <c r="D79" s="32">
        <f t="shared" ca="1" si="14"/>
        <v>412</v>
      </c>
      <c r="E79" s="29" t="s">
        <v>19</v>
      </c>
      <c r="F79" s="29"/>
      <c r="G79" s="29"/>
      <c r="H79" s="32">
        <f t="shared" ca="1" si="15"/>
        <v>351</v>
      </c>
      <c r="I79" s="29" t="s">
        <v>19</v>
      </c>
      <c r="J79" s="25" t="str">
        <f t="shared" ca="1" si="16"/>
        <v>Triplex</v>
      </c>
      <c r="N79" s="29" t="s">
        <v>165</v>
      </c>
      <c r="O79" s="32">
        <f t="shared" ca="1" si="17"/>
        <v>351</v>
      </c>
      <c r="P79" s="146">
        <f t="shared" ca="1" si="18"/>
        <v>323.53043478260872</v>
      </c>
      <c r="Q79" s="29"/>
      <c r="R79" s="29"/>
      <c r="S79" s="147">
        <f t="shared" ca="1" si="19"/>
        <v>54.374862988673733</v>
      </c>
      <c r="T79" s="147">
        <f t="shared" ca="1" si="20"/>
        <v>64.706086956521744</v>
      </c>
      <c r="U79" s="148">
        <f t="shared" ca="1" si="21"/>
        <v>323.53043478260872</v>
      </c>
      <c r="V79" s="139"/>
    </row>
    <row r="80" spans="1:22" s="25" customFormat="1" ht="19.5" customHeight="1" x14ac:dyDescent="0.25">
      <c r="A80" s="29" t="s">
        <v>166</v>
      </c>
      <c r="B80" s="31" t="str">
        <f t="shared" ca="1" si="13"/>
        <v>Barna fatorzs-Float 4mm-Low-e 4mm termó</v>
      </c>
      <c r="C80" s="29"/>
      <c r="D80" s="32">
        <f t="shared" ca="1" si="14"/>
        <v>500</v>
      </c>
      <c r="E80" s="29" t="s">
        <v>19</v>
      </c>
      <c r="F80" s="29"/>
      <c r="G80" s="29"/>
      <c r="H80" s="32">
        <f t="shared" ca="1" si="15"/>
        <v>425</v>
      </c>
      <c r="I80" s="29" t="s">
        <v>19</v>
      </c>
      <c r="J80" s="25" t="str">
        <f t="shared" ca="1" si="16"/>
        <v>Triplex</v>
      </c>
      <c r="N80" s="29" t="s">
        <v>166</v>
      </c>
      <c r="O80" s="32">
        <f t="shared" ca="1" si="17"/>
        <v>425</v>
      </c>
      <c r="P80" s="146">
        <f t="shared" ca="1" si="18"/>
        <v>391.73913043478262</v>
      </c>
      <c r="Q80" s="29"/>
      <c r="R80" s="29"/>
      <c r="S80" s="147">
        <f t="shared" ca="1" si="19"/>
        <v>65.8385093167702</v>
      </c>
      <c r="T80" s="147">
        <f t="shared" ca="1" si="20"/>
        <v>78.34782608695653</v>
      </c>
      <c r="U80" s="148">
        <f t="shared" ca="1" si="21"/>
        <v>391.73913043478262</v>
      </c>
      <c r="V80" s="139"/>
    </row>
    <row r="81" spans="1:22" s="25" customFormat="1" ht="19.5" customHeight="1" x14ac:dyDescent="0.25">
      <c r="A81" s="29" t="s">
        <v>167</v>
      </c>
      <c r="B81" s="31" t="str">
        <f t="shared" ca="1" si="13"/>
        <v>Feher csincsilla-Low-e 4mm-Low-e 4mm termó</v>
      </c>
      <c r="C81" s="29"/>
      <c r="D81" s="32">
        <f t="shared" ca="1" si="14"/>
        <v>461</v>
      </c>
      <c r="E81" s="29" t="s">
        <v>19</v>
      </c>
      <c r="F81" s="29"/>
      <c r="G81" s="29"/>
      <c r="H81" s="32">
        <f t="shared" ca="1" si="15"/>
        <v>392</v>
      </c>
      <c r="I81" s="29" t="s">
        <v>19</v>
      </c>
      <c r="J81" s="25" t="str">
        <f t="shared" ca="1" si="16"/>
        <v>Triplex</v>
      </c>
      <c r="N81" s="29" t="s">
        <v>167</v>
      </c>
      <c r="O81" s="32">
        <f t="shared" ca="1" si="17"/>
        <v>392</v>
      </c>
      <c r="P81" s="146">
        <f t="shared" ca="1" si="18"/>
        <v>361.32173913043476</v>
      </c>
      <c r="Q81" s="29"/>
      <c r="R81" s="29"/>
      <c r="S81" s="147">
        <f t="shared" ca="1" si="19"/>
        <v>60.726342710997436</v>
      </c>
      <c r="T81" s="147">
        <f t="shared" ca="1" si="20"/>
        <v>72.264347826086947</v>
      </c>
      <c r="U81" s="148">
        <f t="shared" ca="1" si="21"/>
        <v>361.32173913043476</v>
      </c>
      <c r="V81" s="139"/>
    </row>
    <row r="82" spans="1:22" s="25" customFormat="1" ht="19.5" customHeight="1" x14ac:dyDescent="0.25">
      <c r="A82" s="29" t="s">
        <v>170</v>
      </c>
      <c r="B82" s="31" t="str">
        <f t="shared" ca="1" si="13"/>
        <v>Feher screen-Tukor 4mm termó</v>
      </c>
      <c r="C82" s="29"/>
      <c r="D82" s="32">
        <f t="shared" ca="1" si="14"/>
        <v>435</v>
      </c>
      <c r="E82" s="29" t="s">
        <v>19</v>
      </c>
      <c r="F82" s="29"/>
      <c r="G82" s="29"/>
      <c r="H82" s="32">
        <f t="shared" ca="1" si="15"/>
        <v>370</v>
      </c>
      <c r="I82" s="29" t="s">
        <v>19</v>
      </c>
      <c r="J82" s="25" t="str">
        <f t="shared" ca="1" si="16"/>
        <v>Duplex</v>
      </c>
      <c r="N82" s="29" t="s">
        <v>170</v>
      </c>
      <c r="O82" s="32">
        <f t="shared" ca="1" si="17"/>
        <v>370</v>
      </c>
      <c r="P82" s="146">
        <f t="shared" ca="1" si="18"/>
        <v>341.04347826086956</v>
      </c>
      <c r="Q82" s="29"/>
      <c r="R82" s="29"/>
      <c r="S82" s="147">
        <f t="shared" ca="1" si="19"/>
        <v>57.318231640482281</v>
      </c>
      <c r="T82" s="147">
        <f t="shared" ca="1" si="20"/>
        <v>68.208695652173915</v>
      </c>
      <c r="U82" s="148">
        <f t="shared" ca="1" si="21"/>
        <v>341.04347826086956</v>
      </c>
      <c r="V82" s="139"/>
    </row>
    <row r="83" spans="1:22" s="25" customFormat="1" ht="19.5" customHeight="1" x14ac:dyDescent="0.25">
      <c r="A83" s="29" t="s">
        <v>169</v>
      </c>
      <c r="B83" s="31" t="str">
        <f t="shared" ca="1" si="13"/>
        <v>Duplex 3.1.3.-Homokfujt 4mm termó</v>
      </c>
      <c r="C83" s="29"/>
      <c r="D83" s="32">
        <f t="shared" ca="1" si="14"/>
        <v>432</v>
      </c>
      <c r="E83" s="29" t="s">
        <v>19</v>
      </c>
      <c r="F83" s="29"/>
      <c r="G83" s="29"/>
      <c r="H83" s="32">
        <f t="shared" ca="1" si="15"/>
        <v>368</v>
      </c>
      <c r="I83" s="29" t="s">
        <v>19</v>
      </c>
      <c r="J83" s="25" t="str">
        <f t="shared" ca="1" si="16"/>
        <v>Duplex</v>
      </c>
      <c r="N83" s="29" t="s">
        <v>169</v>
      </c>
      <c r="O83" s="32">
        <f t="shared" ca="1" si="17"/>
        <v>368</v>
      </c>
      <c r="P83" s="146">
        <f t="shared" ca="1" si="18"/>
        <v>339.2</v>
      </c>
      <c r="Q83" s="29"/>
      <c r="R83" s="29"/>
      <c r="S83" s="147">
        <f t="shared" ca="1" si="19"/>
        <v>57.008403361344541</v>
      </c>
      <c r="T83" s="147">
        <f t="shared" ca="1" si="20"/>
        <v>67.84</v>
      </c>
      <c r="U83" s="148">
        <f t="shared" ca="1" si="21"/>
        <v>339.2</v>
      </c>
      <c r="V83" s="139"/>
    </row>
    <row r="84" spans="1:22" s="25" customFormat="1" ht="19.5" customHeight="1" x14ac:dyDescent="0.25">
      <c r="A84" s="29" t="s">
        <v>168</v>
      </c>
      <c r="B84" s="31" t="str">
        <f t="shared" ca="1" si="13"/>
        <v>Tukor 4mm-Savmarta feher tuskes termó</v>
      </c>
      <c r="C84" s="29"/>
      <c r="D84" s="32">
        <f t="shared" ca="1" si="14"/>
        <v>484</v>
      </c>
      <c r="E84" s="29" t="s">
        <v>19</v>
      </c>
      <c r="F84" s="29"/>
      <c r="G84" s="29"/>
      <c r="H84" s="32">
        <f t="shared" ca="1" si="15"/>
        <v>412</v>
      </c>
      <c r="I84" s="29" t="s">
        <v>19</v>
      </c>
      <c r="J84" s="25" t="str">
        <f t="shared" ca="1" si="16"/>
        <v>Duplex</v>
      </c>
      <c r="N84" s="29" t="s">
        <v>168</v>
      </c>
      <c r="O84" s="32">
        <f t="shared" ca="1" si="17"/>
        <v>412</v>
      </c>
      <c r="P84" s="146">
        <f t="shared" ca="1" si="18"/>
        <v>379.75652173913045</v>
      </c>
      <c r="Q84" s="29"/>
      <c r="R84" s="29"/>
      <c r="S84" s="147">
        <f t="shared" ca="1" si="19"/>
        <v>63.824625502374872</v>
      </c>
      <c r="T84" s="147">
        <f t="shared" ca="1" si="20"/>
        <v>75.951304347826095</v>
      </c>
      <c r="U84" s="148">
        <f t="shared" ca="1" si="21"/>
        <v>379.75652173913045</v>
      </c>
      <c r="V84" s="139"/>
    </row>
    <row r="85" spans="1:22" s="25" customFormat="1" ht="19.5" customHeight="1" x14ac:dyDescent="0.25">
      <c r="A85" s="29" t="s">
        <v>171</v>
      </c>
      <c r="B85" s="31" t="str">
        <f t="shared" ca="1" si="13"/>
        <v>Tukor 4mm-Satin bronz termó</v>
      </c>
      <c r="C85" s="29"/>
      <c r="D85" s="32">
        <f t="shared" ca="1" si="14"/>
        <v>467</v>
      </c>
      <c r="E85" s="29" t="s">
        <v>19</v>
      </c>
      <c r="F85" s="29"/>
      <c r="G85" s="29"/>
      <c r="H85" s="32">
        <f t="shared" ca="1" si="15"/>
        <v>397</v>
      </c>
      <c r="I85" s="29" t="s">
        <v>19</v>
      </c>
      <c r="J85" s="25" t="str">
        <f t="shared" ca="1" si="16"/>
        <v>Duplex</v>
      </c>
      <c r="N85" s="29" t="s">
        <v>171</v>
      </c>
      <c r="O85" s="32">
        <f t="shared" ca="1" si="17"/>
        <v>397</v>
      </c>
      <c r="P85" s="146">
        <f t="shared" ca="1" si="18"/>
        <v>365.9304347826087</v>
      </c>
      <c r="Q85" s="29"/>
      <c r="R85" s="29"/>
      <c r="S85" s="147">
        <f t="shared" ca="1" si="19"/>
        <v>61.500913408841797</v>
      </c>
      <c r="T85" s="147">
        <f t="shared" ca="1" si="20"/>
        <v>73.186086956521734</v>
      </c>
      <c r="U85" s="148">
        <f t="shared" ca="1" si="21"/>
        <v>365.9304347826087</v>
      </c>
      <c r="V85" s="139"/>
    </row>
    <row r="86" spans="1:22" s="25" customFormat="1" ht="19.5" customHeight="1" x14ac:dyDescent="0.25">
      <c r="A86" s="29" t="s">
        <v>172</v>
      </c>
      <c r="B86" s="31" t="str">
        <f t="shared" ca="1" si="13"/>
        <v>Float 4mm-Satin bronz termó</v>
      </c>
      <c r="C86" s="29"/>
      <c r="D86" s="32">
        <f t="shared" ca="1" si="14"/>
        <v>319</v>
      </c>
      <c r="E86" s="29" t="s">
        <v>19</v>
      </c>
      <c r="F86" s="29"/>
      <c r="G86" s="29"/>
      <c r="H86" s="32">
        <f t="shared" ca="1" si="15"/>
        <v>272</v>
      </c>
      <c r="I86" s="29" t="s">
        <v>19</v>
      </c>
      <c r="J86" s="25" t="str">
        <f t="shared" ca="1" si="16"/>
        <v>Duplex</v>
      </c>
      <c r="N86" s="29" t="s">
        <v>172</v>
      </c>
      <c r="O86" s="32">
        <f t="shared" ca="1" si="17"/>
        <v>272</v>
      </c>
      <c r="P86" s="146">
        <f t="shared" ca="1" si="18"/>
        <v>250.71304347826086</v>
      </c>
      <c r="Q86" s="29"/>
      <c r="R86" s="29"/>
      <c r="S86" s="147">
        <f t="shared" ca="1" si="19"/>
        <v>42.136645962732914</v>
      </c>
      <c r="T86" s="147">
        <f t="shared" ca="1" si="20"/>
        <v>50.142608695652171</v>
      </c>
      <c r="U86" s="148">
        <f t="shared" ca="1" si="21"/>
        <v>250.71304347826086</v>
      </c>
      <c r="V86" s="139"/>
    </row>
    <row r="87" spans="1:22" s="25" customFormat="1" ht="19.5" customHeight="1" x14ac:dyDescent="0.25">
      <c r="A87" s="29" t="s">
        <v>173</v>
      </c>
      <c r="B87" s="31" t="str">
        <f t="shared" ca="1" si="13"/>
        <v>Savamarta barna tegla-Float 4mm-Low-e 4mm termó</v>
      </c>
      <c r="C87" s="29"/>
      <c r="D87" s="32">
        <f t="shared" ca="1" si="14"/>
        <v>538</v>
      </c>
      <c r="E87" s="29" t="s">
        <v>19</v>
      </c>
      <c r="F87" s="29"/>
      <c r="G87" s="29"/>
      <c r="H87" s="32">
        <f t="shared" ca="1" si="15"/>
        <v>458</v>
      </c>
      <c r="I87" s="29" t="s">
        <v>19</v>
      </c>
      <c r="J87" s="25" t="str">
        <f t="shared" ca="1" si="16"/>
        <v>Triplex</v>
      </c>
      <c r="N87" s="29" t="s">
        <v>173</v>
      </c>
      <c r="O87" s="32">
        <f t="shared" ca="1" si="17"/>
        <v>458</v>
      </c>
      <c r="P87" s="146">
        <f t="shared" ca="1" si="18"/>
        <v>422.15652173913043</v>
      </c>
      <c r="Q87" s="29"/>
      <c r="R87" s="29"/>
      <c r="S87" s="147">
        <f t="shared" ca="1" si="19"/>
        <v>70.950675922542928</v>
      </c>
      <c r="T87" s="147">
        <f t="shared" ca="1" si="20"/>
        <v>84.431304347826085</v>
      </c>
      <c r="U87" s="148">
        <f t="shared" ca="1" si="21"/>
        <v>422.15652173913043</v>
      </c>
      <c r="V87" s="139"/>
    </row>
    <row r="88" spans="1:22" s="25" customFormat="1" ht="19.5" customHeight="1" x14ac:dyDescent="0.25">
      <c r="A88" s="29" t="s">
        <v>174</v>
      </c>
      <c r="B88" s="31" t="str">
        <f t="shared" ca="1" si="13"/>
        <v>Reflexios 4mm-Barna csincsilla termó</v>
      </c>
      <c r="C88" s="29"/>
      <c r="D88" s="32">
        <f t="shared" ca="1" si="14"/>
        <v>569</v>
      </c>
      <c r="E88" s="29" t="s">
        <v>19</v>
      </c>
      <c r="F88" s="29"/>
      <c r="G88" s="29"/>
      <c r="H88" s="32">
        <f t="shared" ca="1" si="15"/>
        <v>484</v>
      </c>
      <c r="I88" s="29" t="s">
        <v>19</v>
      </c>
      <c r="J88" s="25" t="str">
        <f t="shared" ca="1" si="16"/>
        <v>Duplex</v>
      </c>
      <c r="N88" s="29" t="s">
        <v>174</v>
      </c>
      <c r="O88" s="32">
        <f t="shared" ca="1" si="17"/>
        <v>484</v>
      </c>
      <c r="P88" s="146">
        <f t="shared" ca="1" si="18"/>
        <v>446.12173913043478</v>
      </c>
      <c r="Q88" s="29"/>
      <c r="R88" s="29"/>
      <c r="S88" s="147">
        <f t="shared" ca="1" si="19"/>
        <v>74.978443551333584</v>
      </c>
      <c r="T88" s="147">
        <f t="shared" ca="1" si="20"/>
        <v>89.224347826086955</v>
      </c>
      <c r="U88" s="148">
        <f t="shared" ca="1" si="21"/>
        <v>446.12173913043478</v>
      </c>
      <c r="V88" s="139"/>
    </row>
    <row r="89" spans="1:22" s="25" customFormat="1" ht="19.5" customHeight="1" x14ac:dyDescent="0.25">
      <c r="A89" s="29" t="s">
        <v>175</v>
      </c>
      <c r="B89" s="31" t="str">
        <f t="shared" ca="1" si="13"/>
        <v>Homokfujt 4mm-Homokfujt 4mm termó</v>
      </c>
      <c r="C89" s="29"/>
      <c r="D89" s="32">
        <f t="shared" ca="1" si="14"/>
        <v>363</v>
      </c>
      <c r="E89" s="29" t="s">
        <v>19</v>
      </c>
      <c r="F89" s="29"/>
      <c r="G89" s="29"/>
      <c r="H89" s="32">
        <f t="shared" ca="1" si="15"/>
        <v>309</v>
      </c>
      <c r="I89" s="29" t="s">
        <v>19</v>
      </c>
      <c r="J89" s="25" t="str">
        <f t="shared" ca="1" si="16"/>
        <v>Duplex</v>
      </c>
      <c r="N89" s="29" t="s">
        <v>175</v>
      </c>
      <c r="O89" s="32">
        <f t="shared" ca="1" si="17"/>
        <v>309</v>
      </c>
      <c r="P89" s="146">
        <f t="shared" ca="1" si="18"/>
        <v>284.81739130434784</v>
      </c>
      <c r="Q89" s="29"/>
      <c r="R89" s="29"/>
      <c r="S89" s="147">
        <f t="shared" ca="1" si="19"/>
        <v>47.86846912678115</v>
      </c>
      <c r="T89" s="147">
        <f t="shared" ca="1" si="20"/>
        <v>56.963478260869564</v>
      </c>
      <c r="U89" s="148">
        <f t="shared" ca="1" si="21"/>
        <v>284.81739130434784</v>
      </c>
      <c r="V89" s="139"/>
    </row>
    <row r="90" spans="1:22" s="25" customFormat="1" ht="19.5" customHeight="1" x14ac:dyDescent="0.25">
      <c r="A90" s="29" t="s">
        <v>176</v>
      </c>
      <c r="B90" s="31" t="str">
        <f t="shared" ca="1" si="13"/>
        <v>Tukor 4mm-Mintas uveg feher fatorzs termó</v>
      </c>
      <c r="C90" s="29"/>
      <c r="D90" s="32">
        <f t="shared" ca="1" si="14"/>
        <v>386</v>
      </c>
      <c r="E90" s="29" t="s">
        <v>19</v>
      </c>
      <c r="F90" s="29"/>
      <c r="G90" s="29"/>
      <c r="H90" s="32">
        <f t="shared" ca="1" si="15"/>
        <v>329</v>
      </c>
      <c r="I90" s="29" t="s">
        <v>19</v>
      </c>
      <c r="J90" s="25" t="str">
        <f t="shared" ca="1" si="16"/>
        <v>Duplex</v>
      </c>
      <c r="N90" s="29" t="s">
        <v>176</v>
      </c>
      <c r="O90" s="32">
        <f t="shared" ca="1" si="17"/>
        <v>329</v>
      </c>
      <c r="P90" s="146">
        <f t="shared" ca="1" si="18"/>
        <v>303.25217391304346</v>
      </c>
      <c r="Q90" s="29"/>
      <c r="R90" s="29"/>
      <c r="S90" s="147">
        <f t="shared" ca="1" si="19"/>
        <v>50.966751918158565</v>
      </c>
      <c r="T90" s="147">
        <f t="shared" ca="1" si="20"/>
        <v>60.650434782608691</v>
      </c>
      <c r="U90" s="148">
        <f t="shared" ca="1" si="21"/>
        <v>303.25217391304346</v>
      </c>
      <c r="V90" s="139"/>
    </row>
    <row r="91" spans="1:22" s="25" customFormat="1" ht="19.5" customHeight="1" x14ac:dyDescent="0.25">
      <c r="A91" s="29" t="s">
        <v>177</v>
      </c>
      <c r="B91" s="31" t="str">
        <f t="shared" ca="1" si="13"/>
        <v>Reflexios 4mm-Float 4mm-Homokfujt 4mm termó</v>
      </c>
      <c r="C91" s="29"/>
      <c r="D91" s="32">
        <f t="shared" ca="1" si="14"/>
        <v>656</v>
      </c>
      <c r="E91" s="29" t="s">
        <v>19</v>
      </c>
      <c r="F91" s="29"/>
      <c r="G91" s="29"/>
      <c r="H91" s="32">
        <f t="shared" ca="1" si="15"/>
        <v>558</v>
      </c>
      <c r="I91" s="29" t="s">
        <v>19</v>
      </c>
      <c r="J91" s="25" t="str">
        <f t="shared" ca="1" si="16"/>
        <v>Triplex</v>
      </c>
      <c r="N91" s="29" t="s">
        <v>177</v>
      </c>
      <c r="O91" s="32">
        <f t="shared" ca="1" si="17"/>
        <v>558</v>
      </c>
      <c r="P91" s="146">
        <f t="shared" ca="1" si="18"/>
        <v>514.33043478260868</v>
      </c>
      <c r="Q91" s="29"/>
      <c r="R91" s="29"/>
      <c r="S91" s="147">
        <f t="shared" ca="1" si="19"/>
        <v>86.442089879430029</v>
      </c>
      <c r="T91" s="147">
        <f t="shared" ca="1" si="20"/>
        <v>102.86608695652174</v>
      </c>
      <c r="U91" s="148">
        <f t="shared" ca="1" si="21"/>
        <v>514.33043478260868</v>
      </c>
      <c r="V91" s="139"/>
    </row>
    <row r="92" spans="1:22" s="25" customFormat="1" ht="19.5" customHeight="1" x14ac:dyDescent="0.25">
      <c r="A92" s="29" t="s">
        <v>178</v>
      </c>
      <c r="B92" s="31" t="str">
        <f t="shared" ca="1" si="13"/>
        <v>Savmarta barna tuskes-Low-e 4mm-Low-e 4mm termó</v>
      </c>
      <c r="C92" s="29"/>
      <c r="D92" s="32">
        <f t="shared" ca="1" si="14"/>
        <v>556</v>
      </c>
      <c r="E92" s="29" t="s">
        <v>19</v>
      </c>
      <c r="F92" s="29"/>
      <c r="G92" s="29"/>
      <c r="H92" s="32">
        <f t="shared" ca="1" si="15"/>
        <v>473</v>
      </c>
      <c r="I92" s="29" t="s">
        <v>19</v>
      </c>
      <c r="J92" s="25" t="str">
        <f t="shared" ca="1" si="16"/>
        <v>Triplex</v>
      </c>
      <c r="N92" s="29" t="s">
        <v>178</v>
      </c>
      <c r="O92" s="32">
        <f t="shared" ca="1" si="17"/>
        <v>473</v>
      </c>
      <c r="P92" s="146">
        <f t="shared" ca="1" si="18"/>
        <v>435.98260869565217</v>
      </c>
      <c r="Q92" s="29"/>
      <c r="R92" s="29"/>
      <c r="S92" s="147">
        <f t="shared" ca="1" si="19"/>
        <v>73.274388016075989</v>
      </c>
      <c r="T92" s="147">
        <f t="shared" ca="1" si="20"/>
        <v>87.196521739130432</v>
      </c>
      <c r="U92" s="148">
        <f t="shared" ca="1" si="21"/>
        <v>435.98260869565217</v>
      </c>
      <c r="V92" s="139"/>
    </row>
    <row r="93" spans="1:22" s="25" customFormat="1" ht="19.5" customHeight="1" x14ac:dyDescent="0.25">
      <c r="A93" s="29" t="s">
        <v>179</v>
      </c>
      <c r="B93" s="31" t="str">
        <f t="shared" ref="B93:B156" ca="1" si="22">VLOOKUP(A93,TermekKod_data,2,FALSE)</f>
        <v>4 evszakos-Mintas uveg aprokockas-Low-e 4mm termó</v>
      </c>
      <c r="C93" s="29"/>
      <c r="D93" s="32">
        <f t="shared" ref="D93:D125" ca="1" si="23">VLOOKUP($A93,TermekKod_data,8,0)</f>
        <v>409</v>
      </c>
      <c r="E93" s="29" t="s">
        <v>19</v>
      </c>
      <c r="F93" s="29"/>
      <c r="G93" s="29"/>
      <c r="H93" s="32">
        <f t="shared" ref="H93:H155" ca="1" si="24">VLOOKUP($A93,TermekKod_data,9,0)</f>
        <v>348</v>
      </c>
      <c r="I93" s="29" t="s">
        <v>19</v>
      </c>
      <c r="J93" s="25" t="str">
        <f t="shared" ref="J93:J124" ca="1" si="25">VLOOKUP(A93,TermekKod_data,3,FALSE)</f>
        <v>Triplex</v>
      </c>
      <c r="N93" s="29" t="s">
        <v>179</v>
      </c>
      <c r="O93" s="32">
        <f t="shared" ca="1" si="17"/>
        <v>348</v>
      </c>
      <c r="P93" s="146">
        <f t="shared" ca="1" si="18"/>
        <v>320.76521739130436</v>
      </c>
      <c r="Q93" s="29"/>
      <c r="R93" s="29"/>
      <c r="S93" s="147">
        <f t="shared" ca="1" si="19"/>
        <v>53.91012056996712</v>
      </c>
      <c r="T93" s="147">
        <f t="shared" ca="1" si="20"/>
        <v>64.153043478260869</v>
      </c>
      <c r="U93" s="148">
        <f t="shared" ca="1" si="21"/>
        <v>320.76521739130436</v>
      </c>
      <c r="V93" s="139"/>
    </row>
    <row r="94" spans="1:22" s="25" customFormat="1" ht="19.5" customHeight="1" x14ac:dyDescent="0.25">
      <c r="A94" s="29" t="s">
        <v>180</v>
      </c>
      <c r="B94" s="31" t="str">
        <f t="shared" ca="1" si="22"/>
        <v>Savmarta barna palma-Low-e 4mm termó</v>
      </c>
      <c r="C94" s="29"/>
      <c r="D94" s="32">
        <f t="shared" ca="1" si="23"/>
        <v>400</v>
      </c>
      <c r="E94" s="29" t="s">
        <v>19</v>
      </c>
      <c r="F94" s="29"/>
      <c r="G94" s="29"/>
      <c r="H94" s="32">
        <f t="shared" ca="1" si="24"/>
        <v>340</v>
      </c>
      <c r="I94" s="29" t="s">
        <v>19</v>
      </c>
      <c r="J94" s="25" t="str">
        <f t="shared" ca="1" si="25"/>
        <v>Duplex</v>
      </c>
      <c r="N94" s="29" t="s">
        <v>180</v>
      </c>
      <c r="O94" s="32">
        <f t="shared" ca="1" si="17"/>
        <v>340</v>
      </c>
      <c r="P94" s="146">
        <f t="shared" ca="1" si="18"/>
        <v>313.39130434782606</v>
      </c>
      <c r="Q94" s="29"/>
      <c r="R94" s="29"/>
      <c r="S94" s="147">
        <f t="shared" ca="1" si="19"/>
        <v>52.670807453416145</v>
      </c>
      <c r="T94" s="147">
        <f t="shared" ca="1" si="20"/>
        <v>62.678260869565214</v>
      </c>
      <c r="U94" s="148">
        <f t="shared" ca="1" si="21"/>
        <v>313.39130434782606</v>
      </c>
      <c r="V94" s="139"/>
    </row>
    <row r="95" spans="1:22" s="25" customFormat="1" ht="19.5" customHeight="1" x14ac:dyDescent="0.25">
      <c r="A95" s="29" t="s">
        <v>181</v>
      </c>
      <c r="B95" s="31" t="str">
        <f t="shared" ca="1" si="22"/>
        <v>Savmarta feher Tegla-Low-e 4mm-Low-e 4mm termó</v>
      </c>
      <c r="C95" s="29"/>
      <c r="D95" s="32">
        <f t="shared" ca="1" si="23"/>
        <v>510</v>
      </c>
      <c r="E95" s="29" t="s">
        <v>19</v>
      </c>
      <c r="F95" s="29"/>
      <c r="G95" s="29"/>
      <c r="H95" s="32">
        <f t="shared" ca="1" si="24"/>
        <v>434</v>
      </c>
      <c r="I95" s="29" t="s">
        <v>19</v>
      </c>
      <c r="J95" s="25" t="str">
        <f t="shared" ca="1" si="25"/>
        <v>Triplex</v>
      </c>
      <c r="N95" s="29" t="s">
        <v>181</v>
      </c>
      <c r="O95" s="32">
        <f t="shared" ca="1" si="17"/>
        <v>434</v>
      </c>
      <c r="P95" s="146">
        <f t="shared" ca="1" si="18"/>
        <v>400.03478260869565</v>
      </c>
      <c r="Q95" s="29"/>
      <c r="R95" s="29"/>
      <c r="S95" s="147">
        <f t="shared" ca="1" si="19"/>
        <v>67.232736572890019</v>
      </c>
      <c r="T95" s="147">
        <f t="shared" ca="1" si="20"/>
        <v>80.006956521739127</v>
      </c>
      <c r="U95" s="148">
        <f t="shared" ca="1" si="21"/>
        <v>400.03478260869565</v>
      </c>
      <c r="V95" s="139"/>
    </row>
    <row r="96" spans="1:22" s="25" customFormat="1" ht="19.5" customHeight="1" x14ac:dyDescent="0.25">
      <c r="A96" s="29" t="s">
        <v>182</v>
      </c>
      <c r="B96" s="31" t="str">
        <f t="shared" ca="1" si="22"/>
        <v>Barna fatorzs-Low-e 4mm-Low-e 4mm termó</v>
      </c>
      <c r="C96" s="29"/>
      <c r="D96" s="32">
        <f t="shared" ca="1" si="23"/>
        <v>518</v>
      </c>
      <c r="E96" s="29" t="s">
        <v>19</v>
      </c>
      <c r="F96" s="29"/>
      <c r="G96" s="29"/>
      <c r="H96" s="32">
        <f t="shared" ca="1" si="24"/>
        <v>441</v>
      </c>
      <c r="I96" s="29" t="s">
        <v>19</v>
      </c>
      <c r="J96" s="25" t="str">
        <f t="shared" ca="1" si="25"/>
        <v>Triplex</v>
      </c>
      <c r="N96" s="29" t="s">
        <v>182</v>
      </c>
      <c r="O96" s="32">
        <f t="shared" ca="1" si="17"/>
        <v>441</v>
      </c>
      <c r="P96" s="146">
        <f t="shared" ca="1" si="18"/>
        <v>406.4869565217391</v>
      </c>
      <c r="Q96" s="29"/>
      <c r="R96" s="29"/>
      <c r="S96" s="147">
        <f t="shared" ca="1" si="19"/>
        <v>68.31713554987212</v>
      </c>
      <c r="T96" s="147">
        <f t="shared" ca="1" si="20"/>
        <v>81.297391304347826</v>
      </c>
      <c r="U96" s="148">
        <f t="shared" ca="1" si="21"/>
        <v>406.4869565217391</v>
      </c>
      <c r="V96" s="139"/>
    </row>
    <row r="97" spans="1:22" s="25" customFormat="1" ht="19.5" customHeight="1" x14ac:dyDescent="0.25">
      <c r="A97" s="29" t="s">
        <v>183</v>
      </c>
      <c r="B97" s="31" t="str">
        <f t="shared" ca="1" si="22"/>
        <v>4 evszakos-Feher csincsilla-Low-e 4mm termó</v>
      </c>
      <c r="C97" s="29"/>
      <c r="D97" s="32">
        <f t="shared" ca="1" si="23"/>
        <v>458</v>
      </c>
      <c r="E97" s="29" t="s">
        <v>19</v>
      </c>
      <c r="F97" s="29"/>
      <c r="G97" s="29"/>
      <c r="H97" s="32">
        <f t="shared" ca="1" si="24"/>
        <v>390</v>
      </c>
      <c r="I97" s="29" t="s">
        <v>19</v>
      </c>
      <c r="J97" s="25" t="str">
        <f t="shared" ca="1" si="25"/>
        <v>Triplex</v>
      </c>
      <c r="N97" s="29" t="s">
        <v>183</v>
      </c>
      <c r="O97" s="32">
        <f t="shared" ca="1" si="17"/>
        <v>390</v>
      </c>
      <c r="P97" s="146">
        <f t="shared" ca="1" si="18"/>
        <v>359.47826086956525</v>
      </c>
      <c r="Q97" s="29"/>
      <c r="R97" s="29"/>
      <c r="S97" s="147">
        <f t="shared" ca="1" si="19"/>
        <v>60.416514431859703</v>
      </c>
      <c r="T97" s="147">
        <f t="shared" ca="1" si="20"/>
        <v>71.895652173913049</v>
      </c>
      <c r="U97" s="148">
        <f t="shared" ca="1" si="21"/>
        <v>359.47826086956525</v>
      </c>
      <c r="V97" s="139"/>
    </row>
    <row r="98" spans="1:22" s="25" customFormat="1" ht="19.5" customHeight="1" x14ac:dyDescent="0.25">
      <c r="A98" s="29" t="s">
        <v>184</v>
      </c>
      <c r="B98" s="31" t="str">
        <f t="shared" ca="1" si="22"/>
        <v>4 evszakos-Duplex 3.1.3. termó</v>
      </c>
      <c r="C98" s="29"/>
      <c r="D98" s="32">
        <f t="shared" ca="1" si="23"/>
        <v>377</v>
      </c>
      <c r="E98" s="29" t="s">
        <v>19</v>
      </c>
      <c r="F98" s="29"/>
      <c r="G98" s="29"/>
      <c r="H98" s="32">
        <f t="shared" ca="1" si="24"/>
        <v>321</v>
      </c>
      <c r="I98" s="29" t="s">
        <v>19</v>
      </c>
      <c r="J98" s="25" t="str">
        <f t="shared" ca="1" si="25"/>
        <v>Duplex</v>
      </c>
      <c r="N98" s="29" t="s">
        <v>184</v>
      </c>
      <c r="O98" s="32">
        <f t="shared" ca="1" si="17"/>
        <v>321</v>
      </c>
      <c r="P98" s="146">
        <f t="shared" ca="1" si="18"/>
        <v>295.87826086956522</v>
      </c>
      <c r="Q98" s="29"/>
      <c r="R98" s="29"/>
      <c r="S98" s="147">
        <f t="shared" ca="1" si="19"/>
        <v>49.727438801607597</v>
      </c>
      <c r="T98" s="147">
        <f t="shared" ca="1" si="20"/>
        <v>59.175652173913043</v>
      </c>
      <c r="U98" s="148">
        <f t="shared" ca="1" si="21"/>
        <v>295.87826086956522</v>
      </c>
      <c r="V98" s="139"/>
    </row>
    <row r="99" spans="1:22" s="25" customFormat="1" ht="19.5" customHeight="1" x14ac:dyDescent="0.25">
      <c r="A99" s="29" t="s">
        <v>185</v>
      </c>
      <c r="B99" s="31" t="str">
        <f t="shared" ca="1" si="22"/>
        <v>Duplex 3.1.3.-Float 6mm termó</v>
      </c>
      <c r="C99" s="29"/>
      <c r="D99" s="32">
        <f t="shared" ca="1" si="23"/>
        <v>399</v>
      </c>
      <c r="E99" s="29" t="s">
        <v>19</v>
      </c>
      <c r="F99" s="29"/>
      <c r="G99" s="29"/>
      <c r="H99" s="32">
        <f t="shared" ca="1" si="24"/>
        <v>340</v>
      </c>
      <c r="I99" s="29" t="s">
        <v>19</v>
      </c>
      <c r="J99" s="25" t="str">
        <f t="shared" ca="1" si="25"/>
        <v>Duplex</v>
      </c>
      <c r="N99" s="29" t="s">
        <v>185</v>
      </c>
      <c r="O99" s="32">
        <f t="shared" ca="1" si="17"/>
        <v>340</v>
      </c>
      <c r="P99" s="146">
        <f t="shared" ca="1" si="18"/>
        <v>313.39130434782606</v>
      </c>
      <c r="Q99" s="29"/>
      <c r="R99" s="29"/>
      <c r="S99" s="147">
        <f t="shared" ca="1" si="19"/>
        <v>52.670807453416145</v>
      </c>
      <c r="T99" s="147">
        <f t="shared" ca="1" si="20"/>
        <v>62.678260869565214</v>
      </c>
      <c r="U99" s="148">
        <f t="shared" ca="1" si="21"/>
        <v>313.39130434782606</v>
      </c>
      <c r="V99" s="139"/>
    </row>
    <row r="100" spans="1:22" s="25" customFormat="1" ht="19.5" customHeight="1" x14ac:dyDescent="0.25">
      <c r="A100" s="29" t="s">
        <v>186</v>
      </c>
      <c r="B100" s="31" t="str">
        <f t="shared" ca="1" si="22"/>
        <v>Reflexios 4mm-Homokfujt 4mm termó</v>
      </c>
      <c r="C100" s="29"/>
      <c r="D100" s="32">
        <f t="shared" ca="1" si="23"/>
        <v>518</v>
      </c>
      <c r="E100" s="29" t="s">
        <v>19</v>
      </c>
      <c r="F100" s="29"/>
      <c r="G100" s="29"/>
      <c r="H100" s="32">
        <f t="shared" ca="1" si="24"/>
        <v>441</v>
      </c>
      <c r="I100" s="29" t="s">
        <v>19</v>
      </c>
      <c r="J100" s="25" t="str">
        <f t="shared" ca="1" si="25"/>
        <v>Duplex</v>
      </c>
      <c r="N100" s="29" t="s">
        <v>186</v>
      </c>
      <c r="O100" s="32">
        <f t="shared" ca="1" si="17"/>
        <v>441</v>
      </c>
      <c r="P100" s="146">
        <f t="shared" ca="1" si="18"/>
        <v>406.4869565217391</v>
      </c>
      <c r="Q100" s="29"/>
      <c r="R100" s="29"/>
      <c r="S100" s="147">
        <f t="shared" ca="1" si="19"/>
        <v>68.31713554987212</v>
      </c>
      <c r="T100" s="147">
        <f t="shared" ca="1" si="20"/>
        <v>81.297391304347826</v>
      </c>
      <c r="U100" s="148">
        <f t="shared" ca="1" si="21"/>
        <v>406.4869565217391</v>
      </c>
      <c r="V100" s="139"/>
    </row>
    <row r="101" spans="1:22" s="25" customFormat="1" ht="19.5" customHeight="1" x14ac:dyDescent="0.25">
      <c r="A101" s="29" t="s">
        <v>187</v>
      </c>
      <c r="B101" s="31" t="str">
        <f t="shared" ca="1" si="22"/>
        <v>Satin bronz-Float 4mm-Float 4mm termó</v>
      </c>
      <c r="C101" s="29"/>
      <c r="D101" s="32">
        <f t="shared" ca="1" si="23"/>
        <v>457</v>
      </c>
      <c r="E101" s="29" t="s">
        <v>19</v>
      </c>
      <c r="F101" s="29"/>
      <c r="G101" s="29"/>
      <c r="H101" s="32">
        <f t="shared" ca="1" si="24"/>
        <v>389</v>
      </c>
      <c r="I101" s="29" t="s">
        <v>19</v>
      </c>
      <c r="J101" s="25" t="str">
        <f t="shared" ca="1" si="25"/>
        <v>Triplex</v>
      </c>
      <c r="N101" s="29" t="s">
        <v>187</v>
      </c>
      <c r="O101" s="32">
        <f t="shared" ca="1" si="17"/>
        <v>389</v>
      </c>
      <c r="P101" s="146">
        <f t="shared" ca="1" si="18"/>
        <v>358.55652173913046</v>
      </c>
      <c r="Q101" s="29"/>
      <c r="R101" s="29"/>
      <c r="S101" s="147">
        <f t="shared" ca="1" si="19"/>
        <v>60.261600292290829</v>
      </c>
      <c r="T101" s="147">
        <f t="shared" ca="1" si="20"/>
        <v>71.711304347826086</v>
      </c>
      <c r="U101" s="148">
        <f t="shared" ca="1" si="21"/>
        <v>358.55652173913046</v>
      </c>
      <c r="V101" s="139"/>
    </row>
    <row r="102" spans="1:22" s="25" customFormat="1" ht="19.5" customHeight="1" x14ac:dyDescent="0.25">
      <c r="A102" s="29" t="s">
        <v>188</v>
      </c>
      <c r="B102" s="31" t="str">
        <f t="shared" ca="1" si="22"/>
        <v>Mintas uveg delta 2-Low-e 4mm-Low-e 4mm termó</v>
      </c>
      <c r="C102" s="29"/>
      <c r="D102" s="32">
        <f t="shared" ca="1" si="23"/>
        <v>412</v>
      </c>
      <c r="E102" s="29" t="s">
        <v>19</v>
      </c>
      <c r="F102" s="29"/>
      <c r="G102" s="29"/>
      <c r="H102" s="32">
        <f t="shared" ca="1" si="24"/>
        <v>351</v>
      </c>
      <c r="I102" s="29" t="s">
        <v>19</v>
      </c>
      <c r="J102" s="25" t="str">
        <f t="shared" ca="1" si="25"/>
        <v>Triplex</v>
      </c>
      <c r="N102" s="29" t="s">
        <v>188</v>
      </c>
      <c r="O102" s="32">
        <f t="shared" ca="1" si="17"/>
        <v>351</v>
      </c>
      <c r="P102" s="146">
        <f t="shared" ca="1" si="18"/>
        <v>323.53043478260872</v>
      </c>
      <c r="Q102" s="29"/>
      <c r="R102" s="29"/>
      <c r="S102" s="147">
        <f t="shared" ca="1" si="19"/>
        <v>54.374862988673733</v>
      </c>
      <c r="T102" s="147">
        <f t="shared" ca="1" si="20"/>
        <v>64.706086956521744</v>
      </c>
      <c r="U102" s="148">
        <f t="shared" ca="1" si="21"/>
        <v>323.53043478260872</v>
      </c>
      <c r="V102" s="139"/>
    </row>
    <row r="103" spans="1:22" s="25" customFormat="1" ht="19.5" customHeight="1" x14ac:dyDescent="0.25">
      <c r="A103" s="29" t="s">
        <v>189</v>
      </c>
      <c r="B103" s="31" t="str">
        <f t="shared" ca="1" si="22"/>
        <v>Fehér hóvirág-Low-e 4mm termó</v>
      </c>
      <c r="C103" s="29"/>
      <c r="D103" s="32">
        <f t="shared" ca="1" si="23"/>
        <v>354</v>
      </c>
      <c r="E103" s="29" t="s">
        <v>19</v>
      </c>
      <c r="F103" s="29"/>
      <c r="G103" s="29"/>
      <c r="H103" s="32">
        <f t="shared" ca="1" si="24"/>
        <v>301</v>
      </c>
      <c r="I103" s="29" t="s">
        <v>19</v>
      </c>
      <c r="J103" s="25" t="str">
        <f t="shared" ca="1" si="25"/>
        <v>Duplex</v>
      </c>
      <c r="N103" s="29" t="s">
        <v>189</v>
      </c>
      <c r="O103" s="32">
        <f t="shared" ca="1" si="17"/>
        <v>301</v>
      </c>
      <c r="P103" s="146">
        <f t="shared" ca="1" si="18"/>
        <v>277.44347826086954</v>
      </c>
      <c r="Q103" s="29"/>
      <c r="R103" s="29"/>
      <c r="S103" s="147">
        <f t="shared" ca="1" si="19"/>
        <v>46.629156010230176</v>
      </c>
      <c r="T103" s="147">
        <f t="shared" ca="1" si="20"/>
        <v>55.488695652173909</v>
      </c>
      <c r="U103" s="148">
        <f t="shared" ca="1" si="21"/>
        <v>277.44347826086954</v>
      </c>
      <c r="V103" s="139"/>
    </row>
    <row r="104" spans="1:22" s="25" customFormat="1" ht="19.5" customHeight="1" x14ac:dyDescent="0.25">
      <c r="A104" s="29" t="s">
        <v>190</v>
      </c>
      <c r="B104" s="31" t="str">
        <f t="shared" ca="1" si="22"/>
        <v>Float 6mm-Float 6mm termó</v>
      </c>
      <c r="C104" s="29"/>
      <c r="D104" s="32">
        <f t="shared" ca="1" si="23"/>
        <v>297</v>
      </c>
      <c r="E104" s="29" t="s">
        <v>19</v>
      </c>
      <c r="F104" s="29"/>
      <c r="G104" s="29"/>
      <c r="H104" s="32">
        <f t="shared" ca="1" si="24"/>
        <v>253</v>
      </c>
      <c r="I104" s="29" t="s">
        <v>19</v>
      </c>
      <c r="J104" s="25" t="str">
        <f t="shared" ca="1" si="25"/>
        <v>Duplex</v>
      </c>
      <c r="N104" s="29" t="s">
        <v>190</v>
      </c>
      <c r="O104" s="32">
        <f t="shared" ca="1" si="17"/>
        <v>253</v>
      </c>
      <c r="P104" s="146">
        <f t="shared" ca="1" si="18"/>
        <v>233.2</v>
      </c>
      <c r="Q104" s="29"/>
      <c r="R104" s="29"/>
      <c r="S104" s="147">
        <f t="shared" ca="1" si="19"/>
        <v>39.193277310924373</v>
      </c>
      <c r="T104" s="147">
        <f t="shared" ca="1" si="20"/>
        <v>46.64</v>
      </c>
      <c r="U104" s="148">
        <f t="shared" ca="1" si="21"/>
        <v>233.2</v>
      </c>
      <c r="V104" s="139"/>
    </row>
    <row r="105" spans="1:22" s="25" customFormat="1" ht="19.5" customHeight="1" x14ac:dyDescent="0.25">
      <c r="A105" s="29" t="s">
        <v>191</v>
      </c>
      <c r="B105" s="31" t="str">
        <f t="shared" ca="1" si="22"/>
        <v>Barna delta 2-Float 4mm-Low-e 4mm termó</v>
      </c>
      <c r="C105" s="29"/>
      <c r="D105" s="32">
        <f t="shared" ca="1" si="23"/>
        <v>500</v>
      </c>
      <c r="E105" s="29" t="s">
        <v>19</v>
      </c>
      <c r="F105" s="29"/>
      <c r="G105" s="29"/>
      <c r="H105" s="32">
        <f t="shared" ca="1" si="24"/>
        <v>425</v>
      </c>
      <c r="I105" s="29" t="s">
        <v>19</v>
      </c>
      <c r="J105" s="25" t="str">
        <f t="shared" ca="1" si="25"/>
        <v>Triplex</v>
      </c>
      <c r="N105" s="29" t="s">
        <v>191</v>
      </c>
      <c r="O105" s="32">
        <f t="shared" ca="1" si="17"/>
        <v>425</v>
      </c>
      <c r="P105" s="146">
        <f t="shared" ca="1" si="18"/>
        <v>391.73913043478262</v>
      </c>
      <c r="Q105" s="29"/>
      <c r="R105" s="29"/>
      <c r="S105" s="147">
        <f t="shared" ca="1" si="19"/>
        <v>65.8385093167702</v>
      </c>
      <c r="T105" s="147">
        <f t="shared" ca="1" si="20"/>
        <v>78.34782608695653</v>
      </c>
      <c r="U105" s="148">
        <f t="shared" ca="1" si="21"/>
        <v>391.73913043478262</v>
      </c>
      <c r="V105" s="139"/>
    </row>
    <row r="106" spans="1:22" s="25" customFormat="1" ht="19.5" customHeight="1" x14ac:dyDescent="0.25">
      <c r="A106" s="29" t="s">
        <v>192</v>
      </c>
      <c r="B106" s="31" t="str">
        <f t="shared" ca="1" si="22"/>
        <v>Feher screen-Float 4mm termó</v>
      </c>
      <c r="C106" s="29"/>
      <c r="D106" s="32">
        <f t="shared" ca="1" si="23"/>
        <v>287</v>
      </c>
      <c r="E106" s="29" t="s">
        <v>19</v>
      </c>
      <c r="F106" s="29"/>
      <c r="G106" s="29"/>
      <c r="H106" s="32">
        <f t="shared" ca="1" si="24"/>
        <v>244</v>
      </c>
      <c r="I106" s="29" t="s">
        <v>19</v>
      </c>
      <c r="J106" s="25" t="str">
        <f t="shared" ca="1" si="25"/>
        <v>Duplex</v>
      </c>
      <c r="N106" s="29" t="s">
        <v>192</v>
      </c>
      <c r="O106" s="32">
        <f t="shared" ca="1" si="17"/>
        <v>244</v>
      </c>
      <c r="P106" s="146">
        <f t="shared" ca="1" si="18"/>
        <v>224.90434782608696</v>
      </c>
      <c r="Q106" s="29"/>
      <c r="R106" s="29"/>
      <c r="S106" s="147">
        <f t="shared" ca="1" si="19"/>
        <v>37.799050054804525</v>
      </c>
      <c r="T106" s="147">
        <f t="shared" ca="1" si="20"/>
        <v>44.98086956521739</v>
      </c>
      <c r="U106" s="148">
        <f t="shared" ca="1" si="21"/>
        <v>224.90434782608696</v>
      </c>
      <c r="V106" s="139"/>
    </row>
    <row r="107" spans="1:22" s="25" customFormat="1" ht="19.5" customHeight="1" x14ac:dyDescent="0.25">
      <c r="A107" s="29" t="s">
        <v>195</v>
      </c>
      <c r="B107" s="31" t="str">
        <f t="shared" ca="1" si="22"/>
        <v>Lowe 6 mm-Float 6mm termó</v>
      </c>
      <c r="C107" s="29"/>
      <c r="D107" s="32">
        <f t="shared" ca="1" si="23"/>
        <v>374</v>
      </c>
      <c r="E107" s="29" t="s">
        <v>19</v>
      </c>
      <c r="F107" s="29"/>
      <c r="G107" s="29"/>
      <c r="H107" s="32">
        <f t="shared" ca="1" si="24"/>
        <v>318</v>
      </c>
      <c r="I107" s="29" t="s">
        <v>19</v>
      </c>
      <c r="J107" s="25" t="str">
        <f t="shared" ca="1" si="25"/>
        <v>Duplex</v>
      </c>
      <c r="N107" s="29" t="s">
        <v>195</v>
      </c>
      <c r="O107" s="32">
        <f t="shared" ca="1" si="17"/>
        <v>318</v>
      </c>
      <c r="P107" s="146">
        <f t="shared" ca="1" si="18"/>
        <v>293.11304347826086</v>
      </c>
      <c r="Q107" s="29"/>
      <c r="R107" s="29"/>
      <c r="S107" s="147">
        <f t="shared" ca="1" si="19"/>
        <v>49.262696382900984</v>
      </c>
      <c r="T107" s="147">
        <f t="shared" ca="1" si="20"/>
        <v>58.622608695652175</v>
      </c>
      <c r="U107" s="148">
        <f t="shared" ca="1" si="21"/>
        <v>293.11304347826086</v>
      </c>
      <c r="V107" s="139"/>
    </row>
    <row r="108" spans="1:22" s="25" customFormat="1" ht="19.5" customHeight="1" x14ac:dyDescent="0.25">
      <c r="A108" s="29" t="s">
        <v>196</v>
      </c>
      <c r="B108" s="31" t="str">
        <f t="shared" ca="1" si="22"/>
        <v>Fustos 4mm-Low-e 4mm-Low-e 4mm termó</v>
      </c>
      <c r="C108" s="29"/>
      <c r="D108" s="32">
        <f t="shared" ca="1" si="23"/>
        <v>467</v>
      </c>
      <c r="E108" s="29" t="s">
        <v>19</v>
      </c>
      <c r="F108" s="29"/>
      <c r="G108" s="29"/>
      <c r="H108" s="32">
        <f t="shared" ca="1" si="24"/>
        <v>397</v>
      </c>
      <c r="I108" s="29" t="s">
        <v>19</v>
      </c>
      <c r="J108" s="25" t="str">
        <f t="shared" ca="1" si="25"/>
        <v>Triplex</v>
      </c>
      <c r="N108" s="29" t="s">
        <v>196</v>
      </c>
      <c r="O108" s="32">
        <f t="shared" ca="1" si="17"/>
        <v>397</v>
      </c>
      <c r="P108" s="146">
        <f t="shared" ca="1" si="18"/>
        <v>365.9304347826087</v>
      </c>
      <c r="Q108" s="29"/>
      <c r="R108" s="29"/>
      <c r="S108" s="147">
        <f t="shared" ca="1" si="19"/>
        <v>61.500913408841797</v>
      </c>
      <c r="T108" s="147">
        <f t="shared" ca="1" si="20"/>
        <v>73.186086956521734</v>
      </c>
      <c r="U108" s="148">
        <f t="shared" ca="1" si="21"/>
        <v>365.9304347826087</v>
      </c>
      <c r="V108" s="139"/>
    </row>
    <row r="109" spans="1:22" s="25" customFormat="1" ht="19.5" customHeight="1" x14ac:dyDescent="0.25">
      <c r="A109" s="29" t="s">
        <v>197</v>
      </c>
      <c r="B109" s="31" t="str">
        <f t="shared" ca="1" si="22"/>
        <v>4 evszakos-Float 4mm termó</v>
      </c>
      <c r="C109" s="29"/>
      <c r="D109" s="32">
        <f t="shared" ca="1" si="23"/>
        <v>238</v>
      </c>
      <c r="E109" s="29" t="s">
        <v>19</v>
      </c>
      <c r="F109" s="29"/>
      <c r="G109" s="29"/>
      <c r="H109" s="32">
        <f t="shared" ca="1" si="24"/>
        <v>203</v>
      </c>
      <c r="I109" s="29" t="s">
        <v>19</v>
      </c>
      <c r="J109" s="25" t="str">
        <f t="shared" ca="1" si="25"/>
        <v>Duplex</v>
      </c>
      <c r="N109" s="29" t="s">
        <v>197</v>
      </c>
      <c r="O109" s="32">
        <f t="shared" ca="1" si="17"/>
        <v>203</v>
      </c>
      <c r="P109" s="146">
        <f t="shared" ca="1" si="18"/>
        <v>187.11304347826086</v>
      </c>
      <c r="Q109" s="29"/>
      <c r="R109" s="29"/>
      <c r="S109" s="147">
        <f t="shared" ca="1" si="19"/>
        <v>31.447570332480815</v>
      </c>
      <c r="T109" s="147">
        <f t="shared" ca="1" si="20"/>
        <v>37.422608695652173</v>
      </c>
      <c r="U109" s="148">
        <f t="shared" ca="1" si="21"/>
        <v>187.11304347826086</v>
      </c>
      <c r="V109" s="139"/>
    </row>
    <row r="110" spans="1:22" s="25" customFormat="1" ht="19.5" customHeight="1" x14ac:dyDescent="0.25">
      <c r="A110" s="29" t="s">
        <v>198</v>
      </c>
      <c r="B110" s="31" t="str">
        <f t="shared" ca="1" si="22"/>
        <v>Duplex 3.1.3.-Homokfujt 4mm-Duplex 3.1.3. termó</v>
      </c>
      <c r="C110" s="29"/>
      <c r="D110" s="32">
        <f t="shared" ca="1" si="23"/>
        <v>709</v>
      </c>
      <c r="E110" s="29" t="s">
        <v>19</v>
      </c>
      <c r="F110" s="29"/>
      <c r="G110" s="29"/>
      <c r="H110" s="32">
        <f t="shared" ca="1" si="24"/>
        <v>603</v>
      </c>
      <c r="I110" s="29" t="s">
        <v>19</v>
      </c>
      <c r="J110" s="25" t="str">
        <f t="shared" ca="1" si="25"/>
        <v>Triplex</v>
      </c>
      <c r="N110" s="29" t="s">
        <v>198</v>
      </c>
      <c r="O110" s="32">
        <f t="shared" ca="1" si="17"/>
        <v>603</v>
      </c>
      <c r="P110" s="146">
        <f t="shared" ca="1" si="18"/>
        <v>555.80869565217392</v>
      </c>
      <c r="Q110" s="29"/>
      <c r="R110" s="29"/>
      <c r="S110" s="147">
        <f t="shared" ca="1" si="19"/>
        <v>93.413226160029225</v>
      </c>
      <c r="T110" s="147">
        <f t="shared" ca="1" si="20"/>
        <v>111.16173913043478</v>
      </c>
      <c r="U110" s="148">
        <f t="shared" ca="1" si="21"/>
        <v>555.80869565217392</v>
      </c>
      <c r="V110" s="139"/>
    </row>
    <row r="111" spans="1:22" s="25" customFormat="1" ht="19.5" customHeight="1" x14ac:dyDescent="0.25">
      <c r="A111" s="29" t="s">
        <v>199</v>
      </c>
      <c r="B111" s="31" t="str">
        <f t="shared" ca="1" si="22"/>
        <v>Reflexios 4mm-Lowe 6 mm termó</v>
      </c>
      <c r="C111" s="29"/>
      <c r="D111" s="32">
        <f t="shared" ca="1" si="23"/>
        <v>562</v>
      </c>
      <c r="E111" s="29" t="s">
        <v>19</v>
      </c>
      <c r="F111" s="29"/>
      <c r="G111" s="29"/>
      <c r="H111" s="32">
        <f t="shared" ca="1" si="24"/>
        <v>478</v>
      </c>
      <c r="I111" s="29" t="s">
        <v>19</v>
      </c>
      <c r="J111" s="25" t="str">
        <f t="shared" ca="1" si="25"/>
        <v>Duplex</v>
      </c>
      <c r="N111" s="29" t="s">
        <v>199</v>
      </c>
      <c r="O111" s="32">
        <f t="shared" ca="1" si="17"/>
        <v>478</v>
      </c>
      <c r="P111" s="146">
        <f t="shared" ca="1" si="18"/>
        <v>440.59130434782611</v>
      </c>
      <c r="Q111" s="29"/>
      <c r="R111" s="29"/>
      <c r="S111" s="147">
        <f t="shared" ca="1" si="19"/>
        <v>74.048958713920356</v>
      </c>
      <c r="T111" s="147">
        <f t="shared" ca="1" si="20"/>
        <v>88.118260869565219</v>
      </c>
      <c r="U111" s="148">
        <f t="shared" ca="1" si="21"/>
        <v>440.59130434782611</v>
      </c>
      <c r="V111" s="139"/>
    </row>
    <row r="112" spans="1:22" s="25" customFormat="1" ht="19.5" customHeight="1" x14ac:dyDescent="0.25">
      <c r="A112" s="29" t="s">
        <v>200</v>
      </c>
      <c r="B112" s="31" t="str">
        <f t="shared" ca="1" si="22"/>
        <v>Reflexios 4mm-Homokfujt 4mm-Low-e 4mm termó</v>
      </c>
      <c r="C112" s="29"/>
      <c r="D112" s="32">
        <f t="shared" ca="1" si="23"/>
        <v>674</v>
      </c>
      <c r="E112" s="29" t="s">
        <v>19</v>
      </c>
      <c r="F112" s="29"/>
      <c r="G112" s="29"/>
      <c r="H112" s="32">
        <f t="shared" ca="1" si="24"/>
        <v>573</v>
      </c>
      <c r="I112" s="29" t="s">
        <v>19</v>
      </c>
      <c r="J112" s="25" t="str">
        <f t="shared" ca="1" si="25"/>
        <v>Triplex</v>
      </c>
      <c r="N112" s="29" t="s">
        <v>200</v>
      </c>
      <c r="O112" s="32">
        <f t="shared" ca="1" si="17"/>
        <v>573</v>
      </c>
      <c r="P112" s="146">
        <f t="shared" ca="1" si="18"/>
        <v>528.15652173913043</v>
      </c>
      <c r="Q112" s="29"/>
      <c r="R112" s="29"/>
      <c r="S112" s="147">
        <f t="shared" ca="1" si="19"/>
        <v>88.765801972963104</v>
      </c>
      <c r="T112" s="147">
        <f t="shared" ca="1" si="20"/>
        <v>105.63130434782609</v>
      </c>
      <c r="U112" s="148">
        <f t="shared" ca="1" si="21"/>
        <v>528.15652173913043</v>
      </c>
      <c r="V112" s="139"/>
    </row>
    <row r="113" spans="1:22" s="25" customFormat="1" ht="19.5" customHeight="1" x14ac:dyDescent="0.25">
      <c r="A113" s="29" t="s">
        <v>201</v>
      </c>
      <c r="B113" s="31" t="str">
        <f t="shared" ca="1" si="22"/>
        <v>Fustos 4mm-Float 4mm-Low-e 4mm termó</v>
      </c>
      <c r="C113" s="29"/>
      <c r="D113" s="32">
        <f t="shared" ca="1" si="23"/>
        <v>449</v>
      </c>
      <c r="E113" s="29" t="s">
        <v>19</v>
      </c>
      <c r="F113" s="29"/>
      <c r="G113" s="29"/>
      <c r="H113" s="32">
        <f t="shared" ca="1" si="24"/>
        <v>382</v>
      </c>
      <c r="I113" s="29" t="s">
        <v>19</v>
      </c>
      <c r="J113" s="25" t="str">
        <f t="shared" ca="1" si="25"/>
        <v>Triplex</v>
      </c>
      <c r="N113" s="29" t="s">
        <v>201</v>
      </c>
      <c r="O113" s="32">
        <f t="shared" ca="1" si="17"/>
        <v>382</v>
      </c>
      <c r="P113" s="146">
        <f t="shared" ca="1" si="18"/>
        <v>352.10434782608695</v>
      </c>
      <c r="Q113" s="29"/>
      <c r="R113" s="29"/>
      <c r="S113" s="147">
        <f t="shared" ca="1" si="19"/>
        <v>59.177201315308729</v>
      </c>
      <c r="T113" s="147">
        <f t="shared" ca="1" si="20"/>
        <v>70.420869565217387</v>
      </c>
      <c r="U113" s="148">
        <f t="shared" ca="1" si="21"/>
        <v>352.10434782608695</v>
      </c>
      <c r="V113" s="139"/>
    </row>
    <row r="114" spans="1:22" s="25" customFormat="1" ht="19.5" customHeight="1" x14ac:dyDescent="0.25">
      <c r="A114" s="29" t="s">
        <v>202</v>
      </c>
      <c r="B114" s="31" t="str">
        <f t="shared" ca="1" si="22"/>
        <v>Feher screen-Low-e 4mm-Low-e 4mm termó</v>
      </c>
      <c r="C114" s="29"/>
      <c r="D114" s="32">
        <f t="shared" ca="1" si="23"/>
        <v>461</v>
      </c>
      <c r="E114" s="29" t="s">
        <v>19</v>
      </c>
      <c r="F114" s="29"/>
      <c r="G114" s="29"/>
      <c r="H114" s="32">
        <f t="shared" ca="1" si="24"/>
        <v>392</v>
      </c>
      <c r="I114" s="29" t="s">
        <v>19</v>
      </c>
      <c r="J114" s="25" t="str">
        <f t="shared" ca="1" si="25"/>
        <v>Triplex</v>
      </c>
      <c r="N114" s="29" t="s">
        <v>202</v>
      </c>
      <c r="O114" s="32">
        <f t="shared" ca="1" si="17"/>
        <v>392</v>
      </c>
      <c r="P114" s="146">
        <f t="shared" ca="1" si="18"/>
        <v>361.32173913043476</v>
      </c>
      <c r="Q114" s="29"/>
      <c r="R114" s="29"/>
      <c r="S114" s="147">
        <f t="shared" ca="1" si="19"/>
        <v>60.726342710997436</v>
      </c>
      <c r="T114" s="147">
        <f t="shared" ca="1" si="20"/>
        <v>72.264347826086947</v>
      </c>
      <c r="U114" s="148">
        <f t="shared" ca="1" si="21"/>
        <v>361.32173913043476</v>
      </c>
      <c r="V114" s="139"/>
    </row>
    <row r="115" spans="1:22" s="25" customFormat="1" ht="19.5" customHeight="1" x14ac:dyDescent="0.25">
      <c r="A115" s="29" t="s">
        <v>203</v>
      </c>
      <c r="B115" s="31" t="str">
        <f t="shared" ca="1" si="22"/>
        <v>Tukor 4mm-Homokfujt 4mm termó</v>
      </c>
      <c r="C115" s="29"/>
      <c r="D115" s="32">
        <f t="shared" ca="1" si="23"/>
        <v>441</v>
      </c>
      <c r="E115" s="29" t="s">
        <v>19</v>
      </c>
      <c r="F115" s="29"/>
      <c r="G115" s="29"/>
      <c r="H115" s="32">
        <f t="shared" ca="1" si="24"/>
        <v>375</v>
      </c>
      <c r="I115" s="29" t="s">
        <v>19</v>
      </c>
      <c r="J115" s="25" t="str">
        <f t="shared" ca="1" si="25"/>
        <v>Duplex</v>
      </c>
      <c r="N115" s="29" t="s">
        <v>203</v>
      </c>
      <c r="O115" s="32">
        <f t="shared" ca="1" si="17"/>
        <v>375</v>
      </c>
      <c r="P115" s="146">
        <f t="shared" ca="1" si="18"/>
        <v>345.6521739130435</v>
      </c>
      <c r="Q115" s="29"/>
      <c r="R115" s="29"/>
      <c r="S115" s="147">
        <f t="shared" ca="1" si="19"/>
        <v>58.092802338326642</v>
      </c>
      <c r="T115" s="147">
        <f t="shared" ca="1" si="20"/>
        <v>69.130434782608702</v>
      </c>
      <c r="U115" s="148">
        <f t="shared" ca="1" si="21"/>
        <v>345.6521739130435</v>
      </c>
      <c r="V115" s="139"/>
    </row>
    <row r="116" spans="1:22" s="25" customFormat="1" ht="19.5" customHeight="1" x14ac:dyDescent="0.25">
      <c r="A116" s="29" t="s">
        <v>204</v>
      </c>
      <c r="B116" s="31" t="str">
        <f t="shared" ca="1" si="22"/>
        <v>Satin bronz-Float 4mm-Low-e 4mm termó</v>
      </c>
      <c r="C116" s="29"/>
      <c r="D116" s="32">
        <f t="shared" ca="1" si="23"/>
        <v>475</v>
      </c>
      <c r="E116" s="29" t="s">
        <v>19</v>
      </c>
      <c r="F116" s="29"/>
      <c r="G116" s="29"/>
      <c r="H116" s="32">
        <f t="shared" ca="1" si="24"/>
        <v>404</v>
      </c>
      <c r="I116" s="29" t="s">
        <v>19</v>
      </c>
      <c r="J116" s="25" t="str">
        <f t="shared" ca="1" si="25"/>
        <v>Triplex</v>
      </c>
      <c r="N116" s="29" t="s">
        <v>204</v>
      </c>
      <c r="O116" s="32">
        <f t="shared" ca="1" si="17"/>
        <v>404</v>
      </c>
      <c r="P116" s="146">
        <f t="shared" ca="1" si="18"/>
        <v>372.38260869565215</v>
      </c>
      <c r="Q116" s="29"/>
      <c r="R116" s="29"/>
      <c r="S116" s="147">
        <f t="shared" ca="1" si="19"/>
        <v>62.585312385823897</v>
      </c>
      <c r="T116" s="147">
        <f t="shared" ca="1" si="20"/>
        <v>74.476521739130433</v>
      </c>
      <c r="U116" s="148">
        <f t="shared" ca="1" si="21"/>
        <v>372.38260869565215</v>
      </c>
      <c r="V116" s="139"/>
    </row>
    <row r="117" spans="1:22" s="25" customFormat="1" ht="19.5" customHeight="1" x14ac:dyDescent="0.25">
      <c r="A117" s="29" t="s">
        <v>205</v>
      </c>
      <c r="B117" s="31" t="str">
        <f t="shared" ca="1" si="22"/>
        <v>Feher csincsilla-Float 4mm-Low-e 4mm termó</v>
      </c>
      <c r="C117" s="29"/>
      <c r="D117" s="32">
        <f t="shared" ca="1" si="23"/>
        <v>443</v>
      </c>
      <c r="E117" s="29" t="s">
        <v>19</v>
      </c>
      <c r="F117" s="29"/>
      <c r="G117" s="29"/>
      <c r="H117" s="32">
        <f t="shared" ca="1" si="24"/>
        <v>377</v>
      </c>
      <c r="I117" s="29" t="s">
        <v>19</v>
      </c>
      <c r="J117" s="25" t="str">
        <f t="shared" ca="1" si="25"/>
        <v>Triplex</v>
      </c>
      <c r="N117" s="29" t="s">
        <v>205</v>
      </c>
      <c r="O117" s="32">
        <f t="shared" ca="1" si="17"/>
        <v>377</v>
      </c>
      <c r="P117" s="146">
        <f t="shared" ca="1" si="18"/>
        <v>347.49565217391307</v>
      </c>
      <c r="Q117" s="29"/>
      <c r="R117" s="29"/>
      <c r="S117" s="147">
        <f t="shared" ca="1" si="19"/>
        <v>58.402630617464382</v>
      </c>
      <c r="T117" s="147">
        <f t="shared" ca="1" si="20"/>
        <v>69.499130434782614</v>
      </c>
      <c r="U117" s="148">
        <f t="shared" ca="1" si="21"/>
        <v>347.49565217391307</v>
      </c>
      <c r="V117" s="139"/>
    </row>
    <row r="118" spans="1:22" ht="15.75" x14ac:dyDescent="0.25">
      <c r="A118" s="20" t="s">
        <v>352</v>
      </c>
      <c r="B118" s="31" t="str">
        <f t="shared" ca="1" si="22"/>
        <v>4 evszakos-Float 6mm-Low-e 4mm termó</v>
      </c>
      <c r="C118" s="20"/>
      <c r="D118" s="32">
        <f t="shared" ca="1" si="23"/>
        <v>431</v>
      </c>
      <c r="E118" s="29" t="s">
        <v>19</v>
      </c>
      <c r="F118" s="29"/>
      <c r="G118" s="29"/>
      <c r="H118" s="32">
        <f t="shared" ca="1" si="24"/>
        <v>367</v>
      </c>
      <c r="I118" s="29" t="s">
        <v>19</v>
      </c>
      <c r="J118" s="25" t="str">
        <f t="shared" ca="1" si="25"/>
        <v>Triplex</v>
      </c>
      <c r="M118" s="25"/>
      <c r="N118" s="29" t="s">
        <v>206</v>
      </c>
      <c r="O118" s="29">
        <v>255</v>
      </c>
      <c r="P118" s="146">
        <f t="shared" si="18"/>
        <v>235.04347826086956</v>
      </c>
      <c r="Q118" s="29"/>
      <c r="R118" s="29"/>
      <c r="S118" s="147">
        <f t="shared" si="19"/>
        <v>39.503105590062113</v>
      </c>
      <c r="T118" s="147">
        <f t="shared" si="20"/>
        <v>47.008695652173913</v>
      </c>
      <c r="U118" s="148">
        <f t="shared" si="21"/>
        <v>235.04347826086956</v>
      </c>
      <c r="V118" s="139"/>
    </row>
    <row r="119" spans="1:22" ht="15.75" x14ac:dyDescent="0.25">
      <c r="A119" s="20" t="s">
        <v>322</v>
      </c>
      <c r="B119" s="31" t="str">
        <f t="shared" ca="1" si="22"/>
        <v>Duplex 3.1.3.-Feher screen-Low-e 4mm termó</v>
      </c>
      <c r="C119" s="20"/>
      <c r="D119" s="32">
        <f t="shared" ca="1" si="23"/>
        <v>582</v>
      </c>
      <c r="E119" s="29" t="s">
        <v>19</v>
      </c>
      <c r="F119" s="29"/>
      <c r="G119" s="29"/>
      <c r="H119" s="32">
        <f t="shared" ca="1" si="24"/>
        <v>495</v>
      </c>
      <c r="I119" s="29" t="s">
        <v>19</v>
      </c>
      <c r="J119" s="25" t="str">
        <f t="shared" ca="1" si="25"/>
        <v>Triplex</v>
      </c>
      <c r="M119" s="25"/>
      <c r="N119" s="29" t="s">
        <v>322</v>
      </c>
      <c r="O119" s="29">
        <v>346</v>
      </c>
      <c r="P119" s="146">
        <f t="shared" si="18"/>
        <v>318.92173913043479</v>
      </c>
      <c r="Q119" s="29"/>
      <c r="R119" s="29"/>
      <c r="S119" s="147">
        <f t="shared" si="19"/>
        <v>53.600292290829373</v>
      </c>
      <c r="T119" s="147">
        <f t="shared" si="20"/>
        <v>63.784347826086957</v>
      </c>
      <c r="U119" s="148">
        <f t="shared" si="21"/>
        <v>318.92173913043479</v>
      </c>
      <c r="V119" s="139"/>
    </row>
    <row r="120" spans="1:22" ht="15.75" x14ac:dyDescent="0.25">
      <c r="A120" s="20" t="s">
        <v>353</v>
      </c>
      <c r="B120" s="31" t="str">
        <f t="shared" ca="1" si="22"/>
        <v>Duplex 3.1.3.-Reflexios 4mm-Low-e 4mm termó</v>
      </c>
      <c r="C120" s="20"/>
      <c r="D120" s="32">
        <f t="shared" ca="1" si="23"/>
        <v>734</v>
      </c>
      <c r="E120" s="29" t="s">
        <v>19</v>
      </c>
      <c r="F120" s="29"/>
      <c r="G120" s="29"/>
      <c r="H120" s="32">
        <f t="shared" ca="1" si="24"/>
        <v>624</v>
      </c>
      <c r="I120" s="29" t="s">
        <v>19</v>
      </c>
      <c r="J120" s="25" t="str">
        <f t="shared" ca="1" si="25"/>
        <v>Triplex</v>
      </c>
      <c r="M120" s="25"/>
      <c r="N120" s="29" t="s">
        <v>321</v>
      </c>
      <c r="O120" s="29">
        <v>417</v>
      </c>
      <c r="P120" s="146">
        <f t="shared" si="18"/>
        <v>384.36521739130433</v>
      </c>
      <c r="Q120" s="29"/>
      <c r="R120" s="29"/>
      <c r="S120" s="147">
        <f t="shared" si="19"/>
        <v>64.599196200219211</v>
      </c>
      <c r="T120" s="147">
        <f t="shared" si="20"/>
        <v>76.873043478260868</v>
      </c>
      <c r="U120" s="148">
        <f t="shared" si="21"/>
        <v>384.36521739130433</v>
      </c>
      <c r="V120" s="139"/>
    </row>
    <row r="121" spans="1:22" ht="15.75" x14ac:dyDescent="0.25">
      <c r="A121" s="20" t="s">
        <v>350</v>
      </c>
      <c r="B121" s="31" t="str">
        <f t="shared" ca="1" si="22"/>
        <v>Lowe 6 mm-4 evszakos termó</v>
      </c>
      <c r="C121" s="20"/>
      <c r="D121" s="32">
        <f t="shared" ca="1" si="23"/>
        <v>352</v>
      </c>
      <c r="E121" s="29" t="s">
        <v>19</v>
      </c>
      <c r="F121" s="29"/>
      <c r="G121" s="29"/>
      <c r="H121" s="32">
        <f t="shared" ca="1" si="24"/>
        <v>300</v>
      </c>
      <c r="I121" s="29" t="s">
        <v>19</v>
      </c>
      <c r="J121" s="25" t="str">
        <f t="shared" ca="1" si="25"/>
        <v>Duplex</v>
      </c>
      <c r="M121" s="25"/>
      <c r="N121" s="29" t="s">
        <v>324</v>
      </c>
      <c r="O121" s="29">
        <v>238</v>
      </c>
      <c r="P121" s="146">
        <f t="shared" si="18"/>
        <v>219.37391304347827</v>
      </c>
      <c r="Q121" s="29"/>
      <c r="R121" s="29"/>
      <c r="S121" s="147">
        <f t="shared" si="19"/>
        <v>36.869565217391305</v>
      </c>
      <c r="T121" s="147">
        <f t="shared" si="20"/>
        <v>43.874782608695654</v>
      </c>
      <c r="U121" s="148">
        <f t="shared" si="21"/>
        <v>219.37391304347827</v>
      </c>
      <c r="V121" s="139"/>
    </row>
    <row r="122" spans="1:22" ht="15.75" x14ac:dyDescent="0.25">
      <c r="A122" s="20" t="s">
        <v>195</v>
      </c>
      <c r="B122" s="31" t="str">
        <f t="shared" ca="1" si="22"/>
        <v>Lowe 6 mm-Float 6mm termó</v>
      </c>
      <c r="C122" s="20"/>
      <c r="D122" s="32">
        <f t="shared" ca="1" si="23"/>
        <v>374</v>
      </c>
      <c r="E122" s="29" t="s">
        <v>19</v>
      </c>
      <c r="F122" s="29"/>
      <c r="G122" s="29"/>
      <c r="H122" s="32">
        <f t="shared" ca="1" si="24"/>
        <v>318</v>
      </c>
      <c r="I122" s="29" t="s">
        <v>19</v>
      </c>
      <c r="J122" s="25" t="str">
        <f t="shared" ca="1" si="25"/>
        <v>Duplex</v>
      </c>
      <c r="M122" s="25"/>
      <c r="N122" s="29" t="s">
        <v>327</v>
      </c>
      <c r="O122" s="29">
        <v>378</v>
      </c>
      <c r="P122" s="146">
        <f t="shared" si="18"/>
        <v>348.4173913043478</v>
      </c>
      <c r="Q122" s="29"/>
      <c r="R122" s="29"/>
      <c r="S122" s="147">
        <f t="shared" si="19"/>
        <v>58.557544757033249</v>
      </c>
      <c r="T122" s="147">
        <f t="shared" si="20"/>
        <v>69.683478260869563</v>
      </c>
      <c r="U122" s="148">
        <f t="shared" si="21"/>
        <v>348.4173913043478</v>
      </c>
      <c r="V122" s="139"/>
    </row>
    <row r="123" spans="1:22" ht="15.75" x14ac:dyDescent="0.25">
      <c r="A123" s="20" t="s">
        <v>354</v>
      </c>
      <c r="B123" s="31" t="str">
        <f t="shared" ca="1" si="22"/>
        <v>Tuzallo -Low-e 4mm termó</v>
      </c>
      <c r="C123" s="20"/>
      <c r="D123" s="32">
        <f t="shared" ca="1" si="23"/>
        <v>2427</v>
      </c>
      <c r="E123" s="29" t="s">
        <v>19</v>
      </c>
      <c r="F123" s="29"/>
      <c r="G123" s="29"/>
      <c r="H123" s="32">
        <f t="shared" ca="1" si="24"/>
        <v>2063</v>
      </c>
      <c r="I123" s="29" t="s">
        <v>19</v>
      </c>
      <c r="J123" s="25" t="str">
        <f t="shared" ca="1" si="25"/>
        <v>Duplex</v>
      </c>
      <c r="M123" s="25"/>
      <c r="N123" s="29" t="s">
        <v>328</v>
      </c>
      <c r="O123" s="29">
        <v>463</v>
      </c>
      <c r="P123" s="146">
        <f t="shared" si="18"/>
        <v>426.76521739130436</v>
      </c>
      <c r="Q123" s="29"/>
      <c r="R123" s="29"/>
      <c r="S123" s="147">
        <f t="shared" si="19"/>
        <v>71.725246620387281</v>
      </c>
      <c r="T123" s="147">
        <f t="shared" si="20"/>
        <v>85.353043478260872</v>
      </c>
      <c r="U123" s="148">
        <f t="shared" si="21"/>
        <v>426.76521739130436</v>
      </c>
      <c r="V123" s="139"/>
    </row>
    <row r="124" spans="1:22" ht="15.75" x14ac:dyDescent="0.25">
      <c r="A124" s="20" t="s">
        <v>355</v>
      </c>
      <c r="B124" s="31" t="str">
        <f t="shared" ca="1" si="22"/>
        <v>Tuzallo -Lowe 6 mm termó</v>
      </c>
      <c r="C124" s="20"/>
      <c r="D124" s="32">
        <f t="shared" ca="1" si="23"/>
        <v>2532</v>
      </c>
      <c r="E124" s="29" t="s">
        <v>19</v>
      </c>
      <c r="F124" s="29"/>
      <c r="G124" s="29"/>
      <c r="H124" s="32">
        <f t="shared" ca="1" si="24"/>
        <v>2153</v>
      </c>
      <c r="I124" s="29" t="s">
        <v>19</v>
      </c>
      <c r="J124" s="25" t="str">
        <f t="shared" ca="1" si="25"/>
        <v>Duplex</v>
      </c>
      <c r="M124" s="25"/>
      <c r="N124" s="29" t="s">
        <v>330</v>
      </c>
      <c r="O124" s="29">
        <v>314</v>
      </c>
      <c r="P124" s="146">
        <f t="shared" si="18"/>
        <v>289.42608695652171</v>
      </c>
      <c r="Q124" s="29"/>
      <c r="R124" s="29"/>
      <c r="S124" s="147">
        <f t="shared" si="19"/>
        <v>48.643039824625504</v>
      </c>
      <c r="T124" s="147">
        <f t="shared" si="20"/>
        <v>57.885217391304344</v>
      </c>
      <c r="U124" s="148">
        <f t="shared" si="21"/>
        <v>289.42608695652171</v>
      </c>
      <c r="V124" s="139"/>
    </row>
    <row r="125" spans="1:22" ht="15.75" x14ac:dyDescent="0.25">
      <c r="A125" s="20" t="s">
        <v>351</v>
      </c>
      <c r="B125" s="31" t="str">
        <f t="shared" ca="1" si="22"/>
        <v>Duplex 3.1.3.-Lowe 6 mm termó</v>
      </c>
      <c r="C125" s="20"/>
      <c r="D125" s="32">
        <f t="shared" ca="1" si="23"/>
        <v>476</v>
      </c>
      <c r="E125" s="29" t="s">
        <v>19</v>
      </c>
      <c r="F125" s="29"/>
      <c r="G125" s="29"/>
      <c r="H125" s="32">
        <f t="shared" ca="1" si="24"/>
        <v>405</v>
      </c>
      <c r="I125" s="29" t="s">
        <v>19</v>
      </c>
      <c r="J125" s="25" t="str">
        <f ca="1">VLOOKUP(A125,TermekKod_data,3,FALSE)</f>
        <v>Duplex</v>
      </c>
      <c r="M125" s="139"/>
      <c r="N125" s="20" t="s">
        <v>437</v>
      </c>
      <c r="O125" s="183">
        <v>234</v>
      </c>
      <c r="P125" s="183">
        <f t="shared" si="18"/>
        <v>215.68695652173912</v>
      </c>
      <c r="Q125" s="151"/>
      <c r="R125" s="151"/>
      <c r="S125" s="184">
        <f t="shared" si="19"/>
        <v>36.249908659115817</v>
      </c>
      <c r="T125" s="184">
        <f t="shared" si="20"/>
        <v>43.137391304347823</v>
      </c>
      <c r="U125" s="184">
        <f t="shared" si="21"/>
        <v>215.68695652173912</v>
      </c>
      <c r="V125" s="139"/>
    </row>
    <row r="126" spans="1:22" ht="15.75" x14ac:dyDescent="0.25">
      <c r="A126" s="20" t="s">
        <v>203</v>
      </c>
      <c r="B126" s="31" t="str">
        <f t="shared" ca="1" si="22"/>
        <v>Tukor 4mm-Homokfujt 4mm termó</v>
      </c>
      <c r="C126" s="20"/>
      <c r="D126" s="32">
        <f t="shared" ref="D126:D184" ca="1" si="26">VLOOKUP($A126,TermekKod_data,8,0)</f>
        <v>441</v>
      </c>
      <c r="E126" s="29" t="s">
        <v>19</v>
      </c>
      <c r="F126" s="29"/>
      <c r="G126" s="29"/>
      <c r="H126" s="32">
        <f t="shared" ca="1" si="24"/>
        <v>375</v>
      </c>
      <c r="I126" s="29" t="s">
        <v>19</v>
      </c>
      <c r="J126" s="25" t="str">
        <f ca="1">VLOOKUP(A126,TermekKod_data,3,FALSE)</f>
        <v>Duplex</v>
      </c>
      <c r="M126" s="139"/>
      <c r="N126" s="139"/>
      <c r="O126" s="139"/>
      <c r="P126" s="139"/>
      <c r="Q126" s="139"/>
      <c r="R126" s="139"/>
      <c r="S126" s="141"/>
      <c r="T126" s="141"/>
      <c r="U126" s="141"/>
      <c r="V126" s="139"/>
    </row>
    <row r="127" spans="1:22" ht="15.75" x14ac:dyDescent="0.25">
      <c r="A127" s="20" t="s">
        <v>337</v>
      </c>
      <c r="B127" s="31" t="str">
        <f t="shared" ca="1" si="22"/>
        <v>4 evszakos-Feher screen-Low-e 4mm termó</v>
      </c>
      <c r="C127" s="20"/>
      <c r="D127" s="32">
        <f t="shared" ca="1" si="26"/>
        <v>458</v>
      </c>
      <c r="E127" s="29" t="s">
        <v>19</v>
      </c>
      <c r="F127" s="29"/>
      <c r="G127" s="29"/>
      <c r="H127" s="32">
        <f t="shared" ca="1" si="24"/>
        <v>390</v>
      </c>
      <c r="I127" s="29" t="s">
        <v>19</v>
      </c>
      <c r="J127" s="25" t="str">
        <f ca="1">VLOOKUP(A127,TermekKod_data,3,FALSE)</f>
        <v>Triplex</v>
      </c>
      <c r="M127" s="139"/>
      <c r="N127" s="139"/>
      <c r="O127" s="139"/>
      <c r="P127" s="139"/>
      <c r="Q127" s="139"/>
      <c r="R127" s="139"/>
      <c r="S127" s="141"/>
      <c r="T127" s="141"/>
      <c r="U127" s="141"/>
      <c r="V127" s="139"/>
    </row>
    <row r="128" spans="1:22" ht="15.75" x14ac:dyDescent="0.25">
      <c r="A128" s="20" t="s">
        <v>336</v>
      </c>
      <c r="B128" s="31" t="str">
        <f t="shared" ca="1" si="22"/>
        <v>Duplex 3.1.3.-Float 4mm-Reflexios 4mm termó</v>
      </c>
      <c r="C128" s="20"/>
      <c r="D128" s="32">
        <f t="shared" ca="1" si="26"/>
        <v>725</v>
      </c>
      <c r="E128" s="29" t="s">
        <v>19</v>
      </c>
      <c r="F128" s="29"/>
      <c r="G128" s="29"/>
      <c r="H128" s="32">
        <f t="shared" ca="1" si="24"/>
        <v>617</v>
      </c>
      <c r="I128" s="29" t="s">
        <v>19</v>
      </c>
      <c r="J128" s="25" t="str">
        <f ca="1">VLOOKUP(A128,TermekKod_data,3,FALSE)</f>
        <v>Triplex</v>
      </c>
      <c r="M128" s="139"/>
      <c r="N128" s="139"/>
      <c r="O128" s="139"/>
      <c r="P128" s="139"/>
      <c r="Q128" s="139"/>
      <c r="R128" s="139"/>
      <c r="S128" s="141"/>
      <c r="T128" s="141"/>
      <c r="U128" s="141"/>
      <c r="V128" s="139"/>
    </row>
    <row r="129" spans="1:22" ht="15.75" x14ac:dyDescent="0.25">
      <c r="A129" s="20" t="s">
        <v>338</v>
      </c>
      <c r="B129" s="31" t="str">
        <f t="shared" ca="1" si="22"/>
        <v>Mintas uveg aprokockas-Antireflex 2mm termó</v>
      </c>
      <c r="C129" s="20"/>
      <c r="D129" s="32">
        <f t="shared" ca="1" si="26"/>
        <v>260</v>
      </c>
      <c r="E129" s="29" t="s">
        <v>19</v>
      </c>
      <c r="F129" s="29"/>
      <c r="G129" s="29"/>
      <c r="H129" s="32">
        <f t="shared" ca="1" si="24"/>
        <v>221</v>
      </c>
      <c r="I129" s="29" t="s">
        <v>19</v>
      </c>
      <c r="J129" s="25" t="str">
        <f ca="1">VLOOKUP(A129,TermekKod_data,3,FALSE)</f>
        <v>Duplex</v>
      </c>
      <c r="M129" s="139"/>
      <c r="N129" s="139"/>
      <c r="O129" s="139"/>
      <c r="P129" s="139"/>
      <c r="Q129" s="139"/>
      <c r="R129" s="139"/>
      <c r="S129" s="141"/>
      <c r="T129" s="141"/>
      <c r="U129" s="141"/>
      <c r="V129" s="139"/>
    </row>
    <row r="130" spans="1:22" ht="15.75" x14ac:dyDescent="0.25">
      <c r="A130" s="20" t="s">
        <v>341</v>
      </c>
      <c r="B130" s="31" t="str">
        <f t="shared" ca="1" si="22"/>
        <v>Duplex 4.2.4-Low-e 4mm termó</v>
      </c>
      <c r="C130" s="20"/>
      <c r="D130" s="32">
        <f t="shared" ca="1" si="26"/>
        <v>682</v>
      </c>
      <c r="E130" s="29" t="s">
        <v>19</v>
      </c>
      <c r="F130" s="29"/>
      <c r="G130" s="29"/>
      <c r="H130" s="32">
        <f t="shared" ca="1" si="24"/>
        <v>580</v>
      </c>
      <c r="I130" s="29" t="s">
        <v>19</v>
      </c>
      <c r="J130" s="25" t="str">
        <f t="shared" ref="J130:J136" ca="1" si="27">VLOOKUP(A130,TermekKod_data,3,FALSE)</f>
        <v>Duplex</v>
      </c>
      <c r="M130" s="139"/>
      <c r="N130" s="139"/>
      <c r="O130" s="139"/>
      <c r="P130" s="139"/>
      <c r="Q130" s="139"/>
      <c r="R130" s="139"/>
      <c r="S130" s="141"/>
      <c r="T130" s="141"/>
      <c r="U130" s="141"/>
      <c r="V130" s="139"/>
    </row>
    <row r="131" spans="1:22" ht="15.75" x14ac:dyDescent="0.25">
      <c r="A131" s="20" t="s">
        <v>342</v>
      </c>
      <c r="B131" s="31" t="str">
        <f t="shared" ca="1" si="22"/>
        <v>Float 8mm-Duplex 4.2.4 termó</v>
      </c>
      <c r="C131" s="20"/>
      <c r="D131" s="32">
        <f t="shared" ca="1" si="26"/>
        <v>718</v>
      </c>
      <c r="E131" s="29" t="s">
        <v>19</v>
      </c>
      <c r="F131" s="29"/>
      <c r="G131" s="29"/>
      <c r="H131" s="32">
        <f t="shared" ca="1" si="24"/>
        <v>611</v>
      </c>
      <c r="I131" s="29" t="s">
        <v>19</v>
      </c>
      <c r="J131" s="25" t="str">
        <f t="shared" ca="1" si="27"/>
        <v>Duplex</v>
      </c>
      <c r="M131" s="139"/>
      <c r="N131" s="139"/>
      <c r="O131" s="139"/>
      <c r="P131" s="139"/>
      <c r="Q131" s="139"/>
      <c r="R131" s="139"/>
      <c r="S131" s="141"/>
      <c r="T131" s="141"/>
      <c r="U131" s="141"/>
      <c r="V131" s="139"/>
    </row>
    <row r="132" spans="1:22" ht="15.75" x14ac:dyDescent="0.25">
      <c r="A132" s="20" t="s">
        <v>361</v>
      </c>
      <c r="B132" s="31" t="str">
        <f t="shared" ca="1" si="22"/>
        <v>Satin bronz-Low-e 4mm-Low-e 4mm termó</v>
      </c>
      <c r="C132" s="20"/>
      <c r="D132" s="32">
        <f t="shared" ca="1" si="26"/>
        <v>493</v>
      </c>
      <c r="E132" s="29" t="s">
        <v>19</v>
      </c>
      <c r="F132" s="29"/>
      <c r="G132" s="29"/>
      <c r="H132" s="32">
        <f t="shared" ca="1" si="24"/>
        <v>420</v>
      </c>
      <c r="I132" s="29" t="s">
        <v>19</v>
      </c>
      <c r="J132" s="25" t="str">
        <f t="shared" ca="1" si="27"/>
        <v>Triplex</v>
      </c>
      <c r="M132" s="139"/>
      <c r="N132" s="139"/>
      <c r="O132" s="139"/>
      <c r="P132" s="139"/>
      <c r="Q132" s="139"/>
      <c r="R132" s="139"/>
      <c r="S132" s="141"/>
      <c r="T132" s="141"/>
      <c r="U132" s="141"/>
      <c r="V132" s="139"/>
    </row>
    <row r="133" spans="1:22" ht="15.75" x14ac:dyDescent="0.25">
      <c r="A133" s="20" t="s">
        <v>362</v>
      </c>
      <c r="B133" s="31" t="str">
        <f t="shared" ca="1" si="22"/>
        <v>Feher csincsilla-Float 4mm termó</v>
      </c>
      <c r="C133" s="20"/>
      <c r="D133" s="32">
        <f t="shared" ca="1" si="26"/>
        <v>287</v>
      </c>
      <c r="E133" s="29" t="s">
        <v>19</v>
      </c>
      <c r="F133" s="29"/>
      <c r="G133" s="29"/>
      <c r="H133" s="32">
        <f t="shared" ca="1" si="24"/>
        <v>244</v>
      </c>
      <c r="I133" s="29" t="s">
        <v>19</v>
      </c>
      <c r="J133" s="25" t="str">
        <f t="shared" ca="1" si="27"/>
        <v>Duplex</v>
      </c>
      <c r="M133" s="138"/>
      <c r="N133" s="138"/>
      <c r="O133" s="138"/>
      <c r="P133" s="138"/>
      <c r="Q133" s="138"/>
      <c r="R133" s="138"/>
      <c r="S133" s="140"/>
      <c r="T133" s="140"/>
      <c r="U133" s="140"/>
      <c r="V133" s="138"/>
    </row>
    <row r="134" spans="1:22" ht="15.75" x14ac:dyDescent="0.25">
      <c r="A134" s="20" t="s">
        <v>363</v>
      </c>
      <c r="B134" s="31" t="str">
        <f t="shared" ca="1" si="22"/>
        <v>Float 6mm-Lowe 6 mm-Low-e 4mm termó</v>
      </c>
      <c r="C134" s="20"/>
      <c r="D134" s="32">
        <f t="shared" ca="1" si="26"/>
        <v>530</v>
      </c>
      <c r="E134" s="29" t="s">
        <v>19</v>
      </c>
      <c r="F134" s="29"/>
      <c r="G134" s="29"/>
      <c r="H134" s="32">
        <f t="shared" ca="1" si="24"/>
        <v>451</v>
      </c>
      <c r="I134" s="29" t="s">
        <v>19</v>
      </c>
      <c r="J134" s="25" t="str">
        <f t="shared" ca="1" si="27"/>
        <v>Triplex</v>
      </c>
      <c r="M134" s="138"/>
      <c r="N134" s="138"/>
      <c r="O134" s="138"/>
      <c r="P134" s="138"/>
      <c r="Q134" s="138"/>
      <c r="R134" s="138"/>
      <c r="S134" s="140"/>
      <c r="T134" s="140"/>
      <c r="U134" s="140"/>
      <c r="V134" s="138"/>
    </row>
    <row r="135" spans="1:22" ht="15.75" x14ac:dyDescent="0.25">
      <c r="A135" s="20" t="s">
        <v>364</v>
      </c>
      <c r="B135" s="31" t="str">
        <f t="shared" ca="1" si="22"/>
        <v>Tukor 4mm-Feher csincsilla termó</v>
      </c>
      <c r="C135" s="20"/>
      <c r="D135" s="32">
        <f t="shared" ca="1" si="26"/>
        <v>435</v>
      </c>
      <c r="E135" s="29" t="s">
        <v>19</v>
      </c>
      <c r="F135" s="29"/>
      <c r="G135" s="29"/>
      <c r="H135" s="32">
        <f t="shared" ca="1" si="24"/>
        <v>370</v>
      </c>
      <c r="I135" s="29" t="s">
        <v>19</v>
      </c>
      <c r="J135" s="25" t="str">
        <f t="shared" ca="1" si="27"/>
        <v>Duplex</v>
      </c>
    </row>
    <row r="136" spans="1:22" ht="15.75" x14ac:dyDescent="0.25">
      <c r="A136" s="20" t="s">
        <v>145</v>
      </c>
      <c r="B136" s="31" t="str">
        <f t="shared" ca="1" si="22"/>
        <v>Savmarta barna hovirag-Low-e 4mm termó</v>
      </c>
      <c r="C136" s="20"/>
      <c r="D136" s="32">
        <f t="shared" ca="1" si="26"/>
        <v>400</v>
      </c>
      <c r="E136" s="29" t="s">
        <v>19</v>
      </c>
      <c r="F136" s="29"/>
      <c r="G136" s="29"/>
      <c r="H136" s="32">
        <f t="shared" ca="1" si="24"/>
        <v>340</v>
      </c>
      <c r="I136" s="29" t="s">
        <v>19</v>
      </c>
      <c r="J136" s="25" t="str">
        <f t="shared" ca="1" si="27"/>
        <v>Duplex</v>
      </c>
    </row>
    <row r="137" spans="1:22" ht="15.75" x14ac:dyDescent="0.25">
      <c r="A137" s="20" t="s">
        <v>365</v>
      </c>
      <c r="B137" s="31" t="str">
        <f t="shared" ca="1" si="22"/>
        <v>Reflexios 4mm-Low-e 4mm-Lowe 6 mm termó</v>
      </c>
      <c r="C137" s="20"/>
      <c r="D137" s="32">
        <f t="shared" ca="1" si="26"/>
        <v>718</v>
      </c>
      <c r="E137" s="29" t="s">
        <v>19</v>
      </c>
      <c r="F137" s="29"/>
      <c r="G137" s="29"/>
      <c r="H137" s="32">
        <f t="shared" ca="1" si="24"/>
        <v>611</v>
      </c>
      <c r="I137" s="29" t="s">
        <v>19</v>
      </c>
      <c r="J137" s="25" t="str">
        <f t="shared" ref="J137:J167" ca="1" si="28">VLOOKUP(A137,TermekKod_data,3,FALSE)</f>
        <v>Triplex</v>
      </c>
    </row>
    <row r="138" spans="1:22" ht="15.75" x14ac:dyDescent="0.25">
      <c r="A138" s="20" t="s">
        <v>366</v>
      </c>
      <c r="B138" s="31" t="str">
        <f t="shared" ca="1" si="22"/>
        <v>Savmarta feher tuskes-Float 4mm-Low-e 4mm termó</v>
      </c>
      <c r="C138" s="20"/>
      <c r="D138" s="32">
        <f t="shared" ca="1" si="26"/>
        <v>492</v>
      </c>
      <c r="E138" s="29" t="s">
        <v>19</v>
      </c>
      <c r="F138" s="29"/>
      <c r="G138" s="29"/>
      <c r="H138" s="32">
        <f t="shared" ca="1" si="24"/>
        <v>419</v>
      </c>
      <c r="I138" s="29" t="s">
        <v>19</v>
      </c>
      <c r="J138" s="25" t="str">
        <f t="shared" ca="1" si="28"/>
        <v>Triplex</v>
      </c>
    </row>
    <row r="139" spans="1:22" ht="15.75" x14ac:dyDescent="0.25">
      <c r="A139" s="20" t="s">
        <v>367</v>
      </c>
      <c r="B139" s="31" t="str">
        <f t="shared" ca="1" si="22"/>
        <v>tetőüveg</v>
      </c>
      <c r="C139" s="20"/>
      <c r="D139" s="32">
        <f t="shared" ca="1" si="26"/>
        <v>1242</v>
      </c>
      <c r="E139" s="29" t="s">
        <v>19</v>
      </c>
      <c r="F139" s="29"/>
      <c r="G139" s="29"/>
      <c r="H139" s="32">
        <f t="shared" ca="1" si="24"/>
        <v>1056</v>
      </c>
      <c r="I139" s="29" t="s">
        <v>19</v>
      </c>
      <c r="J139" s="25" t="str">
        <f t="shared" ca="1" si="28"/>
        <v>Triplex</v>
      </c>
    </row>
    <row r="140" spans="1:22" ht="15.75" x14ac:dyDescent="0.25">
      <c r="A140" s="20" t="s">
        <v>373</v>
      </c>
      <c r="B140" s="31" t="str">
        <f t="shared" ca="1" si="22"/>
        <v>4 evszakos-Low-e 4mm-Lowe 6 mm termó</v>
      </c>
      <c r="C140" s="20"/>
      <c r="D140" s="32">
        <f t="shared" ca="1" si="26"/>
        <v>508</v>
      </c>
      <c r="E140" s="29" t="s">
        <v>19</v>
      </c>
      <c r="F140" s="29"/>
      <c r="G140" s="29"/>
      <c r="H140" s="32">
        <f t="shared" ca="1" si="24"/>
        <v>432</v>
      </c>
      <c r="I140" s="29" t="s">
        <v>19</v>
      </c>
      <c r="J140" s="25" t="str">
        <f t="shared" ca="1" si="28"/>
        <v>Triplex</v>
      </c>
    </row>
    <row r="141" spans="1:22" ht="15.75" x14ac:dyDescent="0.25">
      <c r="A141" s="20" t="s">
        <v>374</v>
      </c>
      <c r="B141" s="31" t="str">
        <f t="shared" ca="1" si="22"/>
        <v>Duplex 4.2.4-Float 4mm-Low-e 4mm termó</v>
      </c>
      <c r="C141" s="20"/>
      <c r="D141" s="32">
        <f t="shared" ca="1" si="26"/>
        <v>820</v>
      </c>
      <c r="E141" s="29" t="s">
        <v>19</v>
      </c>
      <c r="F141" s="29"/>
      <c r="G141" s="29"/>
      <c r="H141" s="32">
        <f t="shared" ca="1" si="24"/>
        <v>697</v>
      </c>
      <c r="I141" s="29" t="s">
        <v>19</v>
      </c>
      <c r="J141" s="25" t="str">
        <f t="shared" ca="1" si="28"/>
        <v>Triplex</v>
      </c>
    </row>
    <row r="142" spans="1:22" ht="15.75" x14ac:dyDescent="0.25">
      <c r="A142" s="20" t="s">
        <v>375</v>
      </c>
      <c r="B142" s="31" t="str">
        <f t="shared" ca="1" si="22"/>
        <v>Float 4mm-Lowe 6 mm termó</v>
      </c>
      <c r="C142" s="20"/>
      <c r="D142" s="32">
        <f t="shared" ca="1" si="26"/>
        <v>337</v>
      </c>
      <c r="E142" s="29" t="s">
        <v>19</v>
      </c>
      <c r="F142" s="29"/>
      <c r="G142" s="29"/>
      <c r="H142" s="32">
        <f t="shared" ca="1" si="24"/>
        <v>287</v>
      </c>
      <c r="I142" s="29" t="s">
        <v>19</v>
      </c>
      <c r="J142" s="25" t="str">
        <f t="shared" ca="1" si="28"/>
        <v>Duplex</v>
      </c>
    </row>
    <row r="143" spans="1:22" ht="15.75" x14ac:dyDescent="0.25">
      <c r="A143" s="20" t="s">
        <v>377</v>
      </c>
      <c r="B143" s="31" t="str">
        <f t="shared" ca="1" si="22"/>
        <v>Duplex 3.1.3.-Mintas uveg feher fatorzs termó</v>
      </c>
      <c r="C143" s="20"/>
      <c r="D143" s="32">
        <f t="shared" ca="1" si="26"/>
        <v>377</v>
      </c>
      <c r="E143" s="29" t="s">
        <v>19</v>
      </c>
      <c r="F143" s="29"/>
      <c r="G143" s="29"/>
      <c r="H143" s="32">
        <f t="shared" ca="1" si="24"/>
        <v>321</v>
      </c>
      <c r="I143" s="29" t="s">
        <v>19</v>
      </c>
      <c r="J143" s="25" t="str">
        <f t="shared" ca="1" si="28"/>
        <v>Duplex</v>
      </c>
    </row>
    <row r="144" spans="1:22" ht="15.75" x14ac:dyDescent="0.25">
      <c r="A144" s="20" t="s">
        <v>341</v>
      </c>
      <c r="B144" s="31" t="str">
        <f t="shared" ca="1" si="22"/>
        <v>Duplex 4.2.4-Low-e 4mm termó</v>
      </c>
      <c r="C144" s="20"/>
      <c r="D144" s="32">
        <f t="shared" ca="1" si="26"/>
        <v>682</v>
      </c>
      <c r="E144" s="29" t="s">
        <v>19</v>
      </c>
      <c r="F144" s="29"/>
      <c r="G144" s="29"/>
      <c r="H144" s="32">
        <f t="shared" ca="1" si="24"/>
        <v>580</v>
      </c>
      <c r="I144" s="29" t="s">
        <v>19</v>
      </c>
      <c r="J144" s="25" t="str">
        <f t="shared" ca="1" si="28"/>
        <v>Duplex</v>
      </c>
    </row>
    <row r="145" spans="1:22" ht="15.75" x14ac:dyDescent="0.25">
      <c r="A145" s="20" t="s">
        <v>378</v>
      </c>
      <c r="B145" s="31" t="str">
        <f t="shared" ca="1" si="22"/>
        <v>Duplex 4.2.4-Mintas uveg feher fatorzs termó</v>
      </c>
      <c r="C145" s="20"/>
      <c r="D145" s="32">
        <f t="shared" ca="1" si="26"/>
        <v>679</v>
      </c>
      <c r="E145" s="29" t="s">
        <v>19</v>
      </c>
      <c r="F145" s="29"/>
      <c r="G145" s="29"/>
      <c r="H145" s="32">
        <f t="shared" ca="1" si="24"/>
        <v>578</v>
      </c>
      <c r="I145" s="29" t="s">
        <v>19</v>
      </c>
      <c r="J145" s="25" t="str">
        <f t="shared" ca="1" si="28"/>
        <v>Duplex</v>
      </c>
    </row>
    <row r="146" spans="1:22" ht="15.75" x14ac:dyDescent="0.25">
      <c r="A146" s="20" t="s">
        <v>379</v>
      </c>
      <c r="B146" s="31" t="str">
        <f t="shared" ca="1" si="22"/>
        <v>4 evszakos-Float 6mm-Lowe 6 mm termó</v>
      </c>
      <c r="C146" s="20"/>
      <c r="D146" s="32">
        <f t="shared" ca="1" si="26"/>
        <v>527</v>
      </c>
      <c r="E146" s="29" t="s">
        <v>19</v>
      </c>
      <c r="F146" s="29"/>
      <c r="G146" s="29"/>
      <c r="H146" s="32">
        <f t="shared" ca="1" si="24"/>
        <v>448</v>
      </c>
      <c r="I146" s="29" t="s">
        <v>19</v>
      </c>
      <c r="J146" s="25" t="str">
        <f t="shared" ca="1" si="28"/>
        <v>Triplex</v>
      </c>
    </row>
    <row r="147" spans="1:22" ht="15.75" x14ac:dyDescent="0.25">
      <c r="A147" s="20" t="s">
        <v>381</v>
      </c>
      <c r="B147" s="31" t="str">
        <f t="shared" ca="1" si="22"/>
        <v>Tukor 4mm-Barna delta 2-Low-e 4mm termó</v>
      </c>
      <c r="C147" s="20"/>
      <c r="D147" s="32">
        <f t="shared" ca="1" si="26"/>
        <v>648</v>
      </c>
      <c r="E147" s="29" t="s">
        <v>19</v>
      </c>
      <c r="F147" s="29"/>
      <c r="G147" s="29"/>
      <c r="H147" s="32">
        <f t="shared" ca="1" si="24"/>
        <v>551</v>
      </c>
      <c r="I147" s="29" t="s">
        <v>19</v>
      </c>
      <c r="J147" s="25" t="str">
        <f t="shared" ca="1" si="28"/>
        <v>Triplex</v>
      </c>
      <c r="M147" s="138"/>
      <c r="N147" s="138"/>
      <c r="O147" s="138"/>
      <c r="P147" s="138"/>
      <c r="Q147" s="138"/>
      <c r="R147" s="138"/>
      <c r="S147" s="140"/>
      <c r="T147" s="140"/>
      <c r="U147" s="140"/>
      <c r="V147" s="138"/>
    </row>
    <row r="148" spans="1:22" ht="15.75" x14ac:dyDescent="0.25">
      <c r="A148" s="20" t="s">
        <v>382</v>
      </c>
      <c r="B148" s="31" t="str">
        <f t="shared" ca="1" si="22"/>
        <v>Duplex 3.1.3.-Float 4mm termó</v>
      </c>
      <c r="C148" s="20"/>
      <c r="D148" s="32">
        <f t="shared" ca="1" si="26"/>
        <v>362</v>
      </c>
      <c r="E148" s="29" t="s">
        <v>19</v>
      </c>
      <c r="F148" s="29"/>
      <c r="G148" s="29"/>
      <c r="H148" s="32">
        <f t="shared" ca="1" si="24"/>
        <v>308</v>
      </c>
      <c r="I148" s="29" t="s">
        <v>19</v>
      </c>
      <c r="J148" s="25" t="str">
        <f t="shared" ca="1" si="28"/>
        <v>Duplex</v>
      </c>
    </row>
    <row r="149" spans="1:22" ht="15.75" x14ac:dyDescent="0.25">
      <c r="A149" s="20" t="s">
        <v>383</v>
      </c>
      <c r="B149" s="31" t="str">
        <f t="shared" ca="1" si="22"/>
        <v>Fustos 4mm-Float 4mm termó</v>
      </c>
      <c r="C149" s="20"/>
      <c r="D149" s="32">
        <f t="shared" ca="1" si="26"/>
        <v>293</v>
      </c>
      <c r="E149" s="29" t="s">
        <v>19</v>
      </c>
      <c r="F149" s="29"/>
      <c r="G149" s="29"/>
      <c r="H149" s="32">
        <f t="shared" ca="1" si="24"/>
        <v>250</v>
      </c>
      <c r="I149" s="29" t="s">
        <v>19</v>
      </c>
      <c r="J149" s="25" t="str">
        <f t="shared" ca="1" si="28"/>
        <v>Duplex</v>
      </c>
    </row>
    <row r="150" spans="1:22" ht="15.75" x14ac:dyDescent="0.25">
      <c r="A150" s="20" t="s">
        <v>385</v>
      </c>
      <c r="B150" s="31" t="str">
        <f t="shared" ca="1" si="22"/>
        <v>4 evszakos-Lowe 6 mm termó</v>
      </c>
      <c r="C150" s="20"/>
      <c r="D150" s="32">
        <f t="shared" ca="1" si="26"/>
        <v>352</v>
      </c>
      <c r="E150" s="29" t="s">
        <v>19</v>
      </c>
      <c r="F150" s="29"/>
      <c r="G150" s="29"/>
      <c r="H150" s="32">
        <f t="shared" ca="1" si="24"/>
        <v>300</v>
      </c>
      <c r="I150" s="29" t="s">
        <v>19</v>
      </c>
      <c r="J150" s="25" t="str">
        <f t="shared" ca="1" si="28"/>
        <v>Duplex</v>
      </c>
    </row>
    <row r="151" spans="1:22" ht="15.75" x14ac:dyDescent="0.25">
      <c r="A151" s="20" t="s">
        <v>386</v>
      </c>
      <c r="B151" s="31" t="str">
        <f t="shared" ca="1" si="22"/>
        <v>Low-e 4mm-Low-e 4mm termó</v>
      </c>
      <c r="C151" s="20"/>
      <c r="D151" s="32">
        <f t="shared" ca="1" si="26"/>
        <v>259</v>
      </c>
      <c r="E151" s="29" t="s">
        <v>19</v>
      </c>
      <c r="F151" s="29"/>
      <c r="G151" s="29"/>
      <c r="H151" s="32">
        <f t="shared" ca="1" si="24"/>
        <v>221</v>
      </c>
      <c r="I151" s="29" t="s">
        <v>19</v>
      </c>
      <c r="J151" s="25" t="str">
        <f t="shared" ca="1" si="28"/>
        <v>Duplex</v>
      </c>
    </row>
    <row r="152" spans="1:22" ht="15.75" x14ac:dyDescent="0.25">
      <c r="A152" s="20" t="s">
        <v>387</v>
      </c>
      <c r="B152" s="31" t="str">
        <f t="shared" ca="1" si="22"/>
        <v>Homokfujt 4mm-Float 4mm-Float 4mm termó</v>
      </c>
      <c r="C152" s="20"/>
      <c r="D152" s="32">
        <f t="shared" ca="1" si="26"/>
        <v>431</v>
      </c>
      <c r="E152" s="29" t="s">
        <v>19</v>
      </c>
      <c r="F152" s="29"/>
      <c r="G152" s="29"/>
      <c r="H152" s="32">
        <f t="shared" ca="1" si="24"/>
        <v>367</v>
      </c>
      <c r="I152" s="29" t="s">
        <v>19</v>
      </c>
      <c r="J152" s="25" t="str">
        <f t="shared" ca="1" si="28"/>
        <v>Triplex</v>
      </c>
    </row>
    <row r="153" spans="1:22" ht="15.75" x14ac:dyDescent="0.25">
      <c r="A153" s="20" t="s">
        <v>388</v>
      </c>
      <c r="B153" s="31" t="str">
        <f t="shared" ca="1" si="22"/>
        <v>4 evszakos-Float 6mm termó</v>
      </c>
      <c r="C153" s="20"/>
      <c r="D153" s="32">
        <f t="shared" ca="1" si="26"/>
        <v>275</v>
      </c>
      <c r="E153" s="29" t="s">
        <v>19</v>
      </c>
      <c r="F153" s="29"/>
      <c r="G153" s="29"/>
      <c r="H153" s="32">
        <f t="shared" ca="1" si="24"/>
        <v>234</v>
      </c>
      <c r="I153" s="29" t="s">
        <v>19</v>
      </c>
      <c r="J153" s="25" t="str">
        <f t="shared" ca="1" si="28"/>
        <v>Duplex</v>
      </c>
    </row>
    <row r="154" spans="1:22" ht="15.75" x14ac:dyDescent="0.25">
      <c r="A154" s="20" t="s">
        <v>389</v>
      </c>
      <c r="B154" s="31" t="str">
        <f t="shared" ca="1" si="22"/>
        <v>Lowe 6mm-BarnaSatin 4mm-4 evszakos</v>
      </c>
      <c r="C154" s="20"/>
      <c r="D154" s="32">
        <f t="shared" ca="1" si="26"/>
        <v>586</v>
      </c>
      <c r="E154" s="29" t="s">
        <v>19</v>
      </c>
      <c r="F154" s="29"/>
      <c r="G154" s="29"/>
      <c r="H154" s="32">
        <f t="shared" ca="1" si="24"/>
        <v>499</v>
      </c>
      <c r="I154" s="29" t="s">
        <v>19</v>
      </c>
      <c r="J154" s="25" t="str">
        <f t="shared" ca="1" si="28"/>
        <v>Triplex</v>
      </c>
      <c r="M154" s="138"/>
      <c r="N154" s="138"/>
      <c r="O154" s="138"/>
      <c r="P154" s="138"/>
      <c r="Q154" s="138"/>
      <c r="R154" s="138"/>
      <c r="S154" s="140"/>
      <c r="T154" s="140"/>
      <c r="U154" s="140"/>
      <c r="V154" s="138"/>
    </row>
    <row r="155" spans="1:22" ht="15.75" x14ac:dyDescent="0.25">
      <c r="A155" s="20" t="s">
        <v>391</v>
      </c>
      <c r="B155" s="31" t="str">
        <f t="shared" ca="1" si="22"/>
        <v>reflexios 4mm-feher delta2</v>
      </c>
      <c r="C155" s="20"/>
      <c r="D155" s="32">
        <f t="shared" ca="1" si="26"/>
        <v>463</v>
      </c>
      <c r="E155" s="29" t="s">
        <v>19</v>
      </c>
      <c r="F155" s="29"/>
      <c r="G155" s="29"/>
      <c r="H155" s="32">
        <f t="shared" ca="1" si="24"/>
        <v>394</v>
      </c>
      <c r="I155" s="29" t="s">
        <v>19</v>
      </c>
      <c r="J155" s="25" t="str">
        <f t="shared" ca="1" si="28"/>
        <v>Duplex</v>
      </c>
    </row>
    <row r="156" spans="1:22" ht="15.75" x14ac:dyDescent="0.25">
      <c r="A156" s="20" t="s">
        <v>393</v>
      </c>
      <c r="B156" s="31" t="str">
        <f t="shared" ca="1" si="22"/>
        <v>reflexios 4mm-barnadelta2</v>
      </c>
      <c r="C156" s="20"/>
      <c r="D156" s="32">
        <f t="shared" ca="1" si="26"/>
        <v>569</v>
      </c>
      <c r="E156" s="29" t="s">
        <v>19</v>
      </c>
      <c r="F156" s="29"/>
      <c r="G156" s="29"/>
      <c r="H156" s="32">
        <f t="shared" ref="H156:H215" ca="1" si="29">VLOOKUP($A156,TermekKod_data,9,0)</f>
        <v>484</v>
      </c>
      <c r="I156" s="29" t="s">
        <v>19</v>
      </c>
      <c r="J156" s="25" t="str">
        <f t="shared" ca="1" si="28"/>
        <v>Duplex</v>
      </c>
    </row>
    <row r="157" spans="1:22" ht="15.75" x14ac:dyDescent="0.25">
      <c r="A157" s="20" t="s">
        <v>396</v>
      </c>
      <c r="B157" s="31" t="str">
        <f t="shared" ref="B157:B216" ca="1" si="30">VLOOKUP(A157,TermekKod_data,2,FALSE)</f>
        <v>Duplex 3.1.3.-Satin bronz termó</v>
      </c>
      <c r="C157" s="20"/>
      <c r="D157" s="32">
        <f t="shared" ca="1" si="26"/>
        <v>458</v>
      </c>
      <c r="E157" s="29" t="s">
        <v>19</v>
      </c>
      <c r="F157" s="29"/>
      <c r="G157" s="29"/>
      <c r="H157" s="32">
        <f t="shared" ca="1" si="29"/>
        <v>390</v>
      </c>
      <c r="I157" s="29" t="s">
        <v>19</v>
      </c>
      <c r="J157" s="25" t="str">
        <f t="shared" ca="1" si="28"/>
        <v>Duplex</v>
      </c>
    </row>
    <row r="158" spans="1:22" ht="15.75" x14ac:dyDescent="0.25">
      <c r="A158" s="20" t="s">
        <v>397</v>
      </c>
      <c r="B158" s="31" t="str">
        <f t="shared" ca="1" si="30"/>
        <v>Float 3mm-Homokfujt 4mm termó</v>
      </c>
      <c r="C158" s="20"/>
      <c r="D158" s="32">
        <f t="shared" ca="1" si="26"/>
        <v>284</v>
      </c>
      <c r="E158" s="29" t="s">
        <v>19</v>
      </c>
      <c r="F158" s="29"/>
      <c r="G158" s="29"/>
      <c r="H158" s="32">
        <f t="shared" ca="1" si="29"/>
        <v>242</v>
      </c>
      <c r="I158" s="29" t="s">
        <v>19</v>
      </c>
      <c r="J158" s="25" t="str">
        <f t="shared" ca="1" si="28"/>
        <v>Duplex</v>
      </c>
    </row>
    <row r="159" spans="1:22" ht="15.75" x14ac:dyDescent="0.25">
      <c r="A159" s="20" t="s">
        <v>400</v>
      </c>
      <c r="B159" s="31" t="str">
        <f t="shared" ca="1" si="30"/>
        <v>Duplex 3.1.3.-Reflexios 4mm-Low-e 4mm edzve termó</v>
      </c>
      <c r="C159" s="20"/>
      <c r="D159" s="32">
        <f t="shared" ca="1" si="26"/>
        <v>949</v>
      </c>
      <c r="E159" s="29" t="s">
        <v>19</v>
      </c>
      <c r="F159" s="29"/>
      <c r="G159" s="29"/>
      <c r="H159" s="32">
        <f t="shared" ca="1" si="29"/>
        <v>807</v>
      </c>
      <c r="I159" s="29" t="s">
        <v>19</v>
      </c>
      <c r="J159" s="25" t="str">
        <f t="shared" ca="1" si="28"/>
        <v>Triplex</v>
      </c>
    </row>
    <row r="160" spans="1:22" ht="15.75" x14ac:dyDescent="0.25">
      <c r="A160" s="20" t="s">
        <v>401</v>
      </c>
      <c r="B160" s="31" t="str">
        <f t="shared" ca="1" si="30"/>
        <v>F6mm edzve-Mintas uveg delta 2 termó</v>
      </c>
      <c r="C160" s="20"/>
      <c r="D160" s="32">
        <f t="shared" ca="1" si="26"/>
        <v>663</v>
      </c>
      <c r="E160" s="29" t="s">
        <v>19</v>
      </c>
      <c r="F160" s="29"/>
      <c r="G160" s="29"/>
      <c r="H160" s="32">
        <f t="shared" ca="1" si="29"/>
        <v>564</v>
      </c>
      <c r="I160" s="29" t="s">
        <v>19</v>
      </c>
      <c r="J160" s="25" t="str">
        <f t="shared" ca="1" si="28"/>
        <v>Duplex</v>
      </c>
    </row>
    <row r="161" spans="1:22" ht="15.75" x14ac:dyDescent="0.25">
      <c r="A161" s="20" t="s">
        <v>402</v>
      </c>
      <c r="B161" s="31" t="str">
        <f t="shared" ca="1" si="30"/>
        <v>Duplex 3.1.3.-Float 4mm-Float 4mm termó</v>
      </c>
      <c r="C161" s="20"/>
      <c r="D161" s="32">
        <f t="shared" ca="1" si="26"/>
        <v>500</v>
      </c>
      <c r="E161" s="29" t="s">
        <v>19</v>
      </c>
      <c r="F161" s="29"/>
      <c r="G161" s="29"/>
      <c r="H161" s="32">
        <f t="shared" ca="1" si="29"/>
        <v>425</v>
      </c>
      <c r="I161" s="29" t="s">
        <v>19</v>
      </c>
      <c r="J161" s="25" t="str">
        <f t="shared" ca="1" si="28"/>
        <v>Triplex</v>
      </c>
      <c r="M161" s="138"/>
      <c r="N161" s="138"/>
      <c r="O161" s="138"/>
      <c r="P161" s="138"/>
      <c r="Q161" s="138"/>
      <c r="R161" s="138"/>
      <c r="S161" s="140"/>
      <c r="T161" s="140"/>
      <c r="U161" s="140"/>
      <c r="V161" s="138"/>
    </row>
    <row r="162" spans="1:22" ht="15.75" x14ac:dyDescent="0.25">
      <c r="A162" s="20" t="s">
        <v>403</v>
      </c>
      <c r="B162" s="31" t="str">
        <f t="shared" ca="1" si="30"/>
        <v>Homokfujt 4mm-Float 6mm termó</v>
      </c>
      <c r="C162" s="20"/>
      <c r="D162" s="32">
        <f t="shared" ca="1" si="26"/>
        <v>330</v>
      </c>
      <c r="E162" s="29" t="s">
        <v>19</v>
      </c>
      <c r="F162" s="29"/>
      <c r="G162" s="29"/>
      <c r="H162" s="32">
        <f t="shared" ca="1" si="29"/>
        <v>281</v>
      </c>
      <c r="I162" s="29" t="s">
        <v>19</v>
      </c>
      <c r="J162" s="25" t="str">
        <f t="shared" ca="1" si="28"/>
        <v>Duplex</v>
      </c>
    </row>
    <row r="163" spans="1:22" ht="15.75" x14ac:dyDescent="0.25">
      <c r="A163" s="20" t="s">
        <v>404</v>
      </c>
      <c r="B163" s="31" t="str">
        <f t="shared" ca="1" si="30"/>
        <v>Duplex 4.2.4-Homokfujt 4mm termó</v>
      </c>
      <c r="C163" s="20"/>
      <c r="D163" s="32">
        <f t="shared" ca="1" si="26"/>
        <v>734</v>
      </c>
      <c r="E163" s="29" t="s">
        <v>19</v>
      </c>
      <c r="F163" s="29"/>
      <c r="G163" s="29"/>
      <c r="H163" s="32">
        <f t="shared" ca="1" si="29"/>
        <v>624</v>
      </c>
      <c r="I163" s="29" t="s">
        <v>19</v>
      </c>
      <c r="J163" s="25" t="str">
        <f t="shared" ca="1" si="28"/>
        <v>Duplex</v>
      </c>
    </row>
    <row r="164" spans="1:22" ht="15.75" x14ac:dyDescent="0.25">
      <c r="A164" s="20" t="s">
        <v>405</v>
      </c>
      <c r="B164" s="31" t="str">
        <f t="shared" ca="1" si="30"/>
        <v>Reflexios 4mm-Float 6mm-Float 4mm termó</v>
      </c>
      <c r="C164" s="20"/>
      <c r="D164" s="32">
        <f t="shared" ca="1" si="26"/>
        <v>623</v>
      </c>
      <c r="E164" s="29" t="s">
        <v>19</v>
      </c>
      <c r="F164" s="29"/>
      <c r="G164" s="29"/>
      <c r="H164" s="32">
        <f t="shared" ca="1" si="29"/>
        <v>530</v>
      </c>
      <c r="I164" s="29" t="s">
        <v>19</v>
      </c>
      <c r="J164" s="25" t="str">
        <f t="shared" ca="1" si="28"/>
        <v>Triplex</v>
      </c>
    </row>
    <row r="165" spans="1:22" ht="15.75" x14ac:dyDescent="0.25">
      <c r="A165" s="20" t="s">
        <v>408</v>
      </c>
      <c r="B165" s="31" t="str">
        <f t="shared" ca="1" si="30"/>
        <v>Float 4mm edzve-Low-e 4mm termó</v>
      </c>
      <c r="C165" s="20"/>
      <c r="D165" s="32">
        <f t="shared" ca="1" si="26"/>
        <v>411</v>
      </c>
      <c r="E165" s="29" t="s">
        <v>19</v>
      </c>
      <c r="F165" s="29"/>
      <c r="G165" s="29"/>
      <c r="H165" s="32">
        <f t="shared" ca="1" si="29"/>
        <v>350</v>
      </c>
      <c r="I165" s="29" t="s">
        <v>19</v>
      </c>
      <c r="J165" s="25" t="str">
        <f t="shared" ca="1" si="28"/>
        <v>Duplex</v>
      </c>
    </row>
    <row r="166" spans="1:22" ht="15.75" x14ac:dyDescent="0.25">
      <c r="A166" s="20" t="s">
        <v>410</v>
      </c>
      <c r="B166" s="31" t="str">
        <f t="shared" ca="1" si="30"/>
        <v>4 evszakos-Float 6mm-Float 4mm termó</v>
      </c>
      <c r="C166" s="20"/>
      <c r="D166" s="32">
        <f t="shared" ca="1" si="26"/>
        <v>413</v>
      </c>
      <c r="E166" s="29" t="s">
        <v>19</v>
      </c>
      <c r="F166" s="29"/>
      <c r="G166" s="29"/>
      <c r="H166" s="32">
        <f t="shared" ca="1" si="29"/>
        <v>352</v>
      </c>
      <c r="I166" s="29" t="s">
        <v>19</v>
      </c>
      <c r="J166" s="25" t="str">
        <f t="shared" ca="1" si="28"/>
        <v>Triplex</v>
      </c>
    </row>
    <row r="167" spans="1:22" ht="15.75" x14ac:dyDescent="0.25">
      <c r="A167" s="20" t="s">
        <v>411</v>
      </c>
      <c r="B167" s="31" t="str">
        <f t="shared" ca="1" si="30"/>
        <v>4 evszakos-Float 4mm-Float 4mm termó</v>
      </c>
      <c r="C167" s="20"/>
      <c r="D167" s="32">
        <f t="shared" ca="1" si="26"/>
        <v>376</v>
      </c>
      <c r="E167" s="29" t="s">
        <v>19</v>
      </c>
      <c r="F167" s="29"/>
      <c r="G167" s="29"/>
      <c r="H167" s="32">
        <f t="shared" ca="1" si="29"/>
        <v>320</v>
      </c>
      <c r="I167" s="29" t="s">
        <v>19</v>
      </c>
      <c r="J167" s="25" t="str">
        <f t="shared" ca="1" si="28"/>
        <v>Triplex</v>
      </c>
    </row>
    <row r="168" spans="1:22" ht="15.75" x14ac:dyDescent="0.25">
      <c r="A168" s="20" t="s">
        <v>412</v>
      </c>
      <c r="B168" s="31" t="str">
        <f t="shared" ca="1" si="30"/>
        <v>F6mm edzve-4 evszakos-Duplex 3.1.3. termó</v>
      </c>
      <c r="C168" s="20"/>
      <c r="D168" s="32">
        <f t="shared" ca="1" si="26"/>
        <v>940</v>
      </c>
      <c r="E168" s="29" t="s">
        <v>19</v>
      </c>
      <c r="F168" s="29"/>
      <c r="G168" s="29"/>
      <c r="H168" s="32">
        <f t="shared" ca="1" si="29"/>
        <v>799</v>
      </c>
      <c r="I168" s="29" t="s">
        <v>19</v>
      </c>
      <c r="J168" s="25" t="str">
        <f t="shared" ref="J168:J227" ca="1" si="31">VLOOKUP(A168,TermekKod_data,3,FALSE)</f>
        <v>Triplex</v>
      </c>
    </row>
    <row r="169" spans="1:22" ht="15.75" x14ac:dyDescent="0.25">
      <c r="A169" s="20" t="s">
        <v>413</v>
      </c>
      <c r="B169" s="31" t="str">
        <f t="shared" ca="1" si="30"/>
        <v>Duplex 4.2.4-Float 4mm termó</v>
      </c>
      <c r="C169" s="20"/>
      <c r="D169" s="32">
        <f t="shared" ca="1" si="26"/>
        <v>664</v>
      </c>
      <c r="E169" s="29" t="s">
        <v>19</v>
      </c>
      <c r="F169" s="29"/>
      <c r="G169" s="29"/>
      <c r="H169" s="32">
        <f t="shared" ca="1" si="29"/>
        <v>565</v>
      </c>
      <c r="I169" s="29" t="s">
        <v>19</v>
      </c>
      <c r="J169" s="25" t="str">
        <f t="shared" ca="1" si="31"/>
        <v>Duplex</v>
      </c>
    </row>
    <row r="170" spans="1:22" ht="15.75" x14ac:dyDescent="0.25">
      <c r="A170" s="20" t="s">
        <v>414</v>
      </c>
      <c r="B170" s="31" t="str">
        <f t="shared" ca="1" si="30"/>
        <v>Reflexios 4mm-Float 4mm-Float 4mm termó</v>
      </c>
      <c r="C170" s="20"/>
      <c r="D170" s="32">
        <f t="shared" ca="1" si="26"/>
        <v>586</v>
      </c>
      <c r="E170" s="29" t="s">
        <v>19</v>
      </c>
      <c r="F170" s="29"/>
      <c r="G170" s="29"/>
      <c r="H170" s="32">
        <f t="shared" ca="1" si="29"/>
        <v>499</v>
      </c>
      <c r="I170" s="29" t="s">
        <v>19</v>
      </c>
      <c r="J170" s="25" t="str">
        <f t="shared" ca="1" si="31"/>
        <v>Triplex</v>
      </c>
    </row>
    <row r="171" spans="1:22" ht="15.75" x14ac:dyDescent="0.25">
      <c r="A171" s="20" t="s">
        <v>438</v>
      </c>
      <c r="B171" s="31" t="str">
        <f t="shared" ca="1" si="30"/>
        <v>Fehér hóvirág-Fehér hóvirág termó</v>
      </c>
      <c r="C171" s="20"/>
      <c r="D171" s="32">
        <f t="shared" ca="1" si="26"/>
        <v>449</v>
      </c>
      <c r="E171" s="29" t="s">
        <v>19</v>
      </c>
      <c r="F171" s="29"/>
      <c r="G171" s="29"/>
      <c r="H171" s="32">
        <f t="shared" ca="1" si="29"/>
        <v>382</v>
      </c>
      <c r="I171" s="29" t="s">
        <v>19</v>
      </c>
      <c r="J171" s="25" t="str">
        <f t="shared" ca="1" si="31"/>
        <v>Duplex</v>
      </c>
    </row>
    <row r="172" spans="1:22" ht="15.75" x14ac:dyDescent="0.25">
      <c r="A172" s="20" t="s">
        <v>439</v>
      </c>
      <c r="B172" s="31" t="str">
        <f t="shared" ca="1" si="30"/>
        <v>Savmarta barna tuskes-Float 4mm-Low-e 4mm termó</v>
      </c>
      <c r="C172" s="20"/>
      <c r="D172" s="32">
        <f t="shared" ca="1" si="26"/>
        <v>538</v>
      </c>
      <c r="E172" s="29" t="s">
        <v>19</v>
      </c>
      <c r="F172" s="29"/>
      <c r="G172" s="29"/>
      <c r="H172" s="32">
        <f t="shared" ca="1" si="29"/>
        <v>458</v>
      </c>
      <c r="I172" s="29" t="s">
        <v>19</v>
      </c>
      <c r="J172" s="25" t="str">
        <f ca="1">VLOOKUP(A172,TermekKod_data,3,FALSE)</f>
        <v>Triplex</v>
      </c>
    </row>
    <row r="173" spans="1:22" ht="15.75" x14ac:dyDescent="0.25">
      <c r="A173" s="20"/>
      <c r="B173" s="31" t="e">
        <f t="shared" ca="1" si="30"/>
        <v>#N/A</v>
      </c>
      <c r="C173" s="20"/>
      <c r="D173" s="32" t="e">
        <f t="shared" ca="1" si="26"/>
        <v>#N/A</v>
      </c>
      <c r="E173" s="29" t="s">
        <v>19</v>
      </c>
      <c r="F173" s="29"/>
      <c r="G173" s="29"/>
      <c r="H173" s="32" t="e">
        <f t="shared" ca="1" si="29"/>
        <v>#N/A</v>
      </c>
      <c r="I173" s="29" t="s">
        <v>19</v>
      </c>
      <c r="J173" s="25" t="e">
        <f t="shared" ca="1" si="31"/>
        <v>#N/A</v>
      </c>
    </row>
    <row r="174" spans="1:22" ht="15.75" x14ac:dyDescent="0.25">
      <c r="A174" s="20"/>
      <c r="B174" s="31" t="e">
        <f t="shared" ca="1" si="30"/>
        <v>#N/A</v>
      </c>
      <c r="C174" s="20"/>
      <c r="D174" s="32" t="e">
        <f t="shared" ca="1" si="26"/>
        <v>#N/A</v>
      </c>
      <c r="E174" s="29" t="s">
        <v>19</v>
      </c>
      <c r="F174" s="29"/>
      <c r="G174" s="29"/>
      <c r="H174" s="32" t="e">
        <f t="shared" ca="1" si="29"/>
        <v>#N/A</v>
      </c>
      <c r="I174" s="29" t="s">
        <v>19</v>
      </c>
      <c r="J174" s="25" t="e">
        <f t="shared" ca="1" si="31"/>
        <v>#N/A</v>
      </c>
    </row>
    <row r="175" spans="1:22" ht="15.75" x14ac:dyDescent="0.25">
      <c r="A175" s="20"/>
      <c r="B175" s="31" t="e">
        <f t="shared" ca="1" si="30"/>
        <v>#N/A</v>
      </c>
      <c r="C175" s="20"/>
      <c r="D175" s="32" t="e">
        <f t="shared" ca="1" si="26"/>
        <v>#N/A</v>
      </c>
      <c r="E175" s="29" t="s">
        <v>19</v>
      </c>
      <c r="F175" s="29"/>
      <c r="G175" s="29"/>
      <c r="H175" s="32" t="e">
        <f t="shared" ca="1" si="29"/>
        <v>#N/A</v>
      </c>
      <c r="I175" s="29" t="s">
        <v>19</v>
      </c>
      <c r="J175" s="25" t="e">
        <f t="shared" ca="1" si="31"/>
        <v>#N/A</v>
      </c>
    </row>
    <row r="176" spans="1:22" ht="15.75" x14ac:dyDescent="0.25">
      <c r="A176" s="20"/>
      <c r="B176" s="31" t="e">
        <f t="shared" ca="1" si="30"/>
        <v>#N/A</v>
      </c>
      <c r="C176" s="20"/>
      <c r="D176" s="32" t="e">
        <f t="shared" ca="1" si="26"/>
        <v>#N/A</v>
      </c>
      <c r="E176" s="29" t="s">
        <v>19</v>
      </c>
      <c r="F176" s="29"/>
      <c r="G176" s="29"/>
      <c r="H176" s="32" t="e">
        <f t="shared" ca="1" si="29"/>
        <v>#N/A</v>
      </c>
      <c r="I176" s="29" t="s">
        <v>19</v>
      </c>
      <c r="J176" s="25" t="e">
        <f t="shared" ca="1" si="31"/>
        <v>#N/A</v>
      </c>
    </row>
    <row r="177" spans="1:10" ht="15.75" x14ac:dyDescent="0.25">
      <c r="A177" s="20"/>
      <c r="B177" s="31" t="e">
        <f t="shared" ca="1" si="30"/>
        <v>#N/A</v>
      </c>
      <c r="C177" s="20"/>
      <c r="D177" s="32" t="e">
        <f t="shared" ca="1" si="26"/>
        <v>#N/A</v>
      </c>
      <c r="E177" s="29" t="s">
        <v>19</v>
      </c>
      <c r="F177" s="29"/>
      <c r="G177" s="29"/>
      <c r="H177" s="32" t="e">
        <f t="shared" ca="1" si="29"/>
        <v>#N/A</v>
      </c>
      <c r="I177" s="29" t="s">
        <v>19</v>
      </c>
      <c r="J177" s="25" t="e">
        <f t="shared" ca="1" si="31"/>
        <v>#N/A</v>
      </c>
    </row>
    <row r="178" spans="1:10" ht="15.75" x14ac:dyDescent="0.25">
      <c r="A178" s="20"/>
      <c r="B178" s="31" t="e">
        <f t="shared" ca="1" si="30"/>
        <v>#N/A</v>
      </c>
      <c r="C178" s="20"/>
      <c r="D178" s="32" t="e">
        <f t="shared" ca="1" si="26"/>
        <v>#N/A</v>
      </c>
      <c r="E178" s="29" t="s">
        <v>19</v>
      </c>
      <c r="F178" s="29"/>
      <c r="G178" s="29"/>
      <c r="H178" s="32" t="e">
        <f t="shared" ca="1" si="29"/>
        <v>#N/A</v>
      </c>
      <c r="I178" s="29" t="s">
        <v>19</v>
      </c>
      <c r="J178" s="25" t="e">
        <f t="shared" ca="1" si="31"/>
        <v>#N/A</v>
      </c>
    </row>
    <row r="179" spans="1:10" ht="15.75" x14ac:dyDescent="0.25">
      <c r="A179" s="20"/>
      <c r="B179" s="31" t="e">
        <f t="shared" ca="1" si="30"/>
        <v>#N/A</v>
      </c>
      <c r="C179" s="20"/>
      <c r="D179" s="32" t="e">
        <f t="shared" ca="1" si="26"/>
        <v>#N/A</v>
      </c>
      <c r="E179" s="29" t="s">
        <v>19</v>
      </c>
      <c r="F179" s="29"/>
      <c r="G179" s="29"/>
      <c r="H179" s="32" t="e">
        <f t="shared" ca="1" si="29"/>
        <v>#N/A</v>
      </c>
      <c r="I179" s="29" t="s">
        <v>19</v>
      </c>
      <c r="J179" s="25" t="e">
        <f t="shared" ca="1" si="31"/>
        <v>#N/A</v>
      </c>
    </row>
    <row r="180" spans="1:10" ht="15.75" x14ac:dyDescent="0.25">
      <c r="A180" s="20"/>
      <c r="B180" s="31" t="e">
        <f t="shared" ca="1" si="30"/>
        <v>#N/A</v>
      </c>
      <c r="C180" s="20"/>
      <c r="D180" s="32" t="e">
        <f t="shared" ca="1" si="26"/>
        <v>#N/A</v>
      </c>
      <c r="E180" s="29" t="s">
        <v>19</v>
      </c>
      <c r="F180" s="29"/>
      <c r="G180" s="29"/>
      <c r="H180" s="32" t="e">
        <f t="shared" ca="1" si="29"/>
        <v>#N/A</v>
      </c>
      <c r="I180" s="29" t="s">
        <v>19</v>
      </c>
      <c r="J180" s="25" t="e">
        <f t="shared" ca="1" si="31"/>
        <v>#N/A</v>
      </c>
    </row>
    <row r="181" spans="1:10" ht="15.75" x14ac:dyDescent="0.25">
      <c r="A181" s="20"/>
      <c r="B181" s="31" t="e">
        <f t="shared" ca="1" si="30"/>
        <v>#N/A</v>
      </c>
      <c r="C181" s="20"/>
      <c r="D181" s="32" t="e">
        <f t="shared" ca="1" si="26"/>
        <v>#N/A</v>
      </c>
      <c r="E181" s="29" t="s">
        <v>19</v>
      </c>
      <c r="F181" s="29"/>
      <c r="G181" s="29"/>
      <c r="H181" s="32" t="e">
        <f t="shared" ca="1" si="29"/>
        <v>#N/A</v>
      </c>
      <c r="I181" s="29" t="s">
        <v>19</v>
      </c>
      <c r="J181" s="25" t="e">
        <f t="shared" ca="1" si="31"/>
        <v>#N/A</v>
      </c>
    </row>
    <row r="182" spans="1:10" ht="15.75" x14ac:dyDescent="0.25">
      <c r="A182" s="20"/>
      <c r="B182" s="31" t="e">
        <f t="shared" ca="1" si="30"/>
        <v>#N/A</v>
      </c>
      <c r="C182" s="20"/>
      <c r="D182" s="32" t="e">
        <f t="shared" ca="1" si="26"/>
        <v>#N/A</v>
      </c>
      <c r="E182" s="29" t="s">
        <v>19</v>
      </c>
      <c r="F182" s="29"/>
      <c r="G182" s="29"/>
      <c r="H182" s="32" t="e">
        <f t="shared" ca="1" si="29"/>
        <v>#N/A</v>
      </c>
      <c r="I182" s="29" t="s">
        <v>19</v>
      </c>
      <c r="J182" s="25" t="e">
        <f t="shared" ca="1" si="31"/>
        <v>#N/A</v>
      </c>
    </row>
    <row r="183" spans="1:10" ht="15.75" x14ac:dyDescent="0.25">
      <c r="A183" s="20"/>
      <c r="B183" s="31" t="e">
        <f t="shared" ca="1" si="30"/>
        <v>#N/A</v>
      </c>
      <c r="C183" s="20"/>
      <c r="D183" s="32" t="e">
        <f t="shared" ca="1" si="26"/>
        <v>#N/A</v>
      </c>
      <c r="E183" s="29" t="s">
        <v>19</v>
      </c>
      <c r="F183" s="29"/>
      <c r="G183" s="29"/>
      <c r="H183" s="32" t="e">
        <f t="shared" ca="1" si="29"/>
        <v>#N/A</v>
      </c>
      <c r="I183" s="29" t="s">
        <v>19</v>
      </c>
      <c r="J183" s="25" t="e">
        <f t="shared" ca="1" si="31"/>
        <v>#N/A</v>
      </c>
    </row>
    <row r="184" spans="1:10" ht="15.75" x14ac:dyDescent="0.25">
      <c r="A184" s="20"/>
      <c r="B184" s="31" t="e">
        <f t="shared" ca="1" si="30"/>
        <v>#N/A</v>
      </c>
      <c r="C184" s="20"/>
      <c r="D184" s="32" t="e">
        <f t="shared" ca="1" si="26"/>
        <v>#N/A</v>
      </c>
      <c r="E184" s="29" t="s">
        <v>19</v>
      </c>
      <c r="F184" s="29"/>
      <c r="G184" s="29"/>
      <c r="H184" s="32" t="e">
        <f t="shared" ca="1" si="29"/>
        <v>#N/A</v>
      </c>
      <c r="I184" s="29" t="s">
        <v>19</v>
      </c>
      <c r="J184" s="25" t="e">
        <f t="shared" ca="1" si="31"/>
        <v>#N/A</v>
      </c>
    </row>
    <row r="185" spans="1:10" ht="15.75" x14ac:dyDescent="0.25">
      <c r="A185" s="20"/>
      <c r="B185" s="31" t="e">
        <f t="shared" ca="1" si="30"/>
        <v>#N/A</v>
      </c>
      <c r="C185" s="20"/>
      <c r="D185" s="32" t="e">
        <f t="shared" ref="D185:D248" ca="1" si="32">VLOOKUP($A185,TermekKod_data,8,0)</f>
        <v>#N/A</v>
      </c>
      <c r="E185" s="29" t="s">
        <v>19</v>
      </c>
      <c r="F185" s="29"/>
      <c r="G185" s="29"/>
      <c r="H185" s="32" t="e">
        <f t="shared" ca="1" si="29"/>
        <v>#N/A</v>
      </c>
      <c r="I185" s="29" t="s">
        <v>19</v>
      </c>
      <c r="J185" s="25" t="e">
        <f t="shared" ca="1" si="31"/>
        <v>#N/A</v>
      </c>
    </row>
    <row r="186" spans="1:10" ht="15.75" x14ac:dyDescent="0.25">
      <c r="A186" s="20"/>
      <c r="B186" s="31" t="e">
        <f t="shared" ca="1" si="30"/>
        <v>#N/A</v>
      </c>
      <c r="C186" s="20"/>
      <c r="D186" s="32" t="e">
        <f t="shared" ca="1" si="32"/>
        <v>#N/A</v>
      </c>
      <c r="E186" s="29" t="s">
        <v>19</v>
      </c>
      <c r="F186" s="29"/>
      <c r="G186" s="29"/>
      <c r="H186" s="32" t="e">
        <f t="shared" ca="1" si="29"/>
        <v>#N/A</v>
      </c>
      <c r="I186" s="29" t="s">
        <v>19</v>
      </c>
      <c r="J186" s="25" t="e">
        <f t="shared" ca="1" si="31"/>
        <v>#N/A</v>
      </c>
    </row>
    <row r="187" spans="1:10" ht="15.75" x14ac:dyDescent="0.25">
      <c r="A187" s="20"/>
      <c r="B187" s="31" t="e">
        <f t="shared" ca="1" si="30"/>
        <v>#N/A</v>
      </c>
      <c r="C187" s="20"/>
      <c r="D187" s="32" t="e">
        <f t="shared" ca="1" si="32"/>
        <v>#N/A</v>
      </c>
      <c r="E187" s="29" t="s">
        <v>19</v>
      </c>
      <c r="F187" s="29"/>
      <c r="G187" s="29"/>
      <c r="H187" s="32" t="e">
        <f t="shared" ca="1" si="29"/>
        <v>#N/A</v>
      </c>
      <c r="I187" s="29" t="s">
        <v>19</v>
      </c>
      <c r="J187" s="25" t="e">
        <f t="shared" ca="1" si="31"/>
        <v>#N/A</v>
      </c>
    </row>
    <row r="188" spans="1:10" ht="15.75" x14ac:dyDescent="0.25">
      <c r="A188" s="20"/>
      <c r="B188" s="31" t="e">
        <f t="shared" ca="1" si="30"/>
        <v>#N/A</v>
      </c>
      <c r="C188" s="20"/>
      <c r="D188" s="32" t="e">
        <f t="shared" ca="1" si="32"/>
        <v>#N/A</v>
      </c>
      <c r="E188" s="29" t="s">
        <v>19</v>
      </c>
      <c r="F188" s="29"/>
      <c r="G188" s="29"/>
      <c r="H188" s="32" t="e">
        <f t="shared" ca="1" si="29"/>
        <v>#N/A</v>
      </c>
      <c r="I188" s="29" t="s">
        <v>19</v>
      </c>
      <c r="J188" s="25" t="e">
        <f t="shared" ca="1" si="31"/>
        <v>#N/A</v>
      </c>
    </row>
    <row r="189" spans="1:10" ht="15.75" x14ac:dyDescent="0.25">
      <c r="A189" s="20"/>
      <c r="B189" s="31" t="e">
        <f t="shared" ca="1" si="30"/>
        <v>#N/A</v>
      </c>
      <c r="C189" s="20"/>
      <c r="D189" s="32" t="e">
        <f t="shared" ca="1" si="32"/>
        <v>#N/A</v>
      </c>
      <c r="E189" s="29" t="s">
        <v>19</v>
      </c>
      <c r="F189" s="29"/>
      <c r="G189" s="29"/>
      <c r="H189" s="32" t="e">
        <f t="shared" ca="1" si="29"/>
        <v>#N/A</v>
      </c>
      <c r="I189" s="29" t="s">
        <v>19</v>
      </c>
      <c r="J189" s="25" t="e">
        <f t="shared" ca="1" si="31"/>
        <v>#N/A</v>
      </c>
    </row>
    <row r="190" spans="1:10" ht="15.75" x14ac:dyDescent="0.25">
      <c r="A190" s="20"/>
      <c r="B190" s="31" t="e">
        <f t="shared" ca="1" si="30"/>
        <v>#N/A</v>
      </c>
      <c r="C190" s="20"/>
      <c r="D190" s="32" t="e">
        <f t="shared" ca="1" si="32"/>
        <v>#N/A</v>
      </c>
      <c r="E190" s="29" t="s">
        <v>19</v>
      </c>
      <c r="F190" s="29"/>
      <c r="G190" s="29"/>
      <c r="H190" s="32" t="e">
        <f t="shared" ca="1" si="29"/>
        <v>#N/A</v>
      </c>
      <c r="I190" s="29" t="s">
        <v>19</v>
      </c>
      <c r="J190" s="25" t="e">
        <f t="shared" ca="1" si="31"/>
        <v>#N/A</v>
      </c>
    </row>
    <row r="191" spans="1:10" ht="15.75" x14ac:dyDescent="0.25">
      <c r="A191" s="20"/>
      <c r="B191" s="31" t="e">
        <f t="shared" ca="1" si="30"/>
        <v>#N/A</v>
      </c>
      <c r="C191" s="20"/>
      <c r="D191" s="32" t="e">
        <f t="shared" ca="1" si="32"/>
        <v>#N/A</v>
      </c>
      <c r="E191" s="29" t="s">
        <v>19</v>
      </c>
      <c r="F191" s="29"/>
      <c r="G191" s="29"/>
      <c r="H191" s="32" t="e">
        <f t="shared" ca="1" si="29"/>
        <v>#N/A</v>
      </c>
      <c r="I191" s="29" t="s">
        <v>19</v>
      </c>
      <c r="J191" s="25" t="e">
        <f t="shared" ca="1" si="31"/>
        <v>#N/A</v>
      </c>
    </row>
    <row r="192" spans="1:10" ht="15.75" x14ac:dyDescent="0.25">
      <c r="A192" s="20"/>
      <c r="B192" s="31" t="e">
        <f t="shared" ca="1" si="30"/>
        <v>#N/A</v>
      </c>
      <c r="C192" s="20"/>
      <c r="D192" s="32" t="e">
        <f t="shared" ca="1" si="32"/>
        <v>#N/A</v>
      </c>
      <c r="E192" s="29" t="s">
        <v>19</v>
      </c>
      <c r="F192" s="29"/>
      <c r="G192" s="29"/>
      <c r="H192" s="32" t="e">
        <f t="shared" ca="1" si="29"/>
        <v>#N/A</v>
      </c>
      <c r="I192" s="29" t="s">
        <v>19</v>
      </c>
      <c r="J192" s="25" t="e">
        <f t="shared" ca="1" si="31"/>
        <v>#N/A</v>
      </c>
    </row>
    <row r="193" spans="1:10" ht="15.75" x14ac:dyDescent="0.25">
      <c r="A193" s="20"/>
      <c r="B193" s="31" t="e">
        <f t="shared" ca="1" si="30"/>
        <v>#N/A</v>
      </c>
      <c r="C193" s="20"/>
      <c r="D193" s="32" t="e">
        <f t="shared" ca="1" si="32"/>
        <v>#N/A</v>
      </c>
      <c r="E193" s="29" t="s">
        <v>19</v>
      </c>
      <c r="F193" s="29"/>
      <c r="G193" s="29"/>
      <c r="H193" s="32" t="e">
        <f t="shared" ca="1" si="29"/>
        <v>#N/A</v>
      </c>
      <c r="I193" s="29" t="s">
        <v>19</v>
      </c>
      <c r="J193" s="25" t="e">
        <f t="shared" ca="1" si="31"/>
        <v>#N/A</v>
      </c>
    </row>
    <row r="194" spans="1:10" ht="15.75" x14ac:dyDescent="0.25">
      <c r="A194" s="20"/>
      <c r="B194" s="31" t="e">
        <f t="shared" ca="1" si="30"/>
        <v>#N/A</v>
      </c>
      <c r="C194" s="20"/>
      <c r="D194" s="32" t="e">
        <f t="shared" ca="1" si="32"/>
        <v>#N/A</v>
      </c>
      <c r="E194" s="29" t="s">
        <v>19</v>
      </c>
      <c r="F194" s="29"/>
      <c r="G194" s="29"/>
      <c r="H194" s="32" t="e">
        <f t="shared" ca="1" si="29"/>
        <v>#N/A</v>
      </c>
      <c r="I194" s="29" t="s">
        <v>19</v>
      </c>
      <c r="J194" s="25" t="e">
        <f t="shared" ca="1" si="31"/>
        <v>#N/A</v>
      </c>
    </row>
    <row r="195" spans="1:10" ht="15.75" x14ac:dyDescent="0.25">
      <c r="A195" s="20"/>
      <c r="B195" s="31" t="e">
        <f t="shared" ca="1" si="30"/>
        <v>#N/A</v>
      </c>
      <c r="C195" s="20"/>
      <c r="D195" s="32" t="e">
        <f t="shared" ca="1" si="32"/>
        <v>#N/A</v>
      </c>
      <c r="E195" s="29" t="s">
        <v>19</v>
      </c>
      <c r="F195" s="29"/>
      <c r="G195" s="29"/>
      <c r="H195" s="32" t="e">
        <f t="shared" ca="1" si="29"/>
        <v>#N/A</v>
      </c>
      <c r="I195" s="29" t="s">
        <v>19</v>
      </c>
      <c r="J195" s="25" t="e">
        <f t="shared" ca="1" si="31"/>
        <v>#N/A</v>
      </c>
    </row>
    <row r="196" spans="1:10" ht="15.75" x14ac:dyDescent="0.25">
      <c r="A196" s="20"/>
      <c r="B196" s="31" t="e">
        <f t="shared" ca="1" si="30"/>
        <v>#N/A</v>
      </c>
      <c r="C196" s="20"/>
      <c r="D196" s="32" t="e">
        <f t="shared" ca="1" si="32"/>
        <v>#N/A</v>
      </c>
      <c r="E196" s="29" t="s">
        <v>19</v>
      </c>
      <c r="F196" s="29"/>
      <c r="G196" s="29"/>
      <c r="H196" s="32" t="e">
        <f t="shared" ca="1" si="29"/>
        <v>#N/A</v>
      </c>
      <c r="I196" s="29" t="s">
        <v>19</v>
      </c>
      <c r="J196" s="25" t="e">
        <f t="shared" ca="1" si="31"/>
        <v>#N/A</v>
      </c>
    </row>
    <row r="197" spans="1:10" ht="15.75" x14ac:dyDescent="0.25">
      <c r="A197" s="20"/>
      <c r="B197" s="31" t="e">
        <f t="shared" ca="1" si="30"/>
        <v>#N/A</v>
      </c>
      <c r="C197" s="20"/>
      <c r="D197" s="32" t="e">
        <f t="shared" ca="1" si="32"/>
        <v>#N/A</v>
      </c>
      <c r="E197" s="29" t="s">
        <v>19</v>
      </c>
      <c r="F197" s="29"/>
      <c r="G197" s="29"/>
      <c r="H197" s="32" t="e">
        <f t="shared" ca="1" si="29"/>
        <v>#N/A</v>
      </c>
      <c r="I197" s="29" t="s">
        <v>19</v>
      </c>
      <c r="J197" s="25" t="e">
        <f t="shared" ca="1" si="31"/>
        <v>#N/A</v>
      </c>
    </row>
    <row r="198" spans="1:10" ht="15.75" x14ac:dyDescent="0.25">
      <c r="A198" s="20"/>
      <c r="B198" s="31" t="e">
        <f t="shared" ca="1" si="30"/>
        <v>#N/A</v>
      </c>
      <c r="C198" s="20"/>
      <c r="D198" s="32" t="e">
        <f t="shared" ca="1" si="32"/>
        <v>#N/A</v>
      </c>
      <c r="E198" s="29" t="s">
        <v>19</v>
      </c>
      <c r="F198" s="29"/>
      <c r="G198" s="29"/>
      <c r="H198" s="32" t="e">
        <f t="shared" ca="1" si="29"/>
        <v>#N/A</v>
      </c>
      <c r="I198" s="29" t="s">
        <v>19</v>
      </c>
      <c r="J198" s="25" t="e">
        <f t="shared" ca="1" si="31"/>
        <v>#N/A</v>
      </c>
    </row>
    <row r="199" spans="1:10" ht="15.75" x14ac:dyDescent="0.25">
      <c r="A199" s="20"/>
      <c r="B199" s="31" t="e">
        <f t="shared" ca="1" si="30"/>
        <v>#N/A</v>
      </c>
      <c r="C199" s="20"/>
      <c r="D199" s="32" t="e">
        <f t="shared" ca="1" si="32"/>
        <v>#N/A</v>
      </c>
      <c r="E199" s="29" t="s">
        <v>19</v>
      </c>
      <c r="F199" s="29"/>
      <c r="G199" s="29"/>
      <c r="H199" s="32" t="e">
        <f t="shared" ca="1" si="29"/>
        <v>#N/A</v>
      </c>
      <c r="I199" s="29" t="s">
        <v>19</v>
      </c>
      <c r="J199" s="25" t="e">
        <f t="shared" ca="1" si="31"/>
        <v>#N/A</v>
      </c>
    </row>
    <row r="200" spans="1:10" ht="15.75" x14ac:dyDescent="0.25">
      <c r="A200" s="20"/>
      <c r="B200" s="31" t="e">
        <f t="shared" ca="1" si="30"/>
        <v>#N/A</v>
      </c>
      <c r="C200" s="20"/>
      <c r="D200" s="32" t="e">
        <f t="shared" ca="1" si="32"/>
        <v>#N/A</v>
      </c>
      <c r="E200" s="29" t="s">
        <v>19</v>
      </c>
      <c r="F200" s="29"/>
      <c r="G200" s="29"/>
      <c r="H200" s="32" t="e">
        <f t="shared" ca="1" si="29"/>
        <v>#N/A</v>
      </c>
      <c r="I200" s="29" t="s">
        <v>19</v>
      </c>
      <c r="J200" s="25" t="e">
        <f t="shared" ca="1" si="31"/>
        <v>#N/A</v>
      </c>
    </row>
    <row r="201" spans="1:10" ht="15.75" x14ac:dyDescent="0.25">
      <c r="A201" s="20"/>
      <c r="B201" s="31" t="e">
        <f t="shared" ca="1" si="30"/>
        <v>#N/A</v>
      </c>
      <c r="C201" s="20"/>
      <c r="D201" s="32" t="e">
        <f t="shared" ca="1" si="32"/>
        <v>#N/A</v>
      </c>
      <c r="E201" s="29" t="s">
        <v>19</v>
      </c>
      <c r="F201" s="29"/>
      <c r="G201" s="29"/>
      <c r="H201" s="32" t="e">
        <f t="shared" ca="1" si="29"/>
        <v>#N/A</v>
      </c>
      <c r="I201" s="29" t="s">
        <v>19</v>
      </c>
      <c r="J201" s="25" t="e">
        <f t="shared" ca="1" si="31"/>
        <v>#N/A</v>
      </c>
    </row>
    <row r="202" spans="1:10" ht="15.75" x14ac:dyDescent="0.25">
      <c r="A202" s="20"/>
      <c r="B202" s="31" t="e">
        <f t="shared" ca="1" si="30"/>
        <v>#N/A</v>
      </c>
      <c r="C202" s="20"/>
      <c r="D202" s="32" t="e">
        <f t="shared" ca="1" si="32"/>
        <v>#N/A</v>
      </c>
      <c r="E202" s="29" t="s">
        <v>19</v>
      </c>
      <c r="F202" s="29"/>
      <c r="G202" s="29"/>
      <c r="H202" s="32" t="e">
        <f t="shared" ca="1" si="29"/>
        <v>#N/A</v>
      </c>
      <c r="I202" s="29" t="s">
        <v>19</v>
      </c>
      <c r="J202" s="25" t="e">
        <f t="shared" ca="1" si="31"/>
        <v>#N/A</v>
      </c>
    </row>
    <row r="203" spans="1:10" ht="15.75" x14ac:dyDescent="0.25">
      <c r="A203" s="20"/>
      <c r="B203" s="31" t="e">
        <f t="shared" ca="1" si="30"/>
        <v>#N/A</v>
      </c>
      <c r="C203" s="20"/>
      <c r="D203" s="32" t="e">
        <f t="shared" ca="1" si="32"/>
        <v>#N/A</v>
      </c>
      <c r="E203" s="29" t="s">
        <v>19</v>
      </c>
      <c r="F203" s="29"/>
      <c r="G203" s="29"/>
      <c r="H203" s="32" t="e">
        <f t="shared" ca="1" si="29"/>
        <v>#N/A</v>
      </c>
      <c r="I203" s="29" t="s">
        <v>19</v>
      </c>
      <c r="J203" s="25" t="e">
        <f t="shared" ca="1" si="31"/>
        <v>#N/A</v>
      </c>
    </row>
    <row r="204" spans="1:10" ht="15.75" x14ac:dyDescent="0.25">
      <c r="A204" s="20"/>
      <c r="B204" s="31" t="e">
        <f t="shared" ca="1" si="30"/>
        <v>#N/A</v>
      </c>
      <c r="C204" s="20"/>
      <c r="D204" s="32" t="e">
        <f t="shared" ca="1" si="32"/>
        <v>#N/A</v>
      </c>
      <c r="E204" s="29" t="s">
        <v>19</v>
      </c>
      <c r="F204" s="29"/>
      <c r="G204" s="29"/>
      <c r="H204" s="32" t="e">
        <f t="shared" ca="1" si="29"/>
        <v>#N/A</v>
      </c>
      <c r="I204" s="29" t="s">
        <v>19</v>
      </c>
      <c r="J204" s="25" t="e">
        <f t="shared" ca="1" si="31"/>
        <v>#N/A</v>
      </c>
    </row>
    <row r="205" spans="1:10" ht="15.75" x14ac:dyDescent="0.25">
      <c r="A205" s="20"/>
      <c r="B205" s="31" t="e">
        <f t="shared" ca="1" si="30"/>
        <v>#N/A</v>
      </c>
      <c r="C205" s="20"/>
      <c r="D205" s="32" t="e">
        <f t="shared" ca="1" si="32"/>
        <v>#N/A</v>
      </c>
      <c r="E205" s="29" t="s">
        <v>19</v>
      </c>
      <c r="F205" s="29"/>
      <c r="G205" s="29"/>
      <c r="H205" s="32" t="e">
        <f t="shared" ca="1" si="29"/>
        <v>#N/A</v>
      </c>
      <c r="I205" s="29" t="s">
        <v>19</v>
      </c>
      <c r="J205" s="25" t="e">
        <f t="shared" ca="1" si="31"/>
        <v>#N/A</v>
      </c>
    </row>
    <row r="206" spans="1:10" ht="15.75" x14ac:dyDescent="0.25">
      <c r="A206" s="20"/>
      <c r="B206" s="31" t="e">
        <f t="shared" ca="1" si="30"/>
        <v>#N/A</v>
      </c>
      <c r="C206" s="20"/>
      <c r="D206" s="32" t="e">
        <f t="shared" ca="1" si="32"/>
        <v>#N/A</v>
      </c>
      <c r="E206" s="29" t="s">
        <v>19</v>
      </c>
      <c r="F206" s="29"/>
      <c r="G206" s="29"/>
      <c r="H206" s="32" t="e">
        <f t="shared" ca="1" si="29"/>
        <v>#N/A</v>
      </c>
      <c r="I206" s="29" t="s">
        <v>19</v>
      </c>
      <c r="J206" s="25" t="e">
        <f t="shared" ca="1" si="31"/>
        <v>#N/A</v>
      </c>
    </row>
    <row r="207" spans="1:10" ht="15.75" x14ac:dyDescent="0.25">
      <c r="A207" s="20"/>
      <c r="B207" s="31" t="e">
        <f t="shared" ca="1" si="30"/>
        <v>#N/A</v>
      </c>
      <c r="C207" s="20"/>
      <c r="D207" s="32" t="e">
        <f t="shared" ca="1" si="32"/>
        <v>#N/A</v>
      </c>
      <c r="E207" s="29" t="s">
        <v>19</v>
      </c>
      <c r="F207" s="29"/>
      <c r="G207" s="29"/>
      <c r="H207" s="32" t="e">
        <f t="shared" ca="1" si="29"/>
        <v>#N/A</v>
      </c>
      <c r="I207" s="29" t="s">
        <v>19</v>
      </c>
      <c r="J207" s="25" t="e">
        <f t="shared" ca="1" si="31"/>
        <v>#N/A</v>
      </c>
    </row>
    <row r="208" spans="1:10" ht="15.75" x14ac:dyDescent="0.25">
      <c r="A208" s="20"/>
      <c r="B208" s="31" t="e">
        <f t="shared" ca="1" si="30"/>
        <v>#N/A</v>
      </c>
      <c r="C208" s="20"/>
      <c r="D208" s="32" t="e">
        <f t="shared" ca="1" si="32"/>
        <v>#N/A</v>
      </c>
      <c r="E208" s="29" t="s">
        <v>19</v>
      </c>
      <c r="F208" s="29"/>
      <c r="G208" s="29"/>
      <c r="H208" s="32" t="e">
        <f t="shared" ca="1" si="29"/>
        <v>#N/A</v>
      </c>
      <c r="I208" s="29" t="s">
        <v>19</v>
      </c>
      <c r="J208" s="25" t="e">
        <f t="shared" ca="1" si="31"/>
        <v>#N/A</v>
      </c>
    </row>
    <row r="209" spans="1:10" ht="15.75" x14ac:dyDescent="0.25">
      <c r="A209" s="20"/>
      <c r="B209" s="31" t="e">
        <f t="shared" ca="1" si="30"/>
        <v>#N/A</v>
      </c>
      <c r="C209" s="20"/>
      <c r="D209" s="32" t="e">
        <f t="shared" ca="1" si="32"/>
        <v>#N/A</v>
      </c>
      <c r="E209" s="29" t="s">
        <v>19</v>
      </c>
      <c r="F209" s="29"/>
      <c r="G209" s="29"/>
      <c r="H209" s="32" t="e">
        <f t="shared" ca="1" si="29"/>
        <v>#N/A</v>
      </c>
      <c r="I209" s="29" t="s">
        <v>19</v>
      </c>
      <c r="J209" s="25" t="e">
        <f t="shared" ca="1" si="31"/>
        <v>#N/A</v>
      </c>
    </row>
    <row r="210" spans="1:10" ht="15.75" x14ac:dyDescent="0.25">
      <c r="A210" s="20"/>
      <c r="B210" s="31" t="e">
        <f t="shared" ca="1" si="30"/>
        <v>#N/A</v>
      </c>
      <c r="C210" s="20"/>
      <c r="D210" s="32" t="e">
        <f t="shared" ca="1" si="32"/>
        <v>#N/A</v>
      </c>
      <c r="E210" s="29" t="s">
        <v>19</v>
      </c>
      <c r="F210" s="29"/>
      <c r="G210" s="29"/>
      <c r="H210" s="32" t="e">
        <f t="shared" ca="1" si="29"/>
        <v>#N/A</v>
      </c>
      <c r="I210" s="29" t="s">
        <v>19</v>
      </c>
      <c r="J210" s="25" t="e">
        <f t="shared" ca="1" si="31"/>
        <v>#N/A</v>
      </c>
    </row>
    <row r="211" spans="1:10" ht="15.75" x14ac:dyDescent="0.25">
      <c r="A211" s="20"/>
      <c r="B211" s="31" t="e">
        <f t="shared" ca="1" si="30"/>
        <v>#N/A</v>
      </c>
      <c r="C211" s="20"/>
      <c r="D211" s="32" t="e">
        <f t="shared" ca="1" si="32"/>
        <v>#N/A</v>
      </c>
      <c r="E211" s="29" t="s">
        <v>19</v>
      </c>
      <c r="F211" s="29"/>
      <c r="G211" s="29"/>
      <c r="H211" s="32" t="e">
        <f t="shared" ca="1" si="29"/>
        <v>#N/A</v>
      </c>
      <c r="I211" s="29" t="s">
        <v>19</v>
      </c>
      <c r="J211" s="25" t="e">
        <f t="shared" ca="1" si="31"/>
        <v>#N/A</v>
      </c>
    </row>
    <row r="212" spans="1:10" ht="15.75" x14ac:dyDescent="0.25">
      <c r="A212" s="20"/>
      <c r="B212" s="31" t="e">
        <f t="shared" ca="1" si="30"/>
        <v>#N/A</v>
      </c>
      <c r="C212" s="20"/>
      <c r="D212" s="32" t="e">
        <f t="shared" ca="1" si="32"/>
        <v>#N/A</v>
      </c>
      <c r="E212" s="29" t="s">
        <v>19</v>
      </c>
      <c r="F212" s="29"/>
      <c r="G212" s="29"/>
      <c r="H212" s="32" t="e">
        <f t="shared" ca="1" si="29"/>
        <v>#N/A</v>
      </c>
      <c r="I212" s="29" t="s">
        <v>19</v>
      </c>
      <c r="J212" s="25" t="e">
        <f t="shared" ca="1" si="31"/>
        <v>#N/A</v>
      </c>
    </row>
    <row r="213" spans="1:10" ht="15.75" x14ac:dyDescent="0.25">
      <c r="A213" s="20"/>
      <c r="B213" s="31" t="e">
        <f t="shared" ca="1" si="30"/>
        <v>#N/A</v>
      </c>
      <c r="C213" s="20"/>
      <c r="D213" s="32" t="e">
        <f t="shared" ca="1" si="32"/>
        <v>#N/A</v>
      </c>
      <c r="E213" s="29" t="s">
        <v>19</v>
      </c>
      <c r="F213" s="29"/>
      <c r="G213" s="29"/>
      <c r="H213" s="32" t="e">
        <f t="shared" ca="1" si="29"/>
        <v>#N/A</v>
      </c>
      <c r="I213" s="29" t="s">
        <v>19</v>
      </c>
      <c r="J213" s="25" t="e">
        <f t="shared" ca="1" si="31"/>
        <v>#N/A</v>
      </c>
    </row>
    <row r="214" spans="1:10" ht="15.75" x14ac:dyDescent="0.25">
      <c r="A214" s="20"/>
      <c r="B214" s="31" t="e">
        <f t="shared" ca="1" si="30"/>
        <v>#N/A</v>
      </c>
      <c r="C214" s="20"/>
      <c r="D214" s="32" t="e">
        <f t="shared" ca="1" si="32"/>
        <v>#N/A</v>
      </c>
      <c r="E214" s="29" t="s">
        <v>19</v>
      </c>
      <c r="F214" s="29"/>
      <c r="G214" s="29"/>
      <c r="H214" s="32" t="e">
        <f t="shared" ca="1" si="29"/>
        <v>#N/A</v>
      </c>
      <c r="I214" s="29" t="s">
        <v>19</v>
      </c>
      <c r="J214" s="25" t="e">
        <f t="shared" ca="1" si="31"/>
        <v>#N/A</v>
      </c>
    </row>
    <row r="215" spans="1:10" ht="15.75" x14ac:dyDescent="0.25">
      <c r="A215" s="20"/>
      <c r="B215" s="31" t="e">
        <f t="shared" ca="1" si="30"/>
        <v>#N/A</v>
      </c>
      <c r="C215" s="20"/>
      <c r="D215" s="32" t="e">
        <f t="shared" ca="1" si="32"/>
        <v>#N/A</v>
      </c>
      <c r="E215" s="29" t="s">
        <v>19</v>
      </c>
      <c r="F215" s="29"/>
      <c r="G215" s="29"/>
      <c r="H215" s="32" t="e">
        <f t="shared" ca="1" si="29"/>
        <v>#N/A</v>
      </c>
      <c r="I215" s="29" t="s">
        <v>19</v>
      </c>
      <c r="J215" s="25" t="e">
        <f t="shared" ca="1" si="31"/>
        <v>#N/A</v>
      </c>
    </row>
    <row r="216" spans="1:10" ht="15.75" x14ac:dyDescent="0.25">
      <c r="A216" s="20"/>
      <c r="B216" s="31" t="e">
        <f t="shared" ca="1" si="30"/>
        <v>#N/A</v>
      </c>
      <c r="C216" s="20"/>
      <c r="D216" s="32" t="e">
        <f t="shared" ca="1" si="32"/>
        <v>#N/A</v>
      </c>
      <c r="E216" s="29" t="s">
        <v>19</v>
      </c>
      <c r="F216" s="29"/>
      <c r="G216" s="29"/>
      <c r="H216" s="32" t="e">
        <f t="shared" ref="H216:H279" ca="1" si="33">VLOOKUP($A216,TermekKod_data,9,0)</f>
        <v>#N/A</v>
      </c>
      <c r="I216" s="29" t="s">
        <v>19</v>
      </c>
      <c r="J216" s="25" t="e">
        <f t="shared" ca="1" si="31"/>
        <v>#N/A</v>
      </c>
    </row>
    <row r="217" spans="1:10" ht="15.75" x14ac:dyDescent="0.25">
      <c r="A217" s="20"/>
      <c r="B217" s="31" t="e">
        <f t="shared" ref="B217:B280" ca="1" si="34">VLOOKUP(A217,TermekKod_data,2,FALSE)</f>
        <v>#N/A</v>
      </c>
      <c r="C217" s="20"/>
      <c r="D217" s="32" t="e">
        <f t="shared" ca="1" si="32"/>
        <v>#N/A</v>
      </c>
      <c r="E217" s="29" t="s">
        <v>19</v>
      </c>
      <c r="F217" s="29"/>
      <c r="G217" s="29"/>
      <c r="H217" s="32" t="e">
        <f t="shared" ca="1" si="33"/>
        <v>#N/A</v>
      </c>
      <c r="I217" s="29" t="s">
        <v>19</v>
      </c>
      <c r="J217" s="25" t="e">
        <f t="shared" ca="1" si="31"/>
        <v>#N/A</v>
      </c>
    </row>
    <row r="218" spans="1:10" ht="15.75" x14ac:dyDescent="0.25">
      <c r="A218" s="20"/>
      <c r="B218" s="31" t="e">
        <f t="shared" ca="1" si="34"/>
        <v>#N/A</v>
      </c>
      <c r="C218" s="20"/>
      <c r="D218" s="32" t="e">
        <f t="shared" ca="1" si="32"/>
        <v>#N/A</v>
      </c>
      <c r="E218" s="29" t="s">
        <v>19</v>
      </c>
      <c r="F218" s="29"/>
      <c r="G218" s="29"/>
      <c r="H218" s="32" t="e">
        <f t="shared" ca="1" si="33"/>
        <v>#N/A</v>
      </c>
      <c r="I218" s="29" t="s">
        <v>19</v>
      </c>
      <c r="J218" s="25" t="e">
        <f t="shared" ca="1" si="31"/>
        <v>#N/A</v>
      </c>
    </row>
    <row r="219" spans="1:10" ht="15.75" x14ac:dyDescent="0.25">
      <c r="A219" s="20"/>
      <c r="B219" s="31" t="e">
        <f t="shared" ca="1" si="34"/>
        <v>#N/A</v>
      </c>
      <c r="C219" s="20"/>
      <c r="D219" s="32" t="e">
        <f t="shared" ca="1" si="32"/>
        <v>#N/A</v>
      </c>
      <c r="E219" s="29" t="s">
        <v>19</v>
      </c>
      <c r="F219" s="29"/>
      <c r="G219" s="29"/>
      <c r="H219" s="32" t="e">
        <f t="shared" ca="1" si="33"/>
        <v>#N/A</v>
      </c>
      <c r="I219" s="29" t="s">
        <v>19</v>
      </c>
      <c r="J219" s="25" t="e">
        <f t="shared" ca="1" si="31"/>
        <v>#N/A</v>
      </c>
    </row>
    <row r="220" spans="1:10" ht="15.75" x14ac:dyDescent="0.25">
      <c r="A220" s="20"/>
      <c r="B220" s="31" t="e">
        <f t="shared" ca="1" si="34"/>
        <v>#N/A</v>
      </c>
      <c r="C220" s="20"/>
      <c r="D220" s="32" t="e">
        <f t="shared" ca="1" si="32"/>
        <v>#N/A</v>
      </c>
      <c r="E220" s="29" t="s">
        <v>19</v>
      </c>
      <c r="F220" s="29"/>
      <c r="G220" s="29"/>
      <c r="H220" s="32" t="e">
        <f t="shared" ca="1" si="33"/>
        <v>#N/A</v>
      </c>
      <c r="I220" s="29" t="s">
        <v>19</v>
      </c>
      <c r="J220" s="25" t="e">
        <f t="shared" ca="1" si="31"/>
        <v>#N/A</v>
      </c>
    </row>
    <row r="221" spans="1:10" ht="15.75" x14ac:dyDescent="0.25">
      <c r="A221" s="20"/>
      <c r="B221" s="31" t="e">
        <f t="shared" ca="1" si="34"/>
        <v>#N/A</v>
      </c>
      <c r="C221" s="20"/>
      <c r="D221" s="32" t="e">
        <f t="shared" ca="1" si="32"/>
        <v>#N/A</v>
      </c>
      <c r="E221" s="29" t="s">
        <v>19</v>
      </c>
      <c r="F221" s="29"/>
      <c r="G221" s="29"/>
      <c r="H221" s="32" t="e">
        <f t="shared" ca="1" si="33"/>
        <v>#N/A</v>
      </c>
      <c r="I221" s="29" t="s">
        <v>19</v>
      </c>
      <c r="J221" s="25" t="e">
        <f t="shared" ca="1" si="31"/>
        <v>#N/A</v>
      </c>
    </row>
    <row r="222" spans="1:10" ht="15.75" x14ac:dyDescent="0.25">
      <c r="A222" s="20"/>
      <c r="B222" s="31" t="e">
        <f t="shared" ca="1" si="34"/>
        <v>#N/A</v>
      </c>
      <c r="C222" s="20"/>
      <c r="D222" s="32" t="e">
        <f t="shared" ca="1" si="32"/>
        <v>#N/A</v>
      </c>
      <c r="E222" s="29" t="s">
        <v>19</v>
      </c>
      <c r="F222" s="29"/>
      <c r="G222" s="29"/>
      <c r="H222" s="32" t="e">
        <f t="shared" ca="1" si="33"/>
        <v>#N/A</v>
      </c>
      <c r="I222" s="29" t="s">
        <v>19</v>
      </c>
      <c r="J222" s="25" t="e">
        <f t="shared" ca="1" si="31"/>
        <v>#N/A</v>
      </c>
    </row>
    <row r="223" spans="1:10" ht="15.75" x14ac:dyDescent="0.25">
      <c r="A223" s="20"/>
      <c r="B223" s="31" t="e">
        <f t="shared" ca="1" si="34"/>
        <v>#N/A</v>
      </c>
      <c r="C223" s="20"/>
      <c r="D223" s="32" t="e">
        <f t="shared" ca="1" si="32"/>
        <v>#N/A</v>
      </c>
      <c r="E223" s="29" t="s">
        <v>19</v>
      </c>
      <c r="F223" s="29"/>
      <c r="G223" s="29"/>
      <c r="H223" s="32" t="e">
        <f t="shared" ca="1" si="33"/>
        <v>#N/A</v>
      </c>
      <c r="I223" s="29" t="s">
        <v>19</v>
      </c>
      <c r="J223" s="25" t="e">
        <f t="shared" ca="1" si="31"/>
        <v>#N/A</v>
      </c>
    </row>
    <row r="224" spans="1:10" ht="15.75" x14ac:dyDescent="0.25">
      <c r="A224" s="20"/>
      <c r="B224" s="31" t="e">
        <f t="shared" ca="1" si="34"/>
        <v>#N/A</v>
      </c>
      <c r="C224" s="20"/>
      <c r="D224" s="32" t="e">
        <f t="shared" ca="1" si="32"/>
        <v>#N/A</v>
      </c>
      <c r="E224" s="29" t="s">
        <v>19</v>
      </c>
      <c r="F224" s="29"/>
      <c r="G224" s="29"/>
      <c r="H224" s="32" t="e">
        <f t="shared" ca="1" si="33"/>
        <v>#N/A</v>
      </c>
      <c r="I224" s="29" t="s">
        <v>19</v>
      </c>
      <c r="J224" s="25" t="e">
        <f t="shared" ca="1" si="31"/>
        <v>#N/A</v>
      </c>
    </row>
    <row r="225" spans="1:10" ht="15.75" x14ac:dyDescent="0.25">
      <c r="A225" s="20"/>
      <c r="B225" s="31" t="e">
        <f t="shared" ca="1" si="34"/>
        <v>#N/A</v>
      </c>
      <c r="C225" s="20"/>
      <c r="D225" s="32" t="e">
        <f t="shared" ca="1" si="32"/>
        <v>#N/A</v>
      </c>
      <c r="E225" s="29" t="s">
        <v>19</v>
      </c>
      <c r="F225" s="29"/>
      <c r="G225" s="29"/>
      <c r="H225" s="32" t="e">
        <f t="shared" ca="1" si="33"/>
        <v>#N/A</v>
      </c>
      <c r="I225" s="29" t="s">
        <v>19</v>
      </c>
      <c r="J225" s="25" t="e">
        <f t="shared" ca="1" si="31"/>
        <v>#N/A</v>
      </c>
    </row>
    <row r="226" spans="1:10" ht="15.75" x14ac:dyDescent="0.25">
      <c r="A226" s="20"/>
      <c r="B226" s="31" t="e">
        <f t="shared" ca="1" si="34"/>
        <v>#N/A</v>
      </c>
      <c r="C226" s="20"/>
      <c r="D226" s="32" t="e">
        <f t="shared" ca="1" si="32"/>
        <v>#N/A</v>
      </c>
      <c r="E226" s="29" t="s">
        <v>19</v>
      </c>
      <c r="F226" s="29"/>
      <c r="G226" s="29"/>
      <c r="H226" s="32" t="e">
        <f t="shared" ca="1" si="33"/>
        <v>#N/A</v>
      </c>
      <c r="I226" s="29" t="s">
        <v>19</v>
      </c>
      <c r="J226" s="25" t="e">
        <f t="shared" ca="1" si="31"/>
        <v>#N/A</v>
      </c>
    </row>
    <row r="227" spans="1:10" ht="15.75" x14ac:dyDescent="0.25">
      <c r="A227" s="20"/>
      <c r="B227" s="31" t="e">
        <f t="shared" ca="1" si="34"/>
        <v>#N/A</v>
      </c>
      <c r="C227" s="20"/>
      <c r="D227" s="32" t="e">
        <f t="shared" ca="1" si="32"/>
        <v>#N/A</v>
      </c>
      <c r="E227" s="29" t="s">
        <v>19</v>
      </c>
      <c r="F227" s="29"/>
      <c r="G227" s="29"/>
      <c r="H227" s="32" t="e">
        <f t="shared" ca="1" si="33"/>
        <v>#N/A</v>
      </c>
      <c r="I227" s="29" t="s">
        <v>19</v>
      </c>
      <c r="J227" s="25" t="e">
        <f t="shared" ca="1" si="31"/>
        <v>#N/A</v>
      </c>
    </row>
    <row r="228" spans="1:10" ht="15.75" x14ac:dyDescent="0.25">
      <c r="A228" s="20"/>
      <c r="B228" s="31" t="e">
        <f t="shared" ca="1" si="34"/>
        <v>#N/A</v>
      </c>
      <c r="C228" s="20"/>
      <c r="D228" s="32" t="e">
        <f t="shared" ca="1" si="32"/>
        <v>#N/A</v>
      </c>
      <c r="E228" s="29" t="s">
        <v>19</v>
      </c>
      <c r="F228" s="29"/>
      <c r="G228" s="29"/>
      <c r="H228" s="32" t="e">
        <f t="shared" ca="1" si="33"/>
        <v>#N/A</v>
      </c>
      <c r="I228" s="29" t="s">
        <v>19</v>
      </c>
      <c r="J228" s="25" t="e">
        <f t="shared" ref="J228:J291" ca="1" si="35">VLOOKUP(A228,TermekKod_data,3,FALSE)</f>
        <v>#N/A</v>
      </c>
    </row>
    <row r="229" spans="1:10" ht="15.75" x14ac:dyDescent="0.25">
      <c r="A229" s="20"/>
      <c r="B229" s="31" t="e">
        <f t="shared" ca="1" si="34"/>
        <v>#N/A</v>
      </c>
      <c r="C229" s="20"/>
      <c r="D229" s="32" t="e">
        <f t="shared" ca="1" si="32"/>
        <v>#N/A</v>
      </c>
      <c r="E229" s="29" t="s">
        <v>19</v>
      </c>
      <c r="F229" s="29"/>
      <c r="G229" s="29"/>
      <c r="H229" s="32" t="e">
        <f t="shared" ca="1" si="33"/>
        <v>#N/A</v>
      </c>
      <c r="I229" s="29" t="s">
        <v>19</v>
      </c>
      <c r="J229" s="25" t="e">
        <f t="shared" ca="1" si="35"/>
        <v>#N/A</v>
      </c>
    </row>
    <row r="230" spans="1:10" ht="15.75" x14ac:dyDescent="0.25">
      <c r="A230" s="20"/>
      <c r="B230" s="31" t="e">
        <f t="shared" ca="1" si="34"/>
        <v>#N/A</v>
      </c>
      <c r="C230" s="20"/>
      <c r="D230" s="32" t="e">
        <f t="shared" ca="1" si="32"/>
        <v>#N/A</v>
      </c>
      <c r="E230" s="29" t="s">
        <v>19</v>
      </c>
      <c r="F230" s="29"/>
      <c r="G230" s="29"/>
      <c r="H230" s="32" t="e">
        <f t="shared" ca="1" si="33"/>
        <v>#N/A</v>
      </c>
      <c r="I230" s="29" t="s">
        <v>19</v>
      </c>
      <c r="J230" s="25" t="e">
        <f t="shared" ca="1" si="35"/>
        <v>#N/A</v>
      </c>
    </row>
    <row r="231" spans="1:10" ht="15.75" x14ac:dyDescent="0.25">
      <c r="A231" s="20"/>
      <c r="B231" s="31" t="e">
        <f t="shared" ca="1" si="34"/>
        <v>#N/A</v>
      </c>
      <c r="C231" s="20"/>
      <c r="D231" s="32" t="e">
        <f t="shared" ca="1" si="32"/>
        <v>#N/A</v>
      </c>
      <c r="E231" s="29" t="s">
        <v>19</v>
      </c>
      <c r="F231" s="29"/>
      <c r="G231" s="29"/>
      <c r="H231" s="32" t="e">
        <f t="shared" ca="1" si="33"/>
        <v>#N/A</v>
      </c>
      <c r="I231" s="29" t="s">
        <v>19</v>
      </c>
      <c r="J231" s="25" t="e">
        <f t="shared" ca="1" si="35"/>
        <v>#N/A</v>
      </c>
    </row>
    <row r="232" spans="1:10" ht="15.75" x14ac:dyDescent="0.25">
      <c r="A232" s="20"/>
      <c r="B232" s="31" t="e">
        <f t="shared" ca="1" si="34"/>
        <v>#N/A</v>
      </c>
      <c r="C232" s="20"/>
      <c r="D232" s="32" t="e">
        <f t="shared" ca="1" si="32"/>
        <v>#N/A</v>
      </c>
      <c r="E232" s="29" t="s">
        <v>19</v>
      </c>
      <c r="F232" s="29"/>
      <c r="G232" s="29"/>
      <c r="H232" s="32" t="e">
        <f t="shared" ca="1" si="33"/>
        <v>#N/A</v>
      </c>
      <c r="I232" s="29" t="s">
        <v>19</v>
      </c>
      <c r="J232" s="25" t="e">
        <f t="shared" ca="1" si="35"/>
        <v>#N/A</v>
      </c>
    </row>
    <row r="233" spans="1:10" ht="15.75" x14ac:dyDescent="0.25">
      <c r="A233" s="20"/>
      <c r="B233" s="31" t="e">
        <f t="shared" ca="1" si="34"/>
        <v>#N/A</v>
      </c>
      <c r="C233" s="20"/>
      <c r="D233" s="32" t="e">
        <f t="shared" ca="1" si="32"/>
        <v>#N/A</v>
      </c>
      <c r="E233" s="29" t="s">
        <v>19</v>
      </c>
      <c r="F233" s="29"/>
      <c r="G233" s="29"/>
      <c r="H233" s="32" t="e">
        <f t="shared" ca="1" si="33"/>
        <v>#N/A</v>
      </c>
      <c r="I233" s="29" t="s">
        <v>19</v>
      </c>
      <c r="J233" s="25" t="e">
        <f t="shared" ca="1" si="35"/>
        <v>#N/A</v>
      </c>
    </row>
    <row r="234" spans="1:10" ht="15.75" x14ac:dyDescent="0.25">
      <c r="A234" s="20"/>
      <c r="B234" s="31" t="e">
        <f t="shared" ca="1" si="34"/>
        <v>#N/A</v>
      </c>
      <c r="C234" s="20"/>
      <c r="D234" s="32" t="e">
        <f t="shared" ca="1" si="32"/>
        <v>#N/A</v>
      </c>
      <c r="E234" s="29" t="s">
        <v>19</v>
      </c>
      <c r="F234" s="29"/>
      <c r="G234" s="29"/>
      <c r="H234" s="32" t="e">
        <f t="shared" ca="1" si="33"/>
        <v>#N/A</v>
      </c>
      <c r="I234" s="29" t="s">
        <v>19</v>
      </c>
      <c r="J234" s="25" t="e">
        <f t="shared" ca="1" si="35"/>
        <v>#N/A</v>
      </c>
    </row>
    <row r="235" spans="1:10" ht="15.75" x14ac:dyDescent="0.25">
      <c r="A235" s="20"/>
      <c r="B235" s="31" t="e">
        <f t="shared" ca="1" si="34"/>
        <v>#N/A</v>
      </c>
      <c r="C235" s="20"/>
      <c r="D235" s="32" t="e">
        <f t="shared" ca="1" si="32"/>
        <v>#N/A</v>
      </c>
      <c r="E235" s="29" t="s">
        <v>19</v>
      </c>
      <c r="F235" s="29"/>
      <c r="G235" s="29"/>
      <c r="H235" s="32" t="e">
        <f t="shared" ca="1" si="33"/>
        <v>#N/A</v>
      </c>
      <c r="I235" s="29" t="s">
        <v>19</v>
      </c>
      <c r="J235" s="25" t="e">
        <f t="shared" ca="1" si="35"/>
        <v>#N/A</v>
      </c>
    </row>
    <row r="236" spans="1:10" ht="15.75" x14ac:dyDescent="0.25">
      <c r="A236" s="20"/>
      <c r="B236" s="31" t="e">
        <f t="shared" ca="1" si="34"/>
        <v>#N/A</v>
      </c>
      <c r="C236" s="20"/>
      <c r="D236" s="32" t="e">
        <f t="shared" ca="1" si="32"/>
        <v>#N/A</v>
      </c>
      <c r="E236" s="29" t="s">
        <v>19</v>
      </c>
      <c r="F236" s="29"/>
      <c r="G236" s="29"/>
      <c r="H236" s="32" t="e">
        <f t="shared" ca="1" si="33"/>
        <v>#N/A</v>
      </c>
      <c r="I236" s="29" t="s">
        <v>19</v>
      </c>
      <c r="J236" s="25" t="e">
        <f t="shared" ca="1" si="35"/>
        <v>#N/A</v>
      </c>
    </row>
    <row r="237" spans="1:10" ht="15.75" x14ac:dyDescent="0.25">
      <c r="A237" s="20"/>
      <c r="B237" s="31" t="e">
        <f t="shared" ca="1" si="34"/>
        <v>#N/A</v>
      </c>
      <c r="C237" s="20"/>
      <c r="D237" s="32" t="e">
        <f t="shared" ca="1" si="32"/>
        <v>#N/A</v>
      </c>
      <c r="E237" s="29" t="s">
        <v>19</v>
      </c>
      <c r="F237" s="29"/>
      <c r="G237" s="29"/>
      <c r="H237" s="32" t="e">
        <f t="shared" ca="1" si="33"/>
        <v>#N/A</v>
      </c>
      <c r="I237" s="29" t="s">
        <v>19</v>
      </c>
      <c r="J237" s="25" t="e">
        <f t="shared" ca="1" si="35"/>
        <v>#N/A</v>
      </c>
    </row>
    <row r="238" spans="1:10" ht="15.75" x14ac:dyDescent="0.25">
      <c r="A238" s="20"/>
      <c r="B238" s="31" t="e">
        <f t="shared" ca="1" si="34"/>
        <v>#N/A</v>
      </c>
      <c r="C238" s="20"/>
      <c r="D238" s="32" t="e">
        <f t="shared" ca="1" si="32"/>
        <v>#N/A</v>
      </c>
      <c r="E238" s="29" t="s">
        <v>19</v>
      </c>
      <c r="F238" s="29"/>
      <c r="G238" s="29"/>
      <c r="H238" s="32" t="e">
        <f t="shared" ca="1" si="33"/>
        <v>#N/A</v>
      </c>
      <c r="I238" s="29" t="s">
        <v>19</v>
      </c>
      <c r="J238" s="25" t="e">
        <f t="shared" ca="1" si="35"/>
        <v>#N/A</v>
      </c>
    </row>
    <row r="239" spans="1:10" ht="15.75" x14ac:dyDescent="0.25">
      <c r="A239" s="20"/>
      <c r="B239" s="31" t="e">
        <f t="shared" ca="1" si="34"/>
        <v>#N/A</v>
      </c>
      <c r="C239" s="20"/>
      <c r="D239" s="32" t="e">
        <f t="shared" ca="1" si="32"/>
        <v>#N/A</v>
      </c>
      <c r="E239" s="29" t="s">
        <v>19</v>
      </c>
      <c r="F239" s="29"/>
      <c r="G239" s="29"/>
      <c r="H239" s="32" t="e">
        <f t="shared" ca="1" si="33"/>
        <v>#N/A</v>
      </c>
      <c r="I239" s="29" t="s">
        <v>19</v>
      </c>
      <c r="J239" s="25" t="e">
        <f t="shared" ca="1" si="35"/>
        <v>#N/A</v>
      </c>
    </row>
    <row r="240" spans="1:10" ht="15.75" x14ac:dyDescent="0.25">
      <c r="A240" s="20"/>
      <c r="B240" s="31" t="e">
        <f t="shared" ca="1" si="34"/>
        <v>#N/A</v>
      </c>
      <c r="C240" s="20"/>
      <c r="D240" s="32" t="e">
        <f t="shared" ca="1" si="32"/>
        <v>#N/A</v>
      </c>
      <c r="E240" s="29" t="s">
        <v>19</v>
      </c>
      <c r="F240" s="29"/>
      <c r="G240" s="29"/>
      <c r="H240" s="32" t="e">
        <f t="shared" ca="1" si="33"/>
        <v>#N/A</v>
      </c>
      <c r="I240" s="29" t="s">
        <v>19</v>
      </c>
      <c r="J240" s="25" t="e">
        <f t="shared" ca="1" si="35"/>
        <v>#N/A</v>
      </c>
    </row>
    <row r="241" spans="1:10" ht="15.75" x14ac:dyDescent="0.25">
      <c r="A241" s="20"/>
      <c r="B241" s="31" t="e">
        <f t="shared" ca="1" si="34"/>
        <v>#N/A</v>
      </c>
      <c r="C241" s="20"/>
      <c r="D241" s="32" t="e">
        <f t="shared" ca="1" si="32"/>
        <v>#N/A</v>
      </c>
      <c r="E241" s="29" t="s">
        <v>19</v>
      </c>
      <c r="F241" s="29"/>
      <c r="G241" s="29"/>
      <c r="H241" s="32" t="e">
        <f t="shared" ca="1" si="33"/>
        <v>#N/A</v>
      </c>
      <c r="I241" s="29" t="s">
        <v>19</v>
      </c>
      <c r="J241" s="25" t="e">
        <f t="shared" ca="1" si="35"/>
        <v>#N/A</v>
      </c>
    </row>
    <row r="242" spans="1:10" ht="15.75" x14ac:dyDescent="0.25">
      <c r="A242" s="20"/>
      <c r="B242" s="31" t="e">
        <f t="shared" ca="1" si="34"/>
        <v>#N/A</v>
      </c>
      <c r="C242" s="20"/>
      <c r="D242" s="32" t="e">
        <f t="shared" ca="1" si="32"/>
        <v>#N/A</v>
      </c>
      <c r="E242" s="29" t="s">
        <v>19</v>
      </c>
      <c r="F242" s="29"/>
      <c r="G242" s="29"/>
      <c r="H242" s="32" t="e">
        <f t="shared" ca="1" si="33"/>
        <v>#N/A</v>
      </c>
      <c r="I242" s="29" t="s">
        <v>19</v>
      </c>
      <c r="J242" s="25" t="e">
        <f t="shared" ca="1" si="35"/>
        <v>#N/A</v>
      </c>
    </row>
    <row r="243" spans="1:10" ht="15.75" x14ac:dyDescent="0.25">
      <c r="A243" s="20"/>
      <c r="B243" s="31" t="e">
        <f t="shared" ca="1" si="34"/>
        <v>#N/A</v>
      </c>
      <c r="C243" s="20"/>
      <c r="D243" s="32" t="e">
        <f t="shared" ca="1" si="32"/>
        <v>#N/A</v>
      </c>
      <c r="E243" s="29" t="s">
        <v>19</v>
      </c>
      <c r="F243" s="29"/>
      <c r="G243" s="29"/>
      <c r="H243" s="32" t="e">
        <f t="shared" ca="1" si="33"/>
        <v>#N/A</v>
      </c>
      <c r="I243" s="29" t="s">
        <v>19</v>
      </c>
      <c r="J243" s="25" t="e">
        <f t="shared" ca="1" si="35"/>
        <v>#N/A</v>
      </c>
    </row>
    <row r="244" spans="1:10" ht="15.75" x14ac:dyDescent="0.25">
      <c r="A244" s="20"/>
      <c r="B244" s="31" t="e">
        <f t="shared" ca="1" si="34"/>
        <v>#N/A</v>
      </c>
      <c r="C244" s="20"/>
      <c r="D244" s="32" t="e">
        <f t="shared" ca="1" si="32"/>
        <v>#N/A</v>
      </c>
      <c r="E244" s="29" t="s">
        <v>19</v>
      </c>
      <c r="F244" s="29"/>
      <c r="G244" s="29"/>
      <c r="H244" s="32" t="e">
        <f t="shared" ca="1" si="33"/>
        <v>#N/A</v>
      </c>
      <c r="I244" s="29" t="s">
        <v>19</v>
      </c>
      <c r="J244" s="25" t="e">
        <f t="shared" ca="1" si="35"/>
        <v>#N/A</v>
      </c>
    </row>
    <row r="245" spans="1:10" ht="15.75" x14ac:dyDescent="0.25">
      <c r="A245" s="20"/>
      <c r="B245" s="31" t="e">
        <f t="shared" ca="1" si="34"/>
        <v>#N/A</v>
      </c>
      <c r="C245" s="20"/>
      <c r="D245" s="32" t="e">
        <f t="shared" ca="1" si="32"/>
        <v>#N/A</v>
      </c>
      <c r="E245" s="29" t="s">
        <v>19</v>
      </c>
      <c r="F245" s="29"/>
      <c r="G245" s="29"/>
      <c r="H245" s="32" t="e">
        <f t="shared" ca="1" si="33"/>
        <v>#N/A</v>
      </c>
      <c r="I245" s="29" t="s">
        <v>19</v>
      </c>
      <c r="J245" s="25" t="e">
        <f t="shared" ca="1" si="35"/>
        <v>#N/A</v>
      </c>
    </row>
    <row r="246" spans="1:10" ht="15.75" x14ac:dyDescent="0.25">
      <c r="A246" s="20"/>
      <c r="B246" s="31" t="e">
        <f t="shared" ca="1" si="34"/>
        <v>#N/A</v>
      </c>
      <c r="C246" s="20"/>
      <c r="D246" s="32" t="e">
        <f t="shared" ca="1" si="32"/>
        <v>#N/A</v>
      </c>
      <c r="E246" s="29" t="s">
        <v>19</v>
      </c>
      <c r="F246" s="29"/>
      <c r="G246" s="29"/>
      <c r="H246" s="32" t="e">
        <f t="shared" ca="1" si="33"/>
        <v>#N/A</v>
      </c>
      <c r="I246" s="29" t="s">
        <v>19</v>
      </c>
      <c r="J246" s="25" t="e">
        <f t="shared" ca="1" si="35"/>
        <v>#N/A</v>
      </c>
    </row>
    <row r="247" spans="1:10" ht="15.75" x14ac:dyDescent="0.25">
      <c r="A247" s="20"/>
      <c r="B247" s="31" t="e">
        <f t="shared" ca="1" si="34"/>
        <v>#N/A</v>
      </c>
      <c r="C247" s="20"/>
      <c r="D247" s="32" t="e">
        <f t="shared" ca="1" si="32"/>
        <v>#N/A</v>
      </c>
      <c r="E247" s="29" t="s">
        <v>19</v>
      </c>
      <c r="F247" s="29"/>
      <c r="G247" s="29"/>
      <c r="H247" s="32" t="e">
        <f t="shared" ca="1" si="33"/>
        <v>#N/A</v>
      </c>
      <c r="I247" s="29" t="s">
        <v>19</v>
      </c>
      <c r="J247" s="25" t="e">
        <f t="shared" ca="1" si="35"/>
        <v>#N/A</v>
      </c>
    </row>
    <row r="248" spans="1:10" ht="15.75" x14ac:dyDescent="0.25">
      <c r="A248" s="20"/>
      <c r="B248" s="31" t="e">
        <f t="shared" ca="1" si="34"/>
        <v>#N/A</v>
      </c>
      <c r="C248" s="20"/>
      <c r="D248" s="32" t="e">
        <f t="shared" ca="1" si="32"/>
        <v>#N/A</v>
      </c>
      <c r="E248" s="29" t="s">
        <v>19</v>
      </c>
      <c r="F248" s="29"/>
      <c r="G248" s="29"/>
      <c r="H248" s="32" t="e">
        <f t="shared" ca="1" si="33"/>
        <v>#N/A</v>
      </c>
      <c r="I248" s="29" t="s">
        <v>19</v>
      </c>
      <c r="J248" s="25" t="e">
        <f t="shared" ca="1" si="35"/>
        <v>#N/A</v>
      </c>
    </row>
    <row r="249" spans="1:10" ht="15.75" x14ac:dyDescent="0.25">
      <c r="A249" s="20"/>
      <c r="B249" s="31" t="e">
        <f t="shared" ca="1" si="34"/>
        <v>#N/A</v>
      </c>
      <c r="C249" s="20"/>
      <c r="D249" s="32" t="e">
        <f t="shared" ref="D249:D312" ca="1" si="36">VLOOKUP($A249,TermekKod_data,8,0)</f>
        <v>#N/A</v>
      </c>
      <c r="E249" s="29" t="s">
        <v>19</v>
      </c>
      <c r="F249" s="29"/>
      <c r="G249" s="29"/>
      <c r="H249" s="32" t="e">
        <f t="shared" ca="1" si="33"/>
        <v>#N/A</v>
      </c>
      <c r="I249" s="29" t="s">
        <v>19</v>
      </c>
      <c r="J249" s="25" t="e">
        <f t="shared" ca="1" si="35"/>
        <v>#N/A</v>
      </c>
    </row>
    <row r="250" spans="1:10" ht="15.75" x14ac:dyDescent="0.25">
      <c r="A250" s="20"/>
      <c r="B250" s="31" t="e">
        <f t="shared" ca="1" si="34"/>
        <v>#N/A</v>
      </c>
      <c r="C250" s="20"/>
      <c r="D250" s="32" t="e">
        <f t="shared" ca="1" si="36"/>
        <v>#N/A</v>
      </c>
      <c r="E250" s="29" t="s">
        <v>19</v>
      </c>
      <c r="F250" s="29"/>
      <c r="G250" s="29"/>
      <c r="H250" s="32" t="e">
        <f t="shared" ca="1" si="33"/>
        <v>#N/A</v>
      </c>
      <c r="I250" s="29" t="s">
        <v>19</v>
      </c>
      <c r="J250" s="25" t="e">
        <f t="shared" ca="1" si="35"/>
        <v>#N/A</v>
      </c>
    </row>
    <row r="251" spans="1:10" ht="15.75" x14ac:dyDescent="0.25">
      <c r="A251" s="20"/>
      <c r="B251" s="31" t="e">
        <f t="shared" ca="1" si="34"/>
        <v>#N/A</v>
      </c>
      <c r="C251" s="20"/>
      <c r="D251" s="32" t="e">
        <f t="shared" ca="1" si="36"/>
        <v>#N/A</v>
      </c>
      <c r="E251" s="29" t="s">
        <v>19</v>
      </c>
      <c r="F251" s="29"/>
      <c r="G251" s="29"/>
      <c r="H251" s="32" t="e">
        <f t="shared" ca="1" si="33"/>
        <v>#N/A</v>
      </c>
      <c r="I251" s="29" t="s">
        <v>19</v>
      </c>
      <c r="J251" s="25" t="e">
        <f t="shared" ca="1" si="35"/>
        <v>#N/A</v>
      </c>
    </row>
    <row r="252" spans="1:10" ht="15.75" x14ac:dyDescent="0.25">
      <c r="A252" s="20"/>
      <c r="B252" s="31" t="e">
        <f t="shared" ca="1" si="34"/>
        <v>#N/A</v>
      </c>
      <c r="C252" s="20"/>
      <c r="D252" s="32" t="e">
        <f t="shared" ca="1" si="36"/>
        <v>#N/A</v>
      </c>
      <c r="E252" s="29" t="s">
        <v>19</v>
      </c>
      <c r="F252" s="29"/>
      <c r="G252" s="29"/>
      <c r="H252" s="32" t="e">
        <f t="shared" ca="1" si="33"/>
        <v>#N/A</v>
      </c>
      <c r="I252" s="29" t="s">
        <v>19</v>
      </c>
      <c r="J252" s="25" t="e">
        <f t="shared" ca="1" si="35"/>
        <v>#N/A</v>
      </c>
    </row>
    <row r="253" spans="1:10" ht="15.75" x14ac:dyDescent="0.25">
      <c r="A253" s="20"/>
      <c r="B253" s="31" t="e">
        <f t="shared" ca="1" si="34"/>
        <v>#N/A</v>
      </c>
      <c r="C253" s="20"/>
      <c r="D253" s="32" t="e">
        <f t="shared" ca="1" si="36"/>
        <v>#N/A</v>
      </c>
      <c r="E253" s="29" t="s">
        <v>19</v>
      </c>
      <c r="F253" s="29"/>
      <c r="G253" s="29"/>
      <c r="H253" s="32" t="e">
        <f t="shared" ca="1" si="33"/>
        <v>#N/A</v>
      </c>
      <c r="I253" s="29" t="s">
        <v>19</v>
      </c>
      <c r="J253" s="25" t="e">
        <f t="shared" ca="1" si="35"/>
        <v>#N/A</v>
      </c>
    </row>
    <row r="254" spans="1:10" ht="15.75" x14ac:dyDescent="0.25">
      <c r="A254" s="20"/>
      <c r="B254" s="31" t="e">
        <f t="shared" ca="1" si="34"/>
        <v>#N/A</v>
      </c>
      <c r="C254" s="20"/>
      <c r="D254" s="32" t="e">
        <f t="shared" ca="1" si="36"/>
        <v>#N/A</v>
      </c>
      <c r="E254" s="29" t="s">
        <v>19</v>
      </c>
      <c r="F254" s="29"/>
      <c r="G254" s="29"/>
      <c r="H254" s="32" t="e">
        <f t="shared" ca="1" si="33"/>
        <v>#N/A</v>
      </c>
      <c r="I254" s="29" t="s">
        <v>19</v>
      </c>
      <c r="J254" s="25" t="e">
        <f t="shared" ca="1" si="35"/>
        <v>#N/A</v>
      </c>
    </row>
    <row r="255" spans="1:10" ht="15.75" x14ac:dyDescent="0.25">
      <c r="A255" s="20"/>
      <c r="B255" s="31" t="e">
        <f t="shared" ca="1" si="34"/>
        <v>#N/A</v>
      </c>
      <c r="C255" s="20"/>
      <c r="D255" s="32" t="e">
        <f t="shared" ca="1" si="36"/>
        <v>#N/A</v>
      </c>
      <c r="E255" s="29" t="s">
        <v>19</v>
      </c>
      <c r="F255" s="29"/>
      <c r="G255" s="29"/>
      <c r="H255" s="32" t="e">
        <f t="shared" ca="1" si="33"/>
        <v>#N/A</v>
      </c>
      <c r="I255" s="29" t="s">
        <v>19</v>
      </c>
      <c r="J255" s="25" t="e">
        <f t="shared" ca="1" si="35"/>
        <v>#N/A</v>
      </c>
    </row>
    <row r="256" spans="1:10" ht="15.75" x14ac:dyDescent="0.25">
      <c r="A256" s="20"/>
      <c r="B256" s="31" t="e">
        <f t="shared" ca="1" si="34"/>
        <v>#N/A</v>
      </c>
      <c r="C256" s="20"/>
      <c r="D256" s="32" t="e">
        <f t="shared" ca="1" si="36"/>
        <v>#N/A</v>
      </c>
      <c r="E256" s="29" t="s">
        <v>19</v>
      </c>
      <c r="F256" s="29"/>
      <c r="G256" s="29"/>
      <c r="H256" s="32" t="e">
        <f t="shared" ca="1" si="33"/>
        <v>#N/A</v>
      </c>
      <c r="I256" s="29" t="s">
        <v>19</v>
      </c>
      <c r="J256" s="25" t="e">
        <f t="shared" ca="1" si="35"/>
        <v>#N/A</v>
      </c>
    </row>
    <row r="257" spans="1:10" ht="15.75" x14ac:dyDescent="0.25">
      <c r="A257" s="20"/>
      <c r="B257" s="31" t="e">
        <f t="shared" ca="1" si="34"/>
        <v>#N/A</v>
      </c>
      <c r="C257" s="20"/>
      <c r="D257" s="32" t="e">
        <f t="shared" ca="1" si="36"/>
        <v>#N/A</v>
      </c>
      <c r="E257" s="29" t="s">
        <v>19</v>
      </c>
      <c r="F257" s="29"/>
      <c r="G257" s="29"/>
      <c r="H257" s="32" t="e">
        <f t="shared" ca="1" si="33"/>
        <v>#N/A</v>
      </c>
      <c r="I257" s="29" t="s">
        <v>19</v>
      </c>
      <c r="J257" s="25" t="e">
        <f t="shared" ca="1" si="35"/>
        <v>#N/A</v>
      </c>
    </row>
    <row r="258" spans="1:10" ht="15.75" x14ac:dyDescent="0.25">
      <c r="A258" s="20"/>
      <c r="B258" s="31" t="e">
        <f t="shared" ca="1" si="34"/>
        <v>#N/A</v>
      </c>
      <c r="C258" s="20"/>
      <c r="D258" s="32" t="e">
        <f t="shared" ca="1" si="36"/>
        <v>#N/A</v>
      </c>
      <c r="E258" s="29" t="s">
        <v>19</v>
      </c>
      <c r="F258" s="29"/>
      <c r="G258" s="29"/>
      <c r="H258" s="32" t="e">
        <f t="shared" ca="1" si="33"/>
        <v>#N/A</v>
      </c>
      <c r="I258" s="29" t="s">
        <v>19</v>
      </c>
      <c r="J258" s="25" t="e">
        <f t="shared" ca="1" si="35"/>
        <v>#N/A</v>
      </c>
    </row>
    <row r="259" spans="1:10" ht="15.75" x14ac:dyDescent="0.25">
      <c r="A259" s="20"/>
      <c r="B259" s="31" t="e">
        <f t="shared" ca="1" si="34"/>
        <v>#N/A</v>
      </c>
      <c r="C259" s="20"/>
      <c r="D259" s="32" t="e">
        <f t="shared" ca="1" si="36"/>
        <v>#N/A</v>
      </c>
      <c r="E259" s="29" t="s">
        <v>19</v>
      </c>
      <c r="F259" s="29"/>
      <c r="G259" s="29"/>
      <c r="H259" s="32" t="e">
        <f t="shared" ca="1" si="33"/>
        <v>#N/A</v>
      </c>
      <c r="I259" s="29" t="s">
        <v>19</v>
      </c>
      <c r="J259" s="25" t="e">
        <f t="shared" ca="1" si="35"/>
        <v>#N/A</v>
      </c>
    </row>
    <row r="260" spans="1:10" ht="15.75" x14ac:dyDescent="0.25">
      <c r="A260" s="20"/>
      <c r="B260" s="31" t="e">
        <f t="shared" ca="1" si="34"/>
        <v>#N/A</v>
      </c>
      <c r="C260" s="20"/>
      <c r="D260" s="32" t="e">
        <f t="shared" ca="1" si="36"/>
        <v>#N/A</v>
      </c>
      <c r="E260" s="29" t="s">
        <v>19</v>
      </c>
      <c r="F260" s="29"/>
      <c r="G260" s="29"/>
      <c r="H260" s="32" t="e">
        <f t="shared" ca="1" si="33"/>
        <v>#N/A</v>
      </c>
      <c r="I260" s="29" t="s">
        <v>19</v>
      </c>
      <c r="J260" s="25" t="e">
        <f t="shared" ca="1" si="35"/>
        <v>#N/A</v>
      </c>
    </row>
    <row r="261" spans="1:10" ht="15.75" x14ac:dyDescent="0.25">
      <c r="A261" s="20"/>
      <c r="B261" s="31" t="e">
        <f t="shared" ca="1" si="34"/>
        <v>#N/A</v>
      </c>
      <c r="C261" s="20"/>
      <c r="D261" s="32" t="e">
        <f t="shared" ca="1" si="36"/>
        <v>#N/A</v>
      </c>
      <c r="E261" s="29" t="s">
        <v>19</v>
      </c>
      <c r="F261" s="29"/>
      <c r="G261" s="29"/>
      <c r="H261" s="32" t="e">
        <f t="shared" ca="1" si="33"/>
        <v>#N/A</v>
      </c>
      <c r="I261" s="29" t="s">
        <v>19</v>
      </c>
      <c r="J261" s="25" t="e">
        <f t="shared" ca="1" si="35"/>
        <v>#N/A</v>
      </c>
    </row>
    <row r="262" spans="1:10" ht="15.75" x14ac:dyDescent="0.25">
      <c r="A262" s="20"/>
      <c r="B262" s="31" t="e">
        <f t="shared" ca="1" si="34"/>
        <v>#N/A</v>
      </c>
      <c r="C262" s="20"/>
      <c r="D262" s="32" t="e">
        <f t="shared" ca="1" si="36"/>
        <v>#N/A</v>
      </c>
      <c r="E262" s="29" t="s">
        <v>19</v>
      </c>
      <c r="F262" s="29"/>
      <c r="G262" s="29"/>
      <c r="H262" s="32" t="e">
        <f t="shared" ca="1" si="33"/>
        <v>#N/A</v>
      </c>
      <c r="I262" s="29" t="s">
        <v>19</v>
      </c>
      <c r="J262" s="25" t="e">
        <f t="shared" ca="1" si="35"/>
        <v>#N/A</v>
      </c>
    </row>
    <row r="263" spans="1:10" ht="15.75" x14ac:dyDescent="0.25">
      <c r="A263" s="20"/>
      <c r="B263" s="31" t="e">
        <f t="shared" ca="1" si="34"/>
        <v>#N/A</v>
      </c>
      <c r="C263" s="20"/>
      <c r="D263" s="32" t="e">
        <f t="shared" ca="1" si="36"/>
        <v>#N/A</v>
      </c>
      <c r="E263" s="29" t="s">
        <v>19</v>
      </c>
      <c r="F263" s="29"/>
      <c r="G263" s="29"/>
      <c r="H263" s="32" t="e">
        <f t="shared" ca="1" si="33"/>
        <v>#N/A</v>
      </c>
      <c r="I263" s="29" t="s">
        <v>19</v>
      </c>
      <c r="J263" s="25" t="e">
        <f t="shared" ca="1" si="35"/>
        <v>#N/A</v>
      </c>
    </row>
    <row r="264" spans="1:10" ht="15.75" x14ac:dyDescent="0.25">
      <c r="A264" s="20"/>
      <c r="B264" s="31" t="e">
        <f t="shared" ca="1" si="34"/>
        <v>#N/A</v>
      </c>
      <c r="C264" s="20"/>
      <c r="D264" s="32" t="e">
        <f t="shared" ca="1" si="36"/>
        <v>#N/A</v>
      </c>
      <c r="E264" s="29" t="s">
        <v>19</v>
      </c>
      <c r="F264" s="29"/>
      <c r="G264" s="29"/>
      <c r="H264" s="32" t="e">
        <f t="shared" ca="1" si="33"/>
        <v>#N/A</v>
      </c>
      <c r="I264" s="29" t="s">
        <v>19</v>
      </c>
      <c r="J264" s="25" t="e">
        <f t="shared" ca="1" si="35"/>
        <v>#N/A</v>
      </c>
    </row>
    <row r="265" spans="1:10" ht="15.75" x14ac:dyDescent="0.25">
      <c r="A265" s="20"/>
      <c r="B265" s="31" t="e">
        <f t="shared" ca="1" si="34"/>
        <v>#N/A</v>
      </c>
      <c r="C265" s="20"/>
      <c r="D265" s="32" t="e">
        <f t="shared" ca="1" si="36"/>
        <v>#N/A</v>
      </c>
      <c r="E265" s="29" t="s">
        <v>19</v>
      </c>
      <c r="F265" s="29"/>
      <c r="G265" s="29"/>
      <c r="H265" s="32" t="e">
        <f t="shared" ca="1" si="33"/>
        <v>#N/A</v>
      </c>
      <c r="I265" s="29" t="s">
        <v>19</v>
      </c>
      <c r="J265" s="25" t="e">
        <f t="shared" ca="1" si="35"/>
        <v>#N/A</v>
      </c>
    </row>
    <row r="266" spans="1:10" ht="15.75" x14ac:dyDescent="0.25">
      <c r="A266" s="20"/>
      <c r="B266" s="31" t="e">
        <f t="shared" ca="1" si="34"/>
        <v>#N/A</v>
      </c>
      <c r="C266" s="20"/>
      <c r="D266" s="32" t="e">
        <f t="shared" ca="1" si="36"/>
        <v>#N/A</v>
      </c>
      <c r="E266" s="29" t="s">
        <v>19</v>
      </c>
      <c r="F266" s="29"/>
      <c r="G266" s="29"/>
      <c r="H266" s="32" t="e">
        <f t="shared" ca="1" si="33"/>
        <v>#N/A</v>
      </c>
      <c r="I266" s="29" t="s">
        <v>19</v>
      </c>
      <c r="J266" s="25" t="e">
        <f t="shared" ca="1" si="35"/>
        <v>#N/A</v>
      </c>
    </row>
    <row r="267" spans="1:10" ht="15.75" x14ac:dyDescent="0.25">
      <c r="A267" s="20"/>
      <c r="B267" s="31" t="e">
        <f t="shared" ca="1" si="34"/>
        <v>#N/A</v>
      </c>
      <c r="C267" s="20"/>
      <c r="D267" s="32" t="e">
        <f t="shared" ca="1" si="36"/>
        <v>#N/A</v>
      </c>
      <c r="E267" s="29" t="s">
        <v>19</v>
      </c>
      <c r="F267" s="29"/>
      <c r="G267" s="29"/>
      <c r="H267" s="32" t="e">
        <f t="shared" ca="1" si="33"/>
        <v>#N/A</v>
      </c>
      <c r="I267" s="29" t="s">
        <v>19</v>
      </c>
      <c r="J267" s="25" t="e">
        <f t="shared" ca="1" si="35"/>
        <v>#N/A</v>
      </c>
    </row>
    <row r="268" spans="1:10" ht="15.75" x14ac:dyDescent="0.25">
      <c r="A268" s="20"/>
      <c r="B268" s="31" t="e">
        <f t="shared" ca="1" si="34"/>
        <v>#N/A</v>
      </c>
      <c r="C268" s="20"/>
      <c r="D268" s="32" t="e">
        <f t="shared" ca="1" si="36"/>
        <v>#N/A</v>
      </c>
      <c r="E268" s="29" t="s">
        <v>19</v>
      </c>
      <c r="F268" s="29"/>
      <c r="G268" s="29"/>
      <c r="H268" s="32" t="e">
        <f t="shared" ca="1" si="33"/>
        <v>#N/A</v>
      </c>
      <c r="I268" s="29" t="s">
        <v>19</v>
      </c>
      <c r="J268" s="25" t="e">
        <f t="shared" ca="1" si="35"/>
        <v>#N/A</v>
      </c>
    </row>
    <row r="269" spans="1:10" ht="15.75" x14ac:dyDescent="0.25">
      <c r="A269" s="20"/>
      <c r="B269" s="31" t="e">
        <f t="shared" ca="1" si="34"/>
        <v>#N/A</v>
      </c>
      <c r="C269" s="20"/>
      <c r="D269" s="32" t="e">
        <f t="shared" ca="1" si="36"/>
        <v>#N/A</v>
      </c>
      <c r="E269" s="29" t="s">
        <v>19</v>
      </c>
      <c r="F269" s="29"/>
      <c r="G269" s="29"/>
      <c r="H269" s="32" t="e">
        <f t="shared" ca="1" si="33"/>
        <v>#N/A</v>
      </c>
      <c r="I269" s="29" t="s">
        <v>19</v>
      </c>
      <c r="J269" s="25" t="e">
        <f t="shared" ca="1" si="35"/>
        <v>#N/A</v>
      </c>
    </row>
    <row r="270" spans="1:10" ht="15.75" x14ac:dyDescent="0.25">
      <c r="A270" s="20"/>
      <c r="B270" s="31" t="e">
        <f t="shared" ca="1" si="34"/>
        <v>#N/A</v>
      </c>
      <c r="C270" s="20"/>
      <c r="D270" s="32" t="e">
        <f t="shared" ca="1" si="36"/>
        <v>#N/A</v>
      </c>
      <c r="E270" s="29" t="s">
        <v>19</v>
      </c>
      <c r="F270" s="29"/>
      <c r="G270" s="29"/>
      <c r="H270" s="32" t="e">
        <f t="shared" ca="1" si="33"/>
        <v>#N/A</v>
      </c>
      <c r="I270" s="29" t="s">
        <v>19</v>
      </c>
      <c r="J270" s="25" t="e">
        <f t="shared" ca="1" si="35"/>
        <v>#N/A</v>
      </c>
    </row>
    <row r="271" spans="1:10" ht="15.75" x14ac:dyDescent="0.25">
      <c r="A271" s="20"/>
      <c r="B271" s="31" t="e">
        <f t="shared" ca="1" si="34"/>
        <v>#N/A</v>
      </c>
      <c r="C271" s="20"/>
      <c r="D271" s="32" t="e">
        <f t="shared" ca="1" si="36"/>
        <v>#N/A</v>
      </c>
      <c r="E271" s="29" t="s">
        <v>19</v>
      </c>
      <c r="F271" s="29"/>
      <c r="G271" s="29"/>
      <c r="H271" s="32" t="e">
        <f t="shared" ca="1" si="33"/>
        <v>#N/A</v>
      </c>
      <c r="I271" s="29" t="s">
        <v>19</v>
      </c>
      <c r="J271" s="25" t="e">
        <f t="shared" ca="1" si="35"/>
        <v>#N/A</v>
      </c>
    </row>
    <row r="272" spans="1:10" ht="15.75" x14ac:dyDescent="0.25">
      <c r="A272" s="20"/>
      <c r="B272" s="31" t="e">
        <f t="shared" ca="1" si="34"/>
        <v>#N/A</v>
      </c>
      <c r="C272" s="20"/>
      <c r="D272" s="32" t="e">
        <f t="shared" ca="1" si="36"/>
        <v>#N/A</v>
      </c>
      <c r="E272" s="29" t="s">
        <v>19</v>
      </c>
      <c r="F272" s="29"/>
      <c r="G272" s="29"/>
      <c r="H272" s="32" t="e">
        <f t="shared" ca="1" si="33"/>
        <v>#N/A</v>
      </c>
      <c r="I272" s="29" t="s">
        <v>19</v>
      </c>
      <c r="J272" s="25" t="e">
        <f t="shared" ca="1" si="35"/>
        <v>#N/A</v>
      </c>
    </row>
    <row r="273" spans="1:10" ht="15.75" x14ac:dyDescent="0.25">
      <c r="A273" s="20"/>
      <c r="B273" s="31" t="e">
        <f t="shared" ca="1" si="34"/>
        <v>#N/A</v>
      </c>
      <c r="C273" s="20"/>
      <c r="D273" s="32" t="e">
        <f t="shared" ca="1" si="36"/>
        <v>#N/A</v>
      </c>
      <c r="E273" s="29" t="s">
        <v>19</v>
      </c>
      <c r="F273" s="29"/>
      <c r="G273" s="29"/>
      <c r="H273" s="32" t="e">
        <f t="shared" ca="1" si="33"/>
        <v>#N/A</v>
      </c>
      <c r="I273" s="29" t="s">
        <v>19</v>
      </c>
      <c r="J273" s="25" t="e">
        <f t="shared" ca="1" si="35"/>
        <v>#N/A</v>
      </c>
    </row>
    <row r="274" spans="1:10" ht="15.75" x14ac:dyDescent="0.25">
      <c r="A274" s="20"/>
      <c r="B274" s="31" t="e">
        <f t="shared" ca="1" si="34"/>
        <v>#N/A</v>
      </c>
      <c r="C274" s="20"/>
      <c r="D274" s="32" t="e">
        <f t="shared" ca="1" si="36"/>
        <v>#N/A</v>
      </c>
      <c r="E274" s="29" t="s">
        <v>19</v>
      </c>
      <c r="F274" s="29"/>
      <c r="G274" s="29"/>
      <c r="H274" s="32" t="e">
        <f t="shared" ca="1" si="33"/>
        <v>#N/A</v>
      </c>
      <c r="I274" s="29" t="s">
        <v>19</v>
      </c>
      <c r="J274" s="25" t="e">
        <f t="shared" ca="1" si="35"/>
        <v>#N/A</v>
      </c>
    </row>
    <row r="275" spans="1:10" ht="15.75" x14ac:dyDescent="0.25">
      <c r="A275" s="20"/>
      <c r="B275" s="31" t="e">
        <f t="shared" ca="1" si="34"/>
        <v>#N/A</v>
      </c>
      <c r="C275" s="20"/>
      <c r="D275" s="32" t="e">
        <f t="shared" ca="1" si="36"/>
        <v>#N/A</v>
      </c>
      <c r="E275" s="29" t="s">
        <v>19</v>
      </c>
      <c r="F275" s="29"/>
      <c r="G275" s="29"/>
      <c r="H275" s="32" t="e">
        <f t="shared" ca="1" si="33"/>
        <v>#N/A</v>
      </c>
      <c r="I275" s="29" t="s">
        <v>19</v>
      </c>
      <c r="J275" s="25" t="e">
        <f t="shared" ca="1" si="35"/>
        <v>#N/A</v>
      </c>
    </row>
    <row r="276" spans="1:10" ht="15.75" x14ac:dyDescent="0.25">
      <c r="A276" s="20"/>
      <c r="B276" s="31" t="e">
        <f t="shared" ca="1" si="34"/>
        <v>#N/A</v>
      </c>
      <c r="C276" s="20"/>
      <c r="D276" s="32" t="e">
        <f t="shared" ca="1" si="36"/>
        <v>#N/A</v>
      </c>
      <c r="E276" s="29" t="s">
        <v>19</v>
      </c>
      <c r="F276" s="29"/>
      <c r="G276" s="29"/>
      <c r="H276" s="32" t="e">
        <f t="shared" ca="1" si="33"/>
        <v>#N/A</v>
      </c>
      <c r="I276" s="29" t="s">
        <v>19</v>
      </c>
      <c r="J276" s="25" t="e">
        <f t="shared" ca="1" si="35"/>
        <v>#N/A</v>
      </c>
    </row>
    <row r="277" spans="1:10" ht="15.75" x14ac:dyDescent="0.25">
      <c r="A277" s="20"/>
      <c r="B277" s="31" t="e">
        <f t="shared" ca="1" si="34"/>
        <v>#N/A</v>
      </c>
      <c r="C277" s="20"/>
      <c r="D277" s="32" t="e">
        <f t="shared" ca="1" si="36"/>
        <v>#N/A</v>
      </c>
      <c r="E277" s="29" t="s">
        <v>19</v>
      </c>
      <c r="F277" s="29"/>
      <c r="G277" s="29"/>
      <c r="H277" s="32" t="e">
        <f t="shared" ca="1" si="33"/>
        <v>#N/A</v>
      </c>
      <c r="I277" s="29" t="s">
        <v>19</v>
      </c>
      <c r="J277" s="25" t="e">
        <f t="shared" ca="1" si="35"/>
        <v>#N/A</v>
      </c>
    </row>
    <row r="278" spans="1:10" ht="15.75" x14ac:dyDescent="0.25">
      <c r="A278" s="20"/>
      <c r="B278" s="31" t="e">
        <f t="shared" ca="1" si="34"/>
        <v>#N/A</v>
      </c>
      <c r="C278" s="20"/>
      <c r="D278" s="32" t="e">
        <f t="shared" ca="1" si="36"/>
        <v>#N/A</v>
      </c>
      <c r="E278" s="29" t="s">
        <v>19</v>
      </c>
      <c r="F278" s="29"/>
      <c r="G278" s="29"/>
      <c r="H278" s="32" t="e">
        <f t="shared" ca="1" si="33"/>
        <v>#N/A</v>
      </c>
      <c r="I278" s="29" t="s">
        <v>19</v>
      </c>
      <c r="J278" s="25" t="e">
        <f t="shared" ca="1" si="35"/>
        <v>#N/A</v>
      </c>
    </row>
    <row r="279" spans="1:10" ht="15.75" x14ac:dyDescent="0.25">
      <c r="A279" s="20"/>
      <c r="B279" s="31" t="e">
        <f t="shared" ca="1" si="34"/>
        <v>#N/A</v>
      </c>
      <c r="C279" s="20"/>
      <c r="D279" s="32" t="e">
        <f t="shared" ca="1" si="36"/>
        <v>#N/A</v>
      </c>
      <c r="E279" s="29" t="s">
        <v>19</v>
      </c>
      <c r="F279" s="29"/>
      <c r="G279" s="29"/>
      <c r="H279" s="32" t="e">
        <f t="shared" ca="1" si="33"/>
        <v>#N/A</v>
      </c>
      <c r="I279" s="29" t="s">
        <v>19</v>
      </c>
      <c r="J279" s="25" t="e">
        <f t="shared" ca="1" si="35"/>
        <v>#N/A</v>
      </c>
    </row>
    <row r="280" spans="1:10" ht="15.75" x14ac:dyDescent="0.25">
      <c r="A280" s="20"/>
      <c r="B280" s="31" t="e">
        <f t="shared" ca="1" si="34"/>
        <v>#N/A</v>
      </c>
      <c r="C280" s="20"/>
      <c r="D280" s="32" t="e">
        <f t="shared" ca="1" si="36"/>
        <v>#N/A</v>
      </c>
      <c r="E280" s="29" t="s">
        <v>19</v>
      </c>
      <c r="F280" s="29"/>
      <c r="G280" s="29"/>
      <c r="H280" s="32" t="e">
        <f t="shared" ref="H280:H343" ca="1" si="37">VLOOKUP($A280,TermekKod_data,9,0)</f>
        <v>#N/A</v>
      </c>
      <c r="I280" s="29" t="s">
        <v>19</v>
      </c>
      <c r="J280" s="25" t="e">
        <f t="shared" ca="1" si="35"/>
        <v>#N/A</v>
      </c>
    </row>
    <row r="281" spans="1:10" ht="15.75" x14ac:dyDescent="0.25">
      <c r="A281" s="20"/>
      <c r="B281" s="31" t="e">
        <f t="shared" ref="B281:B344" ca="1" si="38">VLOOKUP(A281,TermekKod_data,2,FALSE)</f>
        <v>#N/A</v>
      </c>
      <c r="C281" s="20"/>
      <c r="D281" s="32" t="e">
        <f t="shared" ca="1" si="36"/>
        <v>#N/A</v>
      </c>
      <c r="E281" s="29" t="s">
        <v>19</v>
      </c>
      <c r="F281" s="29"/>
      <c r="G281" s="29"/>
      <c r="H281" s="32" t="e">
        <f t="shared" ca="1" si="37"/>
        <v>#N/A</v>
      </c>
      <c r="I281" s="29" t="s">
        <v>19</v>
      </c>
      <c r="J281" s="25" t="e">
        <f t="shared" ca="1" si="35"/>
        <v>#N/A</v>
      </c>
    </row>
    <row r="282" spans="1:10" ht="15.75" x14ac:dyDescent="0.25">
      <c r="A282" s="20"/>
      <c r="B282" s="31" t="e">
        <f t="shared" ca="1" si="38"/>
        <v>#N/A</v>
      </c>
      <c r="C282" s="20"/>
      <c r="D282" s="32" t="e">
        <f t="shared" ca="1" si="36"/>
        <v>#N/A</v>
      </c>
      <c r="E282" s="29" t="s">
        <v>19</v>
      </c>
      <c r="F282" s="29"/>
      <c r="G282" s="29"/>
      <c r="H282" s="32" t="e">
        <f t="shared" ca="1" si="37"/>
        <v>#N/A</v>
      </c>
      <c r="I282" s="29" t="s">
        <v>19</v>
      </c>
      <c r="J282" s="25" t="e">
        <f t="shared" ca="1" si="35"/>
        <v>#N/A</v>
      </c>
    </row>
    <row r="283" spans="1:10" ht="15.75" x14ac:dyDescent="0.25">
      <c r="A283" s="20"/>
      <c r="B283" s="31" t="e">
        <f t="shared" ca="1" si="38"/>
        <v>#N/A</v>
      </c>
      <c r="C283" s="20"/>
      <c r="D283" s="32" t="e">
        <f t="shared" ca="1" si="36"/>
        <v>#N/A</v>
      </c>
      <c r="E283" s="29" t="s">
        <v>19</v>
      </c>
      <c r="F283" s="29"/>
      <c r="G283" s="29"/>
      <c r="H283" s="32" t="e">
        <f t="shared" ca="1" si="37"/>
        <v>#N/A</v>
      </c>
      <c r="I283" s="29" t="s">
        <v>19</v>
      </c>
      <c r="J283" s="25" t="e">
        <f t="shared" ca="1" si="35"/>
        <v>#N/A</v>
      </c>
    </row>
    <row r="284" spans="1:10" ht="15.75" x14ac:dyDescent="0.25">
      <c r="A284" s="20"/>
      <c r="B284" s="31" t="e">
        <f t="shared" ca="1" si="38"/>
        <v>#N/A</v>
      </c>
      <c r="C284" s="20"/>
      <c r="D284" s="32" t="e">
        <f t="shared" ca="1" si="36"/>
        <v>#N/A</v>
      </c>
      <c r="E284" s="29" t="s">
        <v>19</v>
      </c>
      <c r="F284" s="29"/>
      <c r="G284" s="29"/>
      <c r="H284" s="32" t="e">
        <f t="shared" ca="1" si="37"/>
        <v>#N/A</v>
      </c>
      <c r="I284" s="29" t="s">
        <v>19</v>
      </c>
      <c r="J284" s="25" t="e">
        <f t="shared" ca="1" si="35"/>
        <v>#N/A</v>
      </c>
    </row>
    <row r="285" spans="1:10" ht="15.75" x14ac:dyDescent="0.25">
      <c r="A285" s="20"/>
      <c r="B285" s="31" t="e">
        <f t="shared" ca="1" si="38"/>
        <v>#N/A</v>
      </c>
      <c r="C285" s="20"/>
      <c r="D285" s="32" t="e">
        <f t="shared" ca="1" si="36"/>
        <v>#N/A</v>
      </c>
      <c r="E285" s="29" t="s">
        <v>19</v>
      </c>
      <c r="F285" s="29"/>
      <c r="G285" s="29"/>
      <c r="H285" s="32" t="e">
        <f t="shared" ca="1" si="37"/>
        <v>#N/A</v>
      </c>
      <c r="I285" s="29" t="s">
        <v>19</v>
      </c>
      <c r="J285" s="25" t="e">
        <f t="shared" ca="1" si="35"/>
        <v>#N/A</v>
      </c>
    </row>
    <row r="286" spans="1:10" ht="15.75" x14ac:dyDescent="0.25">
      <c r="A286" s="20"/>
      <c r="B286" s="31" t="e">
        <f t="shared" ca="1" si="38"/>
        <v>#N/A</v>
      </c>
      <c r="C286" s="20"/>
      <c r="D286" s="32" t="e">
        <f t="shared" ca="1" si="36"/>
        <v>#N/A</v>
      </c>
      <c r="E286" s="29" t="s">
        <v>19</v>
      </c>
      <c r="F286" s="29"/>
      <c r="G286" s="29"/>
      <c r="H286" s="32" t="e">
        <f t="shared" ca="1" si="37"/>
        <v>#N/A</v>
      </c>
      <c r="I286" s="29" t="s">
        <v>19</v>
      </c>
      <c r="J286" s="25" t="e">
        <f t="shared" ca="1" si="35"/>
        <v>#N/A</v>
      </c>
    </row>
    <row r="287" spans="1:10" ht="15.75" x14ac:dyDescent="0.25">
      <c r="A287" s="20"/>
      <c r="B287" s="31" t="e">
        <f t="shared" ca="1" si="38"/>
        <v>#N/A</v>
      </c>
      <c r="C287" s="20"/>
      <c r="D287" s="32" t="e">
        <f t="shared" ca="1" si="36"/>
        <v>#N/A</v>
      </c>
      <c r="E287" s="29" t="s">
        <v>19</v>
      </c>
      <c r="F287" s="29"/>
      <c r="G287" s="29"/>
      <c r="H287" s="32" t="e">
        <f t="shared" ca="1" si="37"/>
        <v>#N/A</v>
      </c>
      <c r="I287" s="29" t="s">
        <v>19</v>
      </c>
      <c r="J287" s="25" t="e">
        <f t="shared" ca="1" si="35"/>
        <v>#N/A</v>
      </c>
    </row>
    <row r="288" spans="1:10" ht="15.75" x14ac:dyDescent="0.25">
      <c r="A288" s="20"/>
      <c r="B288" s="31" t="e">
        <f t="shared" ca="1" si="38"/>
        <v>#N/A</v>
      </c>
      <c r="C288" s="20"/>
      <c r="D288" s="32" t="e">
        <f t="shared" ca="1" si="36"/>
        <v>#N/A</v>
      </c>
      <c r="E288" s="29" t="s">
        <v>19</v>
      </c>
      <c r="F288" s="29"/>
      <c r="G288" s="29"/>
      <c r="H288" s="32" t="e">
        <f t="shared" ca="1" si="37"/>
        <v>#N/A</v>
      </c>
      <c r="I288" s="29" t="s">
        <v>19</v>
      </c>
      <c r="J288" s="25" t="e">
        <f t="shared" ca="1" si="35"/>
        <v>#N/A</v>
      </c>
    </row>
    <row r="289" spans="1:10" ht="15.75" x14ac:dyDescent="0.25">
      <c r="A289" s="20"/>
      <c r="B289" s="31" t="e">
        <f t="shared" ca="1" si="38"/>
        <v>#N/A</v>
      </c>
      <c r="C289" s="20"/>
      <c r="D289" s="32" t="e">
        <f t="shared" ca="1" si="36"/>
        <v>#N/A</v>
      </c>
      <c r="E289" s="29" t="s">
        <v>19</v>
      </c>
      <c r="F289" s="29"/>
      <c r="G289" s="29"/>
      <c r="H289" s="32" t="e">
        <f t="shared" ca="1" si="37"/>
        <v>#N/A</v>
      </c>
      <c r="I289" s="29" t="s">
        <v>19</v>
      </c>
      <c r="J289" s="25" t="e">
        <f t="shared" ca="1" si="35"/>
        <v>#N/A</v>
      </c>
    </row>
    <row r="290" spans="1:10" ht="15.75" x14ac:dyDescent="0.25">
      <c r="A290" s="20"/>
      <c r="B290" s="31" t="e">
        <f t="shared" ca="1" si="38"/>
        <v>#N/A</v>
      </c>
      <c r="C290" s="20"/>
      <c r="D290" s="32" t="e">
        <f t="shared" ca="1" si="36"/>
        <v>#N/A</v>
      </c>
      <c r="E290" s="29" t="s">
        <v>19</v>
      </c>
      <c r="F290" s="29"/>
      <c r="G290" s="29"/>
      <c r="H290" s="32" t="e">
        <f t="shared" ca="1" si="37"/>
        <v>#N/A</v>
      </c>
      <c r="I290" s="29" t="s">
        <v>19</v>
      </c>
      <c r="J290" s="25" t="e">
        <f t="shared" ca="1" si="35"/>
        <v>#N/A</v>
      </c>
    </row>
    <row r="291" spans="1:10" ht="15.75" x14ac:dyDescent="0.25">
      <c r="A291" s="20"/>
      <c r="B291" s="31" t="e">
        <f t="shared" ca="1" si="38"/>
        <v>#N/A</v>
      </c>
      <c r="C291" s="20"/>
      <c r="D291" s="32" t="e">
        <f t="shared" ca="1" si="36"/>
        <v>#N/A</v>
      </c>
      <c r="E291" s="29" t="s">
        <v>19</v>
      </c>
      <c r="F291" s="29"/>
      <c r="G291" s="29"/>
      <c r="H291" s="32" t="e">
        <f t="shared" ca="1" si="37"/>
        <v>#N/A</v>
      </c>
      <c r="I291" s="29" t="s">
        <v>19</v>
      </c>
      <c r="J291" s="25" t="e">
        <f t="shared" ca="1" si="35"/>
        <v>#N/A</v>
      </c>
    </row>
    <row r="292" spans="1:10" ht="15.75" x14ac:dyDescent="0.25">
      <c r="A292" s="20"/>
      <c r="B292" s="31" t="e">
        <f t="shared" ca="1" si="38"/>
        <v>#N/A</v>
      </c>
      <c r="C292" s="20"/>
      <c r="D292" s="32" t="e">
        <f t="shared" ca="1" si="36"/>
        <v>#N/A</v>
      </c>
      <c r="E292" s="29" t="s">
        <v>19</v>
      </c>
      <c r="F292" s="29"/>
      <c r="G292" s="29"/>
      <c r="H292" s="32" t="e">
        <f t="shared" ca="1" si="37"/>
        <v>#N/A</v>
      </c>
      <c r="I292" s="29" t="s">
        <v>19</v>
      </c>
      <c r="J292" s="25" t="e">
        <f t="shared" ref="J292:J355" ca="1" si="39">VLOOKUP(A292,TermekKod_data,3,FALSE)</f>
        <v>#N/A</v>
      </c>
    </row>
    <row r="293" spans="1:10" ht="15.75" x14ac:dyDescent="0.25">
      <c r="A293" s="20"/>
      <c r="B293" s="31" t="e">
        <f t="shared" ca="1" si="38"/>
        <v>#N/A</v>
      </c>
      <c r="C293" s="20"/>
      <c r="D293" s="32" t="e">
        <f t="shared" ca="1" si="36"/>
        <v>#N/A</v>
      </c>
      <c r="E293" s="29" t="s">
        <v>19</v>
      </c>
      <c r="F293" s="29"/>
      <c r="G293" s="29"/>
      <c r="H293" s="32" t="e">
        <f t="shared" ca="1" si="37"/>
        <v>#N/A</v>
      </c>
      <c r="I293" s="29" t="s">
        <v>19</v>
      </c>
      <c r="J293" s="25" t="e">
        <f t="shared" ca="1" si="39"/>
        <v>#N/A</v>
      </c>
    </row>
    <row r="294" spans="1:10" ht="15.75" x14ac:dyDescent="0.25">
      <c r="A294" s="20"/>
      <c r="B294" s="31" t="e">
        <f t="shared" ca="1" si="38"/>
        <v>#N/A</v>
      </c>
      <c r="C294" s="20"/>
      <c r="D294" s="32" t="e">
        <f t="shared" ca="1" si="36"/>
        <v>#N/A</v>
      </c>
      <c r="E294" s="29" t="s">
        <v>19</v>
      </c>
      <c r="F294" s="29"/>
      <c r="G294" s="29"/>
      <c r="H294" s="32" t="e">
        <f t="shared" ca="1" si="37"/>
        <v>#N/A</v>
      </c>
      <c r="I294" s="29" t="s">
        <v>19</v>
      </c>
      <c r="J294" s="25" t="e">
        <f t="shared" ca="1" si="39"/>
        <v>#N/A</v>
      </c>
    </row>
    <row r="295" spans="1:10" ht="15.75" x14ac:dyDescent="0.25">
      <c r="A295" s="20"/>
      <c r="B295" s="31" t="e">
        <f t="shared" ca="1" si="38"/>
        <v>#N/A</v>
      </c>
      <c r="C295" s="20"/>
      <c r="D295" s="32" t="e">
        <f t="shared" ca="1" si="36"/>
        <v>#N/A</v>
      </c>
      <c r="E295" s="29" t="s">
        <v>19</v>
      </c>
      <c r="F295" s="29"/>
      <c r="G295" s="29"/>
      <c r="H295" s="32" t="e">
        <f t="shared" ca="1" si="37"/>
        <v>#N/A</v>
      </c>
      <c r="I295" s="29" t="s">
        <v>19</v>
      </c>
      <c r="J295" s="25" t="e">
        <f t="shared" ca="1" si="39"/>
        <v>#N/A</v>
      </c>
    </row>
    <row r="296" spans="1:10" ht="15.75" x14ac:dyDescent="0.25">
      <c r="A296" s="20"/>
      <c r="B296" s="31" t="e">
        <f t="shared" ca="1" si="38"/>
        <v>#N/A</v>
      </c>
      <c r="C296" s="20"/>
      <c r="D296" s="32" t="e">
        <f t="shared" ca="1" si="36"/>
        <v>#N/A</v>
      </c>
      <c r="E296" s="29" t="s">
        <v>19</v>
      </c>
      <c r="F296" s="29"/>
      <c r="G296" s="29"/>
      <c r="H296" s="32" t="e">
        <f t="shared" ca="1" si="37"/>
        <v>#N/A</v>
      </c>
      <c r="I296" s="29" t="s">
        <v>19</v>
      </c>
      <c r="J296" s="25" t="e">
        <f t="shared" ca="1" si="39"/>
        <v>#N/A</v>
      </c>
    </row>
    <row r="297" spans="1:10" ht="15.75" x14ac:dyDescent="0.25">
      <c r="A297" s="20"/>
      <c r="B297" s="31" t="e">
        <f t="shared" ca="1" si="38"/>
        <v>#N/A</v>
      </c>
      <c r="C297" s="20"/>
      <c r="D297" s="32" t="e">
        <f t="shared" ca="1" si="36"/>
        <v>#N/A</v>
      </c>
      <c r="E297" s="29" t="s">
        <v>19</v>
      </c>
      <c r="F297" s="29"/>
      <c r="G297" s="29"/>
      <c r="H297" s="32" t="e">
        <f t="shared" ca="1" si="37"/>
        <v>#N/A</v>
      </c>
      <c r="I297" s="29" t="s">
        <v>19</v>
      </c>
      <c r="J297" s="25" t="e">
        <f t="shared" ca="1" si="39"/>
        <v>#N/A</v>
      </c>
    </row>
    <row r="298" spans="1:10" ht="15.75" x14ac:dyDescent="0.25">
      <c r="A298" s="20"/>
      <c r="B298" s="31" t="e">
        <f t="shared" ca="1" si="38"/>
        <v>#N/A</v>
      </c>
      <c r="C298" s="20"/>
      <c r="D298" s="32" t="e">
        <f t="shared" ca="1" si="36"/>
        <v>#N/A</v>
      </c>
      <c r="E298" s="29" t="s">
        <v>19</v>
      </c>
      <c r="F298" s="29"/>
      <c r="G298" s="29"/>
      <c r="H298" s="32" t="e">
        <f t="shared" ca="1" si="37"/>
        <v>#N/A</v>
      </c>
      <c r="I298" s="29" t="s">
        <v>19</v>
      </c>
      <c r="J298" s="25" t="e">
        <f t="shared" ca="1" si="39"/>
        <v>#N/A</v>
      </c>
    </row>
    <row r="299" spans="1:10" ht="15.75" x14ac:dyDescent="0.25">
      <c r="A299" s="20"/>
      <c r="B299" s="31" t="e">
        <f t="shared" ca="1" si="38"/>
        <v>#N/A</v>
      </c>
      <c r="C299" s="20"/>
      <c r="D299" s="32" t="e">
        <f t="shared" ca="1" si="36"/>
        <v>#N/A</v>
      </c>
      <c r="E299" s="29" t="s">
        <v>19</v>
      </c>
      <c r="F299" s="29"/>
      <c r="G299" s="29"/>
      <c r="H299" s="32" t="e">
        <f t="shared" ca="1" si="37"/>
        <v>#N/A</v>
      </c>
      <c r="I299" s="29" t="s">
        <v>19</v>
      </c>
      <c r="J299" s="25" t="e">
        <f t="shared" ca="1" si="39"/>
        <v>#N/A</v>
      </c>
    </row>
    <row r="300" spans="1:10" ht="15.75" x14ac:dyDescent="0.25">
      <c r="A300" s="20"/>
      <c r="B300" s="31" t="e">
        <f t="shared" ca="1" si="38"/>
        <v>#N/A</v>
      </c>
      <c r="C300" s="20"/>
      <c r="D300" s="32" t="e">
        <f t="shared" ca="1" si="36"/>
        <v>#N/A</v>
      </c>
      <c r="E300" s="29" t="s">
        <v>19</v>
      </c>
      <c r="F300" s="29"/>
      <c r="G300" s="29"/>
      <c r="H300" s="32" t="e">
        <f t="shared" ca="1" si="37"/>
        <v>#N/A</v>
      </c>
      <c r="I300" s="29" t="s">
        <v>19</v>
      </c>
      <c r="J300" s="25" t="e">
        <f t="shared" ca="1" si="39"/>
        <v>#N/A</v>
      </c>
    </row>
    <row r="301" spans="1:10" ht="15.75" x14ac:dyDescent="0.25">
      <c r="A301" s="20"/>
      <c r="B301" s="31" t="e">
        <f t="shared" ca="1" si="38"/>
        <v>#N/A</v>
      </c>
      <c r="C301" s="20"/>
      <c r="D301" s="32" t="e">
        <f t="shared" ca="1" si="36"/>
        <v>#N/A</v>
      </c>
      <c r="E301" s="29" t="s">
        <v>19</v>
      </c>
      <c r="F301" s="29"/>
      <c r="G301" s="29"/>
      <c r="H301" s="32" t="e">
        <f t="shared" ca="1" si="37"/>
        <v>#N/A</v>
      </c>
      <c r="I301" s="29" t="s">
        <v>19</v>
      </c>
      <c r="J301" s="25" t="e">
        <f t="shared" ca="1" si="39"/>
        <v>#N/A</v>
      </c>
    </row>
    <row r="302" spans="1:10" ht="15.75" x14ac:dyDescent="0.25">
      <c r="A302" s="20"/>
      <c r="B302" s="31" t="e">
        <f t="shared" ca="1" si="38"/>
        <v>#N/A</v>
      </c>
      <c r="C302" s="20"/>
      <c r="D302" s="32" t="e">
        <f t="shared" ca="1" si="36"/>
        <v>#N/A</v>
      </c>
      <c r="E302" s="29" t="s">
        <v>19</v>
      </c>
      <c r="F302" s="29"/>
      <c r="G302" s="29"/>
      <c r="H302" s="32" t="e">
        <f t="shared" ca="1" si="37"/>
        <v>#N/A</v>
      </c>
      <c r="I302" s="29" t="s">
        <v>19</v>
      </c>
      <c r="J302" s="25" t="e">
        <f t="shared" ca="1" si="39"/>
        <v>#N/A</v>
      </c>
    </row>
    <row r="303" spans="1:10" ht="15.75" x14ac:dyDescent="0.25">
      <c r="A303" s="20"/>
      <c r="B303" s="31" t="e">
        <f t="shared" ca="1" si="38"/>
        <v>#N/A</v>
      </c>
      <c r="C303" s="20"/>
      <c r="D303" s="32" t="e">
        <f t="shared" ca="1" si="36"/>
        <v>#N/A</v>
      </c>
      <c r="E303" s="29" t="s">
        <v>19</v>
      </c>
      <c r="F303" s="29"/>
      <c r="G303" s="29"/>
      <c r="H303" s="32" t="e">
        <f t="shared" ca="1" si="37"/>
        <v>#N/A</v>
      </c>
      <c r="I303" s="29" t="s">
        <v>19</v>
      </c>
      <c r="J303" s="25" t="e">
        <f t="shared" ca="1" si="39"/>
        <v>#N/A</v>
      </c>
    </row>
    <row r="304" spans="1:10" ht="15.75" x14ac:dyDescent="0.25">
      <c r="A304" s="20"/>
      <c r="B304" s="31" t="e">
        <f t="shared" ca="1" si="38"/>
        <v>#N/A</v>
      </c>
      <c r="C304" s="20"/>
      <c r="D304" s="32" t="e">
        <f t="shared" ca="1" si="36"/>
        <v>#N/A</v>
      </c>
      <c r="E304" s="29" t="s">
        <v>19</v>
      </c>
      <c r="F304" s="29"/>
      <c r="G304" s="29"/>
      <c r="H304" s="32" t="e">
        <f t="shared" ca="1" si="37"/>
        <v>#N/A</v>
      </c>
      <c r="I304" s="29" t="s">
        <v>19</v>
      </c>
      <c r="J304" s="25" t="e">
        <f t="shared" ca="1" si="39"/>
        <v>#N/A</v>
      </c>
    </row>
    <row r="305" spans="1:10" ht="15.75" x14ac:dyDescent="0.25">
      <c r="A305" s="20"/>
      <c r="B305" s="31" t="e">
        <f t="shared" ca="1" si="38"/>
        <v>#N/A</v>
      </c>
      <c r="C305" s="20"/>
      <c r="D305" s="32" t="e">
        <f t="shared" ca="1" si="36"/>
        <v>#N/A</v>
      </c>
      <c r="E305" s="29" t="s">
        <v>19</v>
      </c>
      <c r="F305" s="29"/>
      <c r="G305" s="29"/>
      <c r="H305" s="32" t="e">
        <f t="shared" ca="1" si="37"/>
        <v>#N/A</v>
      </c>
      <c r="I305" s="29" t="s">
        <v>19</v>
      </c>
      <c r="J305" s="25" t="e">
        <f t="shared" ca="1" si="39"/>
        <v>#N/A</v>
      </c>
    </row>
    <row r="306" spans="1:10" ht="15.75" x14ac:dyDescent="0.25">
      <c r="A306" s="20"/>
      <c r="B306" s="31" t="e">
        <f t="shared" ca="1" si="38"/>
        <v>#N/A</v>
      </c>
      <c r="C306" s="20"/>
      <c r="D306" s="32" t="e">
        <f t="shared" ca="1" si="36"/>
        <v>#N/A</v>
      </c>
      <c r="E306" s="29" t="s">
        <v>19</v>
      </c>
      <c r="F306" s="29"/>
      <c r="G306" s="29"/>
      <c r="H306" s="32" t="e">
        <f t="shared" ca="1" si="37"/>
        <v>#N/A</v>
      </c>
      <c r="I306" s="29" t="s">
        <v>19</v>
      </c>
      <c r="J306" s="25" t="e">
        <f t="shared" ca="1" si="39"/>
        <v>#N/A</v>
      </c>
    </row>
    <row r="307" spans="1:10" ht="15.75" x14ac:dyDescent="0.25">
      <c r="A307" s="20"/>
      <c r="B307" s="31" t="e">
        <f t="shared" ca="1" si="38"/>
        <v>#N/A</v>
      </c>
      <c r="C307" s="20"/>
      <c r="D307" s="32" t="e">
        <f t="shared" ca="1" si="36"/>
        <v>#N/A</v>
      </c>
      <c r="E307" s="29" t="s">
        <v>19</v>
      </c>
      <c r="F307" s="29"/>
      <c r="G307" s="29"/>
      <c r="H307" s="32" t="e">
        <f t="shared" ca="1" si="37"/>
        <v>#N/A</v>
      </c>
      <c r="I307" s="29" t="s">
        <v>19</v>
      </c>
      <c r="J307" s="25" t="e">
        <f t="shared" ca="1" si="39"/>
        <v>#N/A</v>
      </c>
    </row>
    <row r="308" spans="1:10" ht="15.75" x14ac:dyDescent="0.25">
      <c r="A308" s="20"/>
      <c r="B308" s="31" t="e">
        <f t="shared" ca="1" si="38"/>
        <v>#N/A</v>
      </c>
      <c r="C308" s="20"/>
      <c r="D308" s="32" t="e">
        <f t="shared" ca="1" si="36"/>
        <v>#N/A</v>
      </c>
      <c r="E308" s="29" t="s">
        <v>19</v>
      </c>
      <c r="F308" s="29"/>
      <c r="G308" s="29"/>
      <c r="H308" s="32" t="e">
        <f t="shared" ca="1" si="37"/>
        <v>#N/A</v>
      </c>
      <c r="I308" s="29" t="s">
        <v>19</v>
      </c>
      <c r="J308" s="25" t="e">
        <f t="shared" ca="1" si="39"/>
        <v>#N/A</v>
      </c>
    </row>
    <row r="309" spans="1:10" ht="15.75" x14ac:dyDescent="0.25">
      <c r="A309" s="20"/>
      <c r="B309" s="31" t="e">
        <f t="shared" ca="1" si="38"/>
        <v>#N/A</v>
      </c>
      <c r="C309" s="20"/>
      <c r="D309" s="32" t="e">
        <f t="shared" ca="1" si="36"/>
        <v>#N/A</v>
      </c>
      <c r="E309" s="29" t="s">
        <v>19</v>
      </c>
      <c r="F309" s="29"/>
      <c r="G309" s="29"/>
      <c r="H309" s="32" t="e">
        <f t="shared" ca="1" si="37"/>
        <v>#N/A</v>
      </c>
      <c r="I309" s="29" t="s">
        <v>19</v>
      </c>
      <c r="J309" s="25" t="e">
        <f t="shared" ca="1" si="39"/>
        <v>#N/A</v>
      </c>
    </row>
    <row r="310" spans="1:10" ht="15.75" x14ac:dyDescent="0.25">
      <c r="A310" s="20"/>
      <c r="B310" s="31" t="e">
        <f t="shared" ca="1" si="38"/>
        <v>#N/A</v>
      </c>
      <c r="C310" s="20"/>
      <c r="D310" s="32" t="e">
        <f t="shared" ca="1" si="36"/>
        <v>#N/A</v>
      </c>
      <c r="E310" s="29" t="s">
        <v>19</v>
      </c>
      <c r="F310" s="29"/>
      <c r="G310" s="29"/>
      <c r="H310" s="32" t="e">
        <f t="shared" ca="1" si="37"/>
        <v>#N/A</v>
      </c>
      <c r="I310" s="29" t="s">
        <v>19</v>
      </c>
      <c r="J310" s="25" t="e">
        <f t="shared" ca="1" si="39"/>
        <v>#N/A</v>
      </c>
    </row>
    <row r="311" spans="1:10" ht="15.75" x14ac:dyDescent="0.25">
      <c r="A311" s="20"/>
      <c r="B311" s="31" t="e">
        <f t="shared" ca="1" si="38"/>
        <v>#N/A</v>
      </c>
      <c r="C311" s="20"/>
      <c r="D311" s="32" t="e">
        <f t="shared" ca="1" si="36"/>
        <v>#N/A</v>
      </c>
      <c r="E311" s="29" t="s">
        <v>19</v>
      </c>
      <c r="F311" s="29"/>
      <c r="G311" s="29"/>
      <c r="H311" s="32" t="e">
        <f t="shared" ca="1" si="37"/>
        <v>#N/A</v>
      </c>
      <c r="I311" s="29" t="s">
        <v>19</v>
      </c>
      <c r="J311" s="25" t="e">
        <f t="shared" ca="1" si="39"/>
        <v>#N/A</v>
      </c>
    </row>
    <row r="312" spans="1:10" ht="15.75" x14ac:dyDescent="0.25">
      <c r="A312" s="20"/>
      <c r="B312" s="31" t="e">
        <f t="shared" ca="1" si="38"/>
        <v>#N/A</v>
      </c>
      <c r="C312" s="20"/>
      <c r="D312" s="32" t="e">
        <f t="shared" ca="1" si="36"/>
        <v>#N/A</v>
      </c>
      <c r="E312" s="29" t="s">
        <v>19</v>
      </c>
      <c r="F312" s="29"/>
      <c r="G312" s="29"/>
      <c r="H312" s="32" t="e">
        <f t="shared" ca="1" si="37"/>
        <v>#N/A</v>
      </c>
      <c r="I312" s="29" t="s">
        <v>19</v>
      </c>
      <c r="J312" s="25" t="e">
        <f t="shared" ca="1" si="39"/>
        <v>#N/A</v>
      </c>
    </row>
    <row r="313" spans="1:10" ht="15.75" x14ac:dyDescent="0.25">
      <c r="A313" s="20"/>
      <c r="B313" s="31" t="e">
        <f t="shared" ca="1" si="38"/>
        <v>#N/A</v>
      </c>
      <c r="C313" s="20"/>
      <c r="D313" s="32" t="e">
        <f t="shared" ref="D313:D376" ca="1" si="40">VLOOKUP($A313,TermekKod_data,8,0)</f>
        <v>#N/A</v>
      </c>
      <c r="E313" s="29" t="s">
        <v>19</v>
      </c>
      <c r="F313" s="29"/>
      <c r="G313" s="29"/>
      <c r="H313" s="32" t="e">
        <f t="shared" ca="1" si="37"/>
        <v>#N/A</v>
      </c>
      <c r="I313" s="29" t="s">
        <v>19</v>
      </c>
      <c r="J313" s="25" t="e">
        <f t="shared" ca="1" si="39"/>
        <v>#N/A</v>
      </c>
    </row>
    <row r="314" spans="1:10" ht="15.75" x14ac:dyDescent="0.25">
      <c r="A314" s="20"/>
      <c r="B314" s="31" t="e">
        <f t="shared" ca="1" si="38"/>
        <v>#N/A</v>
      </c>
      <c r="C314" s="20"/>
      <c r="D314" s="32" t="e">
        <f t="shared" ca="1" si="40"/>
        <v>#N/A</v>
      </c>
      <c r="E314" s="29" t="s">
        <v>19</v>
      </c>
      <c r="F314" s="29"/>
      <c r="G314" s="29"/>
      <c r="H314" s="32" t="e">
        <f t="shared" ca="1" si="37"/>
        <v>#N/A</v>
      </c>
      <c r="I314" s="29" t="s">
        <v>19</v>
      </c>
      <c r="J314" s="25" t="e">
        <f t="shared" ca="1" si="39"/>
        <v>#N/A</v>
      </c>
    </row>
    <row r="315" spans="1:10" ht="15.75" x14ac:dyDescent="0.25">
      <c r="A315" s="20"/>
      <c r="B315" s="31" t="e">
        <f t="shared" ca="1" si="38"/>
        <v>#N/A</v>
      </c>
      <c r="C315" s="20"/>
      <c r="D315" s="32" t="e">
        <f t="shared" ca="1" si="40"/>
        <v>#N/A</v>
      </c>
      <c r="E315" s="29" t="s">
        <v>19</v>
      </c>
      <c r="F315" s="29"/>
      <c r="G315" s="29"/>
      <c r="H315" s="32" t="e">
        <f t="shared" ca="1" si="37"/>
        <v>#N/A</v>
      </c>
      <c r="I315" s="29" t="s">
        <v>19</v>
      </c>
      <c r="J315" s="25" t="e">
        <f t="shared" ca="1" si="39"/>
        <v>#N/A</v>
      </c>
    </row>
    <row r="316" spans="1:10" ht="15.75" x14ac:dyDescent="0.25">
      <c r="A316" s="20"/>
      <c r="B316" s="31" t="e">
        <f t="shared" ca="1" si="38"/>
        <v>#N/A</v>
      </c>
      <c r="C316" s="20"/>
      <c r="D316" s="32" t="e">
        <f t="shared" ca="1" si="40"/>
        <v>#N/A</v>
      </c>
      <c r="E316" s="29" t="s">
        <v>19</v>
      </c>
      <c r="F316" s="29"/>
      <c r="G316" s="29"/>
      <c r="H316" s="32" t="e">
        <f t="shared" ca="1" si="37"/>
        <v>#N/A</v>
      </c>
      <c r="I316" s="29" t="s">
        <v>19</v>
      </c>
      <c r="J316" s="25" t="e">
        <f t="shared" ca="1" si="39"/>
        <v>#N/A</v>
      </c>
    </row>
    <row r="317" spans="1:10" ht="15.75" x14ac:dyDescent="0.25">
      <c r="A317" s="20"/>
      <c r="B317" s="31" t="e">
        <f t="shared" ca="1" si="38"/>
        <v>#N/A</v>
      </c>
      <c r="C317" s="20"/>
      <c r="D317" s="32" t="e">
        <f t="shared" ca="1" si="40"/>
        <v>#N/A</v>
      </c>
      <c r="E317" s="29" t="s">
        <v>19</v>
      </c>
      <c r="F317" s="29"/>
      <c r="G317" s="29"/>
      <c r="H317" s="32" t="e">
        <f t="shared" ca="1" si="37"/>
        <v>#N/A</v>
      </c>
      <c r="I317" s="29" t="s">
        <v>19</v>
      </c>
      <c r="J317" s="25" t="e">
        <f t="shared" ca="1" si="39"/>
        <v>#N/A</v>
      </c>
    </row>
    <row r="318" spans="1:10" ht="15.75" x14ac:dyDescent="0.25">
      <c r="A318" s="20"/>
      <c r="B318" s="31" t="e">
        <f t="shared" ca="1" si="38"/>
        <v>#N/A</v>
      </c>
      <c r="C318" s="20"/>
      <c r="D318" s="32" t="e">
        <f t="shared" ca="1" si="40"/>
        <v>#N/A</v>
      </c>
      <c r="E318" s="29" t="s">
        <v>19</v>
      </c>
      <c r="F318" s="29"/>
      <c r="G318" s="29"/>
      <c r="H318" s="32" t="e">
        <f t="shared" ca="1" si="37"/>
        <v>#N/A</v>
      </c>
      <c r="I318" s="29" t="s">
        <v>19</v>
      </c>
      <c r="J318" s="25" t="e">
        <f t="shared" ca="1" si="39"/>
        <v>#N/A</v>
      </c>
    </row>
    <row r="319" spans="1:10" ht="15.75" x14ac:dyDescent="0.25">
      <c r="A319" s="20"/>
      <c r="B319" s="31" t="e">
        <f t="shared" ca="1" si="38"/>
        <v>#N/A</v>
      </c>
      <c r="C319" s="20"/>
      <c r="D319" s="32" t="e">
        <f t="shared" ca="1" si="40"/>
        <v>#N/A</v>
      </c>
      <c r="E319" s="29" t="s">
        <v>19</v>
      </c>
      <c r="F319" s="29"/>
      <c r="G319" s="29"/>
      <c r="H319" s="32" t="e">
        <f t="shared" ca="1" si="37"/>
        <v>#N/A</v>
      </c>
      <c r="I319" s="29" t="s">
        <v>19</v>
      </c>
      <c r="J319" s="25" t="e">
        <f t="shared" ca="1" si="39"/>
        <v>#N/A</v>
      </c>
    </row>
    <row r="320" spans="1:10" ht="15.75" x14ac:dyDescent="0.25">
      <c r="A320" s="20"/>
      <c r="B320" s="31" t="e">
        <f t="shared" ca="1" si="38"/>
        <v>#N/A</v>
      </c>
      <c r="C320" s="20"/>
      <c r="D320" s="32" t="e">
        <f t="shared" ca="1" si="40"/>
        <v>#N/A</v>
      </c>
      <c r="E320" s="29" t="s">
        <v>19</v>
      </c>
      <c r="F320" s="29"/>
      <c r="G320" s="29"/>
      <c r="H320" s="32" t="e">
        <f t="shared" ca="1" si="37"/>
        <v>#N/A</v>
      </c>
      <c r="I320" s="29" t="s">
        <v>19</v>
      </c>
      <c r="J320" s="25" t="e">
        <f t="shared" ca="1" si="39"/>
        <v>#N/A</v>
      </c>
    </row>
    <row r="321" spans="1:10" ht="15.75" x14ac:dyDescent="0.25">
      <c r="A321" s="20"/>
      <c r="B321" s="31" t="e">
        <f t="shared" ca="1" si="38"/>
        <v>#N/A</v>
      </c>
      <c r="C321" s="20"/>
      <c r="D321" s="32" t="e">
        <f t="shared" ca="1" si="40"/>
        <v>#N/A</v>
      </c>
      <c r="E321" s="29" t="s">
        <v>19</v>
      </c>
      <c r="F321" s="29"/>
      <c r="G321" s="29"/>
      <c r="H321" s="32" t="e">
        <f t="shared" ca="1" si="37"/>
        <v>#N/A</v>
      </c>
      <c r="I321" s="29" t="s">
        <v>19</v>
      </c>
      <c r="J321" s="25" t="e">
        <f t="shared" ca="1" si="39"/>
        <v>#N/A</v>
      </c>
    </row>
    <row r="322" spans="1:10" ht="15.75" x14ac:dyDescent="0.25">
      <c r="A322" s="20"/>
      <c r="B322" s="31" t="e">
        <f t="shared" ca="1" si="38"/>
        <v>#N/A</v>
      </c>
      <c r="C322" s="20"/>
      <c r="D322" s="32" t="e">
        <f t="shared" ca="1" si="40"/>
        <v>#N/A</v>
      </c>
      <c r="E322" s="29" t="s">
        <v>19</v>
      </c>
      <c r="F322" s="29"/>
      <c r="G322" s="29"/>
      <c r="H322" s="32" t="e">
        <f t="shared" ca="1" si="37"/>
        <v>#N/A</v>
      </c>
      <c r="I322" s="29" t="s">
        <v>19</v>
      </c>
      <c r="J322" s="25" t="e">
        <f t="shared" ca="1" si="39"/>
        <v>#N/A</v>
      </c>
    </row>
    <row r="323" spans="1:10" ht="15.75" x14ac:dyDescent="0.25">
      <c r="A323" s="20"/>
      <c r="B323" s="31" t="e">
        <f t="shared" ca="1" si="38"/>
        <v>#N/A</v>
      </c>
      <c r="C323" s="20"/>
      <c r="D323" s="32" t="e">
        <f t="shared" ca="1" si="40"/>
        <v>#N/A</v>
      </c>
      <c r="E323" s="29" t="s">
        <v>19</v>
      </c>
      <c r="F323" s="29"/>
      <c r="G323" s="29"/>
      <c r="H323" s="32" t="e">
        <f t="shared" ca="1" si="37"/>
        <v>#N/A</v>
      </c>
      <c r="I323" s="29" t="s">
        <v>19</v>
      </c>
      <c r="J323" s="25" t="e">
        <f t="shared" ca="1" si="39"/>
        <v>#N/A</v>
      </c>
    </row>
    <row r="324" spans="1:10" ht="15.75" x14ac:dyDescent="0.25">
      <c r="A324" s="20"/>
      <c r="B324" s="31" t="e">
        <f t="shared" ca="1" si="38"/>
        <v>#N/A</v>
      </c>
      <c r="C324" s="20"/>
      <c r="D324" s="32" t="e">
        <f t="shared" ca="1" si="40"/>
        <v>#N/A</v>
      </c>
      <c r="E324" s="29" t="s">
        <v>19</v>
      </c>
      <c r="F324" s="29"/>
      <c r="G324" s="29"/>
      <c r="H324" s="32" t="e">
        <f t="shared" ca="1" si="37"/>
        <v>#N/A</v>
      </c>
      <c r="I324" s="29" t="s">
        <v>19</v>
      </c>
      <c r="J324" s="25" t="e">
        <f t="shared" ca="1" si="39"/>
        <v>#N/A</v>
      </c>
    </row>
    <row r="325" spans="1:10" ht="15.75" x14ac:dyDescent="0.25">
      <c r="A325" s="20"/>
      <c r="B325" s="31" t="e">
        <f t="shared" ca="1" si="38"/>
        <v>#N/A</v>
      </c>
      <c r="C325" s="20"/>
      <c r="D325" s="32" t="e">
        <f t="shared" ca="1" si="40"/>
        <v>#N/A</v>
      </c>
      <c r="E325" s="29" t="s">
        <v>19</v>
      </c>
      <c r="F325" s="29"/>
      <c r="G325" s="29"/>
      <c r="H325" s="32" t="e">
        <f t="shared" ca="1" si="37"/>
        <v>#N/A</v>
      </c>
      <c r="I325" s="29" t="s">
        <v>19</v>
      </c>
      <c r="J325" s="25" t="e">
        <f t="shared" ca="1" si="39"/>
        <v>#N/A</v>
      </c>
    </row>
    <row r="326" spans="1:10" ht="15.75" x14ac:dyDescent="0.25">
      <c r="A326" s="20"/>
      <c r="B326" s="31" t="e">
        <f t="shared" ca="1" si="38"/>
        <v>#N/A</v>
      </c>
      <c r="C326" s="20"/>
      <c r="D326" s="32" t="e">
        <f t="shared" ca="1" si="40"/>
        <v>#N/A</v>
      </c>
      <c r="E326" s="29" t="s">
        <v>19</v>
      </c>
      <c r="F326" s="29"/>
      <c r="G326" s="29"/>
      <c r="H326" s="32" t="e">
        <f t="shared" ca="1" si="37"/>
        <v>#N/A</v>
      </c>
      <c r="I326" s="29" t="s">
        <v>19</v>
      </c>
      <c r="J326" s="25" t="e">
        <f t="shared" ca="1" si="39"/>
        <v>#N/A</v>
      </c>
    </row>
    <row r="327" spans="1:10" ht="15.75" x14ac:dyDescent="0.25">
      <c r="A327" s="20"/>
      <c r="B327" s="31" t="e">
        <f t="shared" ca="1" si="38"/>
        <v>#N/A</v>
      </c>
      <c r="C327" s="20"/>
      <c r="D327" s="32" t="e">
        <f t="shared" ca="1" si="40"/>
        <v>#N/A</v>
      </c>
      <c r="E327" s="29" t="s">
        <v>19</v>
      </c>
      <c r="F327" s="29"/>
      <c r="G327" s="29"/>
      <c r="H327" s="32" t="e">
        <f t="shared" ca="1" si="37"/>
        <v>#N/A</v>
      </c>
      <c r="I327" s="29" t="s">
        <v>19</v>
      </c>
      <c r="J327" s="25" t="e">
        <f t="shared" ca="1" si="39"/>
        <v>#N/A</v>
      </c>
    </row>
    <row r="328" spans="1:10" ht="15.75" x14ac:dyDescent="0.25">
      <c r="A328" s="20"/>
      <c r="B328" s="31" t="e">
        <f t="shared" ca="1" si="38"/>
        <v>#N/A</v>
      </c>
      <c r="C328" s="20"/>
      <c r="D328" s="32" t="e">
        <f t="shared" ca="1" si="40"/>
        <v>#N/A</v>
      </c>
      <c r="E328" s="29" t="s">
        <v>19</v>
      </c>
      <c r="F328" s="29"/>
      <c r="G328" s="29"/>
      <c r="H328" s="32" t="e">
        <f t="shared" ca="1" si="37"/>
        <v>#N/A</v>
      </c>
      <c r="I328" s="29" t="s">
        <v>19</v>
      </c>
      <c r="J328" s="25" t="e">
        <f t="shared" ca="1" si="39"/>
        <v>#N/A</v>
      </c>
    </row>
    <row r="329" spans="1:10" ht="15.75" x14ac:dyDescent="0.25">
      <c r="A329" s="20"/>
      <c r="B329" s="31" t="e">
        <f t="shared" ca="1" si="38"/>
        <v>#N/A</v>
      </c>
      <c r="C329" s="20"/>
      <c r="D329" s="32" t="e">
        <f t="shared" ca="1" si="40"/>
        <v>#N/A</v>
      </c>
      <c r="E329" s="29" t="s">
        <v>19</v>
      </c>
      <c r="F329" s="29"/>
      <c r="G329" s="29"/>
      <c r="H329" s="32" t="e">
        <f t="shared" ca="1" si="37"/>
        <v>#N/A</v>
      </c>
      <c r="I329" s="29" t="s">
        <v>19</v>
      </c>
      <c r="J329" s="25" t="e">
        <f t="shared" ca="1" si="39"/>
        <v>#N/A</v>
      </c>
    </row>
    <row r="330" spans="1:10" ht="15.75" x14ac:dyDescent="0.25">
      <c r="A330" s="20"/>
      <c r="B330" s="31" t="e">
        <f t="shared" ca="1" si="38"/>
        <v>#N/A</v>
      </c>
      <c r="C330" s="20"/>
      <c r="D330" s="32" t="e">
        <f t="shared" ca="1" si="40"/>
        <v>#N/A</v>
      </c>
      <c r="E330" s="29" t="s">
        <v>19</v>
      </c>
      <c r="F330" s="29"/>
      <c r="G330" s="29"/>
      <c r="H330" s="32" t="e">
        <f t="shared" ca="1" si="37"/>
        <v>#N/A</v>
      </c>
      <c r="I330" s="29" t="s">
        <v>19</v>
      </c>
      <c r="J330" s="25" t="e">
        <f t="shared" ca="1" si="39"/>
        <v>#N/A</v>
      </c>
    </row>
    <row r="331" spans="1:10" ht="15.75" x14ac:dyDescent="0.25">
      <c r="A331" s="20"/>
      <c r="B331" s="31" t="e">
        <f t="shared" ca="1" si="38"/>
        <v>#N/A</v>
      </c>
      <c r="C331" s="20"/>
      <c r="D331" s="32" t="e">
        <f t="shared" ca="1" si="40"/>
        <v>#N/A</v>
      </c>
      <c r="E331" s="29" t="s">
        <v>19</v>
      </c>
      <c r="F331" s="29"/>
      <c r="G331" s="29"/>
      <c r="H331" s="32" t="e">
        <f t="shared" ca="1" si="37"/>
        <v>#N/A</v>
      </c>
      <c r="I331" s="29" t="s">
        <v>19</v>
      </c>
      <c r="J331" s="25" t="e">
        <f t="shared" ca="1" si="39"/>
        <v>#N/A</v>
      </c>
    </row>
    <row r="332" spans="1:10" ht="15.75" x14ac:dyDescent="0.25">
      <c r="A332" s="20"/>
      <c r="B332" s="31" t="e">
        <f t="shared" ca="1" si="38"/>
        <v>#N/A</v>
      </c>
      <c r="C332" s="20"/>
      <c r="D332" s="32" t="e">
        <f t="shared" ca="1" si="40"/>
        <v>#N/A</v>
      </c>
      <c r="E332" s="29" t="s">
        <v>19</v>
      </c>
      <c r="F332" s="29"/>
      <c r="G332" s="29"/>
      <c r="H332" s="32" t="e">
        <f t="shared" ca="1" si="37"/>
        <v>#N/A</v>
      </c>
      <c r="I332" s="29" t="s">
        <v>19</v>
      </c>
      <c r="J332" s="25" t="e">
        <f t="shared" ca="1" si="39"/>
        <v>#N/A</v>
      </c>
    </row>
    <row r="333" spans="1:10" ht="15.75" x14ac:dyDescent="0.25">
      <c r="A333" s="20"/>
      <c r="B333" s="31" t="e">
        <f t="shared" ca="1" si="38"/>
        <v>#N/A</v>
      </c>
      <c r="C333" s="20"/>
      <c r="D333" s="32" t="e">
        <f t="shared" ca="1" si="40"/>
        <v>#N/A</v>
      </c>
      <c r="E333" s="29" t="s">
        <v>19</v>
      </c>
      <c r="F333" s="29"/>
      <c r="G333" s="29"/>
      <c r="H333" s="32" t="e">
        <f t="shared" ca="1" si="37"/>
        <v>#N/A</v>
      </c>
      <c r="I333" s="29" t="s">
        <v>19</v>
      </c>
      <c r="J333" s="25" t="e">
        <f t="shared" ca="1" si="39"/>
        <v>#N/A</v>
      </c>
    </row>
    <row r="334" spans="1:10" ht="15.75" x14ac:dyDescent="0.25">
      <c r="A334" s="20"/>
      <c r="B334" s="31" t="e">
        <f t="shared" ca="1" si="38"/>
        <v>#N/A</v>
      </c>
      <c r="C334" s="20"/>
      <c r="D334" s="32" t="e">
        <f t="shared" ca="1" si="40"/>
        <v>#N/A</v>
      </c>
      <c r="E334" s="29" t="s">
        <v>19</v>
      </c>
      <c r="F334" s="29"/>
      <c r="G334" s="29"/>
      <c r="H334" s="32" t="e">
        <f t="shared" ca="1" si="37"/>
        <v>#N/A</v>
      </c>
      <c r="I334" s="29" t="s">
        <v>19</v>
      </c>
      <c r="J334" s="25" t="e">
        <f t="shared" ca="1" si="39"/>
        <v>#N/A</v>
      </c>
    </row>
    <row r="335" spans="1:10" ht="15.75" x14ac:dyDescent="0.25">
      <c r="A335" s="20"/>
      <c r="B335" s="31" t="e">
        <f t="shared" ca="1" si="38"/>
        <v>#N/A</v>
      </c>
      <c r="C335" s="20"/>
      <c r="D335" s="32" t="e">
        <f t="shared" ca="1" si="40"/>
        <v>#N/A</v>
      </c>
      <c r="E335" s="29" t="s">
        <v>19</v>
      </c>
      <c r="F335" s="29"/>
      <c r="G335" s="29"/>
      <c r="H335" s="32" t="e">
        <f t="shared" ca="1" si="37"/>
        <v>#N/A</v>
      </c>
      <c r="I335" s="29" t="s">
        <v>19</v>
      </c>
      <c r="J335" s="25" t="e">
        <f t="shared" ca="1" si="39"/>
        <v>#N/A</v>
      </c>
    </row>
    <row r="336" spans="1:10" ht="15.75" x14ac:dyDescent="0.25">
      <c r="A336" s="20"/>
      <c r="B336" s="31" t="e">
        <f t="shared" ca="1" si="38"/>
        <v>#N/A</v>
      </c>
      <c r="C336" s="20"/>
      <c r="D336" s="32" t="e">
        <f t="shared" ca="1" si="40"/>
        <v>#N/A</v>
      </c>
      <c r="E336" s="29" t="s">
        <v>19</v>
      </c>
      <c r="F336" s="29"/>
      <c r="G336" s="29"/>
      <c r="H336" s="32" t="e">
        <f t="shared" ca="1" si="37"/>
        <v>#N/A</v>
      </c>
      <c r="I336" s="29" t="s">
        <v>19</v>
      </c>
      <c r="J336" s="25" t="e">
        <f t="shared" ca="1" si="39"/>
        <v>#N/A</v>
      </c>
    </row>
    <row r="337" spans="1:10" ht="15.75" x14ac:dyDescent="0.25">
      <c r="A337" s="20"/>
      <c r="B337" s="31" t="e">
        <f t="shared" ca="1" si="38"/>
        <v>#N/A</v>
      </c>
      <c r="C337" s="20"/>
      <c r="D337" s="32" t="e">
        <f t="shared" ca="1" si="40"/>
        <v>#N/A</v>
      </c>
      <c r="E337" s="29" t="s">
        <v>19</v>
      </c>
      <c r="F337" s="29"/>
      <c r="G337" s="29"/>
      <c r="H337" s="32" t="e">
        <f t="shared" ca="1" si="37"/>
        <v>#N/A</v>
      </c>
      <c r="I337" s="29" t="s">
        <v>19</v>
      </c>
      <c r="J337" s="25" t="e">
        <f t="shared" ca="1" si="39"/>
        <v>#N/A</v>
      </c>
    </row>
    <row r="338" spans="1:10" ht="15.75" x14ac:dyDescent="0.25">
      <c r="A338" s="20"/>
      <c r="B338" s="31" t="e">
        <f t="shared" ca="1" si="38"/>
        <v>#N/A</v>
      </c>
      <c r="C338" s="20"/>
      <c r="D338" s="32" t="e">
        <f t="shared" ca="1" si="40"/>
        <v>#N/A</v>
      </c>
      <c r="E338" s="29" t="s">
        <v>19</v>
      </c>
      <c r="F338" s="29"/>
      <c r="G338" s="29"/>
      <c r="H338" s="32" t="e">
        <f t="shared" ca="1" si="37"/>
        <v>#N/A</v>
      </c>
      <c r="I338" s="29" t="s">
        <v>19</v>
      </c>
      <c r="J338" s="25" t="e">
        <f t="shared" ca="1" si="39"/>
        <v>#N/A</v>
      </c>
    </row>
    <row r="339" spans="1:10" ht="15.75" x14ac:dyDescent="0.25">
      <c r="A339" s="20"/>
      <c r="B339" s="31" t="e">
        <f t="shared" ca="1" si="38"/>
        <v>#N/A</v>
      </c>
      <c r="C339" s="20"/>
      <c r="D339" s="32" t="e">
        <f t="shared" ca="1" si="40"/>
        <v>#N/A</v>
      </c>
      <c r="E339" s="29" t="s">
        <v>19</v>
      </c>
      <c r="F339" s="29"/>
      <c r="G339" s="29"/>
      <c r="H339" s="32" t="e">
        <f t="shared" ca="1" si="37"/>
        <v>#N/A</v>
      </c>
      <c r="I339" s="29" t="s">
        <v>19</v>
      </c>
      <c r="J339" s="25" t="e">
        <f t="shared" ca="1" si="39"/>
        <v>#N/A</v>
      </c>
    </row>
    <row r="340" spans="1:10" ht="15.75" x14ac:dyDescent="0.25">
      <c r="A340" s="20"/>
      <c r="B340" s="31" t="e">
        <f t="shared" ca="1" si="38"/>
        <v>#N/A</v>
      </c>
      <c r="C340" s="20"/>
      <c r="D340" s="32" t="e">
        <f t="shared" ca="1" si="40"/>
        <v>#N/A</v>
      </c>
      <c r="E340" s="29" t="s">
        <v>19</v>
      </c>
      <c r="F340" s="29"/>
      <c r="G340" s="29"/>
      <c r="H340" s="32" t="e">
        <f t="shared" ca="1" si="37"/>
        <v>#N/A</v>
      </c>
      <c r="I340" s="29" t="s">
        <v>19</v>
      </c>
      <c r="J340" s="25" t="e">
        <f t="shared" ca="1" si="39"/>
        <v>#N/A</v>
      </c>
    </row>
    <row r="341" spans="1:10" ht="15.75" x14ac:dyDescent="0.25">
      <c r="A341" s="20"/>
      <c r="B341" s="31" t="e">
        <f t="shared" ca="1" si="38"/>
        <v>#N/A</v>
      </c>
      <c r="C341" s="20"/>
      <c r="D341" s="32" t="e">
        <f t="shared" ca="1" si="40"/>
        <v>#N/A</v>
      </c>
      <c r="E341" s="29" t="s">
        <v>19</v>
      </c>
      <c r="F341" s="29"/>
      <c r="G341" s="29"/>
      <c r="H341" s="32" t="e">
        <f t="shared" ca="1" si="37"/>
        <v>#N/A</v>
      </c>
      <c r="I341" s="29" t="s">
        <v>19</v>
      </c>
      <c r="J341" s="25" t="e">
        <f t="shared" ca="1" si="39"/>
        <v>#N/A</v>
      </c>
    </row>
    <row r="342" spans="1:10" ht="15.75" x14ac:dyDescent="0.25">
      <c r="A342" s="20"/>
      <c r="B342" s="31" t="e">
        <f t="shared" ca="1" si="38"/>
        <v>#N/A</v>
      </c>
      <c r="C342" s="20"/>
      <c r="D342" s="32" t="e">
        <f t="shared" ca="1" si="40"/>
        <v>#N/A</v>
      </c>
      <c r="E342" s="29" t="s">
        <v>19</v>
      </c>
      <c r="F342" s="29"/>
      <c r="G342" s="29"/>
      <c r="H342" s="32" t="e">
        <f t="shared" ca="1" si="37"/>
        <v>#N/A</v>
      </c>
      <c r="I342" s="29" t="s">
        <v>19</v>
      </c>
      <c r="J342" s="25" t="e">
        <f t="shared" ca="1" si="39"/>
        <v>#N/A</v>
      </c>
    </row>
    <row r="343" spans="1:10" ht="15.75" x14ac:dyDescent="0.25">
      <c r="A343" s="20"/>
      <c r="B343" s="31" t="e">
        <f t="shared" ca="1" si="38"/>
        <v>#N/A</v>
      </c>
      <c r="C343" s="20"/>
      <c r="D343" s="32" t="e">
        <f t="shared" ca="1" si="40"/>
        <v>#N/A</v>
      </c>
      <c r="E343" s="29" t="s">
        <v>19</v>
      </c>
      <c r="F343" s="29"/>
      <c r="G343" s="29"/>
      <c r="H343" s="32" t="e">
        <f t="shared" ca="1" si="37"/>
        <v>#N/A</v>
      </c>
      <c r="I343" s="29" t="s">
        <v>19</v>
      </c>
      <c r="J343" s="25" t="e">
        <f t="shared" ca="1" si="39"/>
        <v>#N/A</v>
      </c>
    </row>
    <row r="344" spans="1:10" ht="15.75" x14ac:dyDescent="0.25">
      <c r="A344" s="20"/>
      <c r="B344" s="31" t="e">
        <f t="shared" ca="1" si="38"/>
        <v>#N/A</v>
      </c>
      <c r="C344" s="20"/>
      <c r="D344" s="32" t="e">
        <f t="shared" ca="1" si="40"/>
        <v>#N/A</v>
      </c>
      <c r="E344" s="29" t="s">
        <v>19</v>
      </c>
      <c r="F344" s="29"/>
      <c r="G344" s="29"/>
      <c r="H344" s="32" t="e">
        <f t="shared" ref="H344:H407" ca="1" si="41">VLOOKUP($A344,TermekKod_data,9,0)</f>
        <v>#N/A</v>
      </c>
      <c r="I344" s="29" t="s">
        <v>19</v>
      </c>
      <c r="J344" s="25" t="e">
        <f t="shared" ca="1" si="39"/>
        <v>#N/A</v>
      </c>
    </row>
    <row r="345" spans="1:10" ht="15.75" x14ac:dyDescent="0.25">
      <c r="A345" s="20"/>
      <c r="B345" s="31" t="e">
        <f t="shared" ref="B345:B408" ca="1" si="42">VLOOKUP(A345,TermekKod_data,2,FALSE)</f>
        <v>#N/A</v>
      </c>
      <c r="C345" s="20"/>
      <c r="D345" s="32" t="e">
        <f t="shared" ca="1" si="40"/>
        <v>#N/A</v>
      </c>
      <c r="E345" s="29" t="s">
        <v>19</v>
      </c>
      <c r="F345" s="29"/>
      <c r="G345" s="29"/>
      <c r="H345" s="32" t="e">
        <f t="shared" ca="1" si="41"/>
        <v>#N/A</v>
      </c>
      <c r="I345" s="29" t="s">
        <v>19</v>
      </c>
      <c r="J345" s="25" t="e">
        <f t="shared" ca="1" si="39"/>
        <v>#N/A</v>
      </c>
    </row>
    <row r="346" spans="1:10" ht="15.75" x14ac:dyDescent="0.25">
      <c r="A346" s="20"/>
      <c r="B346" s="31" t="e">
        <f t="shared" ca="1" si="42"/>
        <v>#N/A</v>
      </c>
      <c r="C346" s="20"/>
      <c r="D346" s="32" t="e">
        <f t="shared" ca="1" si="40"/>
        <v>#N/A</v>
      </c>
      <c r="E346" s="29" t="s">
        <v>19</v>
      </c>
      <c r="F346" s="29"/>
      <c r="G346" s="29"/>
      <c r="H346" s="32" t="e">
        <f t="shared" ca="1" si="41"/>
        <v>#N/A</v>
      </c>
      <c r="I346" s="29" t="s">
        <v>19</v>
      </c>
      <c r="J346" s="25" t="e">
        <f t="shared" ca="1" si="39"/>
        <v>#N/A</v>
      </c>
    </row>
    <row r="347" spans="1:10" ht="15.75" x14ac:dyDescent="0.25">
      <c r="A347" s="20"/>
      <c r="B347" s="31" t="e">
        <f t="shared" ca="1" si="42"/>
        <v>#N/A</v>
      </c>
      <c r="C347" s="20"/>
      <c r="D347" s="32" t="e">
        <f t="shared" ca="1" si="40"/>
        <v>#N/A</v>
      </c>
      <c r="E347" s="29" t="s">
        <v>19</v>
      </c>
      <c r="F347" s="29"/>
      <c r="G347" s="29"/>
      <c r="H347" s="32" t="e">
        <f t="shared" ca="1" si="41"/>
        <v>#N/A</v>
      </c>
      <c r="I347" s="29" t="s">
        <v>19</v>
      </c>
      <c r="J347" s="25" t="e">
        <f t="shared" ca="1" si="39"/>
        <v>#N/A</v>
      </c>
    </row>
    <row r="348" spans="1:10" ht="15.75" x14ac:dyDescent="0.25">
      <c r="A348" s="20"/>
      <c r="B348" s="31" t="e">
        <f t="shared" ca="1" si="42"/>
        <v>#N/A</v>
      </c>
      <c r="C348" s="20"/>
      <c r="D348" s="32" t="e">
        <f t="shared" ca="1" si="40"/>
        <v>#N/A</v>
      </c>
      <c r="E348" s="29" t="s">
        <v>19</v>
      </c>
      <c r="F348" s="29"/>
      <c r="G348" s="29"/>
      <c r="H348" s="32" t="e">
        <f t="shared" ca="1" si="41"/>
        <v>#N/A</v>
      </c>
      <c r="I348" s="29" t="s">
        <v>19</v>
      </c>
      <c r="J348" s="25" t="e">
        <f t="shared" ca="1" si="39"/>
        <v>#N/A</v>
      </c>
    </row>
    <row r="349" spans="1:10" ht="15.75" x14ac:dyDescent="0.25">
      <c r="A349" s="20"/>
      <c r="B349" s="31" t="e">
        <f t="shared" ca="1" si="42"/>
        <v>#N/A</v>
      </c>
      <c r="C349" s="20"/>
      <c r="D349" s="32" t="e">
        <f t="shared" ca="1" si="40"/>
        <v>#N/A</v>
      </c>
      <c r="E349" s="29" t="s">
        <v>19</v>
      </c>
      <c r="F349" s="29"/>
      <c r="G349" s="29"/>
      <c r="H349" s="32" t="e">
        <f t="shared" ca="1" si="41"/>
        <v>#N/A</v>
      </c>
      <c r="I349" s="29" t="s">
        <v>19</v>
      </c>
      <c r="J349" s="25" t="e">
        <f t="shared" ca="1" si="39"/>
        <v>#N/A</v>
      </c>
    </row>
    <row r="350" spans="1:10" ht="15.75" x14ac:dyDescent="0.25">
      <c r="A350" s="20"/>
      <c r="B350" s="31" t="e">
        <f t="shared" ca="1" si="42"/>
        <v>#N/A</v>
      </c>
      <c r="C350" s="20"/>
      <c r="D350" s="32" t="e">
        <f t="shared" ca="1" si="40"/>
        <v>#N/A</v>
      </c>
      <c r="E350" s="29" t="s">
        <v>19</v>
      </c>
      <c r="F350" s="29"/>
      <c r="G350" s="29"/>
      <c r="H350" s="32" t="e">
        <f t="shared" ca="1" si="41"/>
        <v>#N/A</v>
      </c>
      <c r="I350" s="29" t="s">
        <v>19</v>
      </c>
      <c r="J350" s="25" t="e">
        <f t="shared" ca="1" si="39"/>
        <v>#N/A</v>
      </c>
    </row>
    <row r="351" spans="1:10" ht="15.75" x14ac:dyDescent="0.25">
      <c r="A351" s="20"/>
      <c r="B351" s="31" t="e">
        <f t="shared" ca="1" si="42"/>
        <v>#N/A</v>
      </c>
      <c r="C351" s="20"/>
      <c r="D351" s="32" t="e">
        <f t="shared" ca="1" si="40"/>
        <v>#N/A</v>
      </c>
      <c r="E351" s="29" t="s">
        <v>19</v>
      </c>
      <c r="F351" s="29"/>
      <c r="G351" s="29"/>
      <c r="H351" s="32" t="e">
        <f t="shared" ca="1" si="41"/>
        <v>#N/A</v>
      </c>
      <c r="I351" s="29" t="s">
        <v>19</v>
      </c>
      <c r="J351" s="25" t="e">
        <f t="shared" ca="1" si="39"/>
        <v>#N/A</v>
      </c>
    </row>
    <row r="352" spans="1:10" ht="15.75" x14ac:dyDescent="0.25">
      <c r="A352" s="20"/>
      <c r="B352" s="31" t="e">
        <f t="shared" ca="1" si="42"/>
        <v>#N/A</v>
      </c>
      <c r="C352" s="20"/>
      <c r="D352" s="32" t="e">
        <f t="shared" ca="1" si="40"/>
        <v>#N/A</v>
      </c>
      <c r="E352" s="29" t="s">
        <v>19</v>
      </c>
      <c r="F352" s="29"/>
      <c r="G352" s="29"/>
      <c r="H352" s="32" t="e">
        <f t="shared" ca="1" si="41"/>
        <v>#N/A</v>
      </c>
      <c r="I352" s="29" t="s">
        <v>19</v>
      </c>
      <c r="J352" s="25" t="e">
        <f t="shared" ca="1" si="39"/>
        <v>#N/A</v>
      </c>
    </row>
    <row r="353" spans="1:10" ht="15.75" x14ac:dyDescent="0.25">
      <c r="A353" s="20"/>
      <c r="B353" s="31" t="e">
        <f t="shared" ca="1" si="42"/>
        <v>#N/A</v>
      </c>
      <c r="C353" s="20"/>
      <c r="D353" s="32" t="e">
        <f t="shared" ca="1" si="40"/>
        <v>#N/A</v>
      </c>
      <c r="E353" s="29" t="s">
        <v>19</v>
      </c>
      <c r="F353" s="29"/>
      <c r="G353" s="29"/>
      <c r="H353" s="32" t="e">
        <f t="shared" ca="1" si="41"/>
        <v>#N/A</v>
      </c>
      <c r="I353" s="29" t="s">
        <v>19</v>
      </c>
      <c r="J353" s="25" t="e">
        <f t="shared" ca="1" si="39"/>
        <v>#N/A</v>
      </c>
    </row>
    <row r="354" spans="1:10" ht="15.75" x14ac:dyDescent="0.25">
      <c r="A354" s="20"/>
      <c r="B354" s="31" t="e">
        <f t="shared" ca="1" si="42"/>
        <v>#N/A</v>
      </c>
      <c r="C354" s="20"/>
      <c r="D354" s="32" t="e">
        <f t="shared" ca="1" si="40"/>
        <v>#N/A</v>
      </c>
      <c r="E354" s="29" t="s">
        <v>19</v>
      </c>
      <c r="F354" s="29"/>
      <c r="G354" s="29"/>
      <c r="H354" s="32" t="e">
        <f t="shared" ca="1" si="41"/>
        <v>#N/A</v>
      </c>
      <c r="I354" s="29" t="s">
        <v>19</v>
      </c>
      <c r="J354" s="25" t="e">
        <f t="shared" ca="1" si="39"/>
        <v>#N/A</v>
      </c>
    </row>
    <row r="355" spans="1:10" ht="15.75" x14ac:dyDescent="0.25">
      <c r="A355" s="20"/>
      <c r="B355" s="31" t="e">
        <f t="shared" ca="1" si="42"/>
        <v>#N/A</v>
      </c>
      <c r="C355" s="20"/>
      <c r="D355" s="32" t="e">
        <f t="shared" ca="1" si="40"/>
        <v>#N/A</v>
      </c>
      <c r="E355" s="29" t="s">
        <v>19</v>
      </c>
      <c r="F355" s="29"/>
      <c r="G355" s="29"/>
      <c r="H355" s="32" t="e">
        <f t="shared" ca="1" si="41"/>
        <v>#N/A</v>
      </c>
      <c r="I355" s="29" t="s">
        <v>19</v>
      </c>
      <c r="J355" s="25" t="e">
        <f t="shared" ca="1" si="39"/>
        <v>#N/A</v>
      </c>
    </row>
    <row r="356" spans="1:10" ht="15.75" x14ac:dyDescent="0.25">
      <c r="A356" s="20"/>
      <c r="B356" s="31" t="e">
        <f t="shared" ca="1" si="42"/>
        <v>#N/A</v>
      </c>
      <c r="C356" s="20"/>
      <c r="D356" s="32" t="e">
        <f t="shared" ca="1" si="40"/>
        <v>#N/A</v>
      </c>
      <c r="E356" s="29" t="s">
        <v>19</v>
      </c>
      <c r="F356" s="29"/>
      <c r="G356" s="29"/>
      <c r="H356" s="32" t="e">
        <f t="shared" ca="1" si="41"/>
        <v>#N/A</v>
      </c>
      <c r="I356" s="29" t="s">
        <v>19</v>
      </c>
      <c r="J356" s="25" t="e">
        <f t="shared" ref="J356:J419" ca="1" si="43">VLOOKUP(A356,TermekKod_data,3,FALSE)</f>
        <v>#N/A</v>
      </c>
    </row>
    <row r="357" spans="1:10" ht="15.75" x14ac:dyDescent="0.25">
      <c r="A357" s="20"/>
      <c r="B357" s="31" t="e">
        <f t="shared" ca="1" si="42"/>
        <v>#N/A</v>
      </c>
      <c r="C357" s="20"/>
      <c r="D357" s="32" t="e">
        <f t="shared" ca="1" si="40"/>
        <v>#N/A</v>
      </c>
      <c r="E357" s="29" t="s">
        <v>19</v>
      </c>
      <c r="F357" s="29"/>
      <c r="G357" s="29"/>
      <c r="H357" s="32" t="e">
        <f t="shared" ca="1" si="41"/>
        <v>#N/A</v>
      </c>
      <c r="I357" s="29" t="s">
        <v>19</v>
      </c>
      <c r="J357" s="25" t="e">
        <f t="shared" ca="1" si="43"/>
        <v>#N/A</v>
      </c>
    </row>
    <row r="358" spans="1:10" ht="15.75" x14ac:dyDescent="0.25">
      <c r="A358" s="20"/>
      <c r="B358" s="31" t="e">
        <f t="shared" ca="1" si="42"/>
        <v>#N/A</v>
      </c>
      <c r="C358" s="20"/>
      <c r="D358" s="32" t="e">
        <f t="shared" ca="1" si="40"/>
        <v>#N/A</v>
      </c>
      <c r="E358" s="29" t="s">
        <v>19</v>
      </c>
      <c r="F358" s="29"/>
      <c r="G358" s="29"/>
      <c r="H358" s="32" t="e">
        <f t="shared" ca="1" si="41"/>
        <v>#N/A</v>
      </c>
      <c r="I358" s="29" t="s">
        <v>19</v>
      </c>
      <c r="J358" s="25" t="e">
        <f t="shared" ca="1" si="43"/>
        <v>#N/A</v>
      </c>
    </row>
    <row r="359" spans="1:10" ht="15.75" x14ac:dyDescent="0.25">
      <c r="A359" s="20"/>
      <c r="B359" s="31" t="e">
        <f t="shared" ca="1" si="42"/>
        <v>#N/A</v>
      </c>
      <c r="C359" s="20"/>
      <c r="D359" s="32" t="e">
        <f t="shared" ca="1" si="40"/>
        <v>#N/A</v>
      </c>
      <c r="E359" s="29" t="s">
        <v>19</v>
      </c>
      <c r="F359" s="29"/>
      <c r="G359" s="29"/>
      <c r="H359" s="32" t="e">
        <f t="shared" ca="1" si="41"/>
        <v>#N/A</v>
      </c>
      <c r="I359" s="29" t="s">
        <v>19</v>
      </c>
      <c r="J359" s="25" t="e">
        <f t="shared" ca="1" si="43"/>
        <v>#N/A</v>
      </c>
    </row>
    <row r="360" spans="1:10" ht="15.75" x14ac:dyDescent="0.25">
      <c r="A360" s="20"/>
      <c r="B360" s="31" t="e">
        <f t="shared" ca="1" si="42"/>
        <v>#N/A</v>
      </c>
      <c r="C360" s="20"/>
      <c r="D360" s="32" t="e">
        <f t="shared" ca="1" si="40"/>
        <v>#N/A</v>
      </c>
      <c r="E360" s="29" t="s">
        <v>19</v>
      </c>
      <c r="F360" s="29"/>
      <c r="G360" s="29"/>
      <c r="H360" s="32" t="e">
        <f t="shared" ca="1" si="41"/>
        <v>#N/A</v>
      </c>
      <c r="I360" s="29" t="s">
        <v>19</v>
      </c>
      <c r="J360" s="25" t="e">
        <f t="shared" ca="1" si="43"/>
        <v>#N/A</v>
      </c>
    </row>
    <row r="361" spans="1:10" ht="15.75" x14ac:dyDescent="0.25">
      <c r="A361" s="20"/>
      <c r="B361" s="31" t="e">
        <f t="shared" ca="1" si="42"/>
        <v>#N/A</v>
      </c>
      <c r="C361" s="20"/>
      <c r="D361" s="32" t="e">
        <f t="shared" ca="1" si="40"/>
        <v>#N/A</v>
      </c>
      <c r="E361" s="29" t="s">
        <v>19</v>
      </c>
      <c r="F361" s="29"/>
      <c r="G361" s="29"/>
      <c r="H361" s="32" t="e">
        <f t="shared" ca="1" si="41"/>
        <v>#N/A</v>
      </c>
      <c r="I361" s="29" t="s">
        <v>19</v>
      </c>
      <c r="J361" s="25" t="e">
        <f t="shared" ca="1" si="43"/>
        <v>#N/A</v>
      </c>
    </row>
    <row r="362" spans="1:10" ht="15.75" x14ac:dyDescent="0.25">
      <c r="A362" s="20"/>
      <c r="B362" s="31" t="e">
        <f t="shared" ca="1" si="42"/>
        <v>#N/A</v>
      </c>
      <c r="C362" s="20"/>
      <c r="D362" s="32" t="e">
        <f t="shared" ca="1" si="40"/>
        <v>#N/A</v>
      </c>
      <c r="E362" s="29" t="s">
        <v>19</v>
      </c>
      <c r="F362" s="29"/>
      <c r="G362" s="29"/>
      <c r="H362" s="32" t="e">
        <f t="shared" ca="1" si="41"/>
        <v>#N/A</v>
      </c>
      <c r="I362" s="29" t="s">
        <v>19</v>
      </c>
      <c r="J362" s="25" t="e">
        <f t="shared" ca="1" si="43"/>
        <v>#N/A</v>
      </c>
    </row>
    <row r="363" spans="1:10" ht="15.75" x14ac:dyDescent="0.25">
      <c r="A363" s="20"/>
      <c r="B363" s="31" t="e">
        <f t="shared" ca="1" si="42"/>
        <v>#N/A</v>
      </c>
      <c r="C363" s="20"/>
      <c r="D363" s="32" t="e">
        <f t="shared" ca="1" si="40"/>
        <v>#N/A</v>
      </c>
      <c r="E363" s="29" t="s">
        <v>19</v>
      </c>
      <c r="F363" s="29"/>
      <c r="G363" s="29"/>
      <c r="H363" s="32" t="e">
        <f t="shared" ca="1" si="41"/>
        <v>#N/A</v>
      </c>
      <c r="I363" s="29" t="s">
        <v>19</v>
      </c>
      <c r="J363" s="25" t="e">
        <f t="shared" ca="1" si="43"/>
        <v>#N/A</v>
      </c>
    </row>
    <row r="364" spans="1:10" ht="15.75" x14ac:dyDescent="0.25">
      <c r="A364" s="20"/>
      <c r="B364" s="31" t="e">
        <f t="shared" ca="1" si="42"/>
        <v>#N/A</v>
      </c>
      <c r="C364" s="20"/>
      <c r="D364" s="32" t="e">
        <f t="shared" ca="1" si="40"/>
        <v>#N/A</v>
      </c>
      <c r="E364" s="29" t="s">
        <v>19</v>
      </c>
      <c r="F364" s="29"/>
      <c r="G364" s="29"/>
      <c r="H364" s="32" t="e">
        <f t="shared" ca="1" si="41"/>
        <v>#N/A</v>
      </c>
      <c r="I364" s="29" t="s">
        <v>19</v>
      </c>
      <c r="J364" s="25" t="e">
        <f t="shared" ca="1" si="43"/>
        <v>#N/A</v>
      </c>
    </row>
    <row r="365" spans="1:10" ht="15.75" x14ac:dyDescent="0.25">
      <c r="A365" s="20"/>
      <c r="B365" s="31" t="e">
        <f t="shared" ca="1" si="42"/>
        <v>#N/A</v>
      </c>
      <c r="C365" s="20"/>
      <c r="D365" s="32" t="e">
        <f t="shared" ca="1" si="40"/>
        <v>#N/A</v>
      </c>
      <c r="E365" s="29" t="s">
        <v>19</v>
      </c>
      <c r="F365" s="29"/>
      <c r="G365" s="29"/>
      <c r="H365" s="32" t="e">
        <f t="shared" ca="1" si="41"/>
        <v>#N/A</v>
      </c>
      <c r="I365" s="29" t="s">
        <v>19</v>
      </c>
      <c r="J365" s="25" t="e">
        <f t="shared" ca="1" si="43"/>
        <v>#N/A</v>
      </c>
    </row>
    <row r="366" spans="1:10" ht="15.75" x14ac:dyDescent="0.25">
      <c r="A366" s="20"/>
      <c r="B366" s="31" t="e">
        <f t="shared" ca="1" si="42"/>
        <v>#N/A</v>
      </c>
      <c r="C366" s="20"/>
      <c r="D366" s="32" t="e">
        <f t="shared" ca="1" si="40"/>
        <v>#N/A</v>
      </c>
      <c r="E366" s="29" t="s">
        <v>19</v>
      </c>
      <c r="F366" s="29"/>
      <c r="G366" s="29"/>
      <c r="H366" s="32" t="e">
        <f t="shared" ca="1" si="41"/>
        <v>#N/A</v>
      </c>
      <c r="I366" s="29" t="s">
        <v>19</v>
      </c>
      <c r="J366" s="25" t="e">
        <f t="shared" ca="1" si="43"/>
        <v>#N/A</v>
      </c>
    </row>
    <row r="367" spans="1:10" ht="15.75" x14ac:dyDescent="0.25">
      <c r="A367" s="20"/>
      <c r="B367" s="31" t="e">
        <f t="shared" ca="1" si="42"/>
        <v>#N/A</v>
      </c>
      <c r="C367" s="20"/>
      <c r="D367" s="32" t="e">
        <f t="shared" ca="1" si="40"/>
        <v>#N/A</v>
      </c>
      <c r="E367" s="29" t="s">
        <v>19</v>
      </c>
      <c r="F367" s="29"/>
      <c r="G367" s="29"/>
      <c r="H367" s="32" t="e">
        <f t="shared" ca="1" si="41"/>
        <v>#N/A</v>
      </c>
      <c r="I367" s="29" t="s">
        <v>19</v>
      </c>
      <c r="J367" s="25" t="e">
        <f t="shared" ca="1" si="43"/>
        <v>#N/A</v>
      </c>
    </row>
    <row r="368" spans="1:10" ht="15.75" x14ac:dyDescent="0.25">
      <c r="A368" s="20"/>
      <c r="B368" s="31" t="e">
        <f t="shared" ca="1" si="42"/>
        <v>#N/A</v>
      </c>
      <c r="C368" s="20"/>
      <c r="D368" s="32" t="e">
        <f t="shared" ca="1" si="40"/>
        <v>#N/A</v>
      </c>
      <c r="E368" s="29" t="s">
        <v>19</v>
      </c>
      <c r="F368" s="29"/>
      <c r="G368" s="29"/>
      <c r="H368" s="32" t="e">
        <f t="shared" ca="1" si="41"/>
        <v>#N/A</v>
      </c>
      <c r="I368" s="29" t="s">
        <v>19</v>
      </c>
      <c r="J368" s="25" t="e">
        <f t="shared" ca="1" si="43"/>
        <v>#N/A</v>
      </c>
    </row>
    <row r="369" spans="1:10" ht="15.75" x14ac:dyDescent="0.25">
      <c r="A369" s="20"/>
      <c r="B369" s="31" t="e">
        <f t="shared" ca="1" si="42"/>
        <v>#N/A</v>
      </c>
      <c r="C369" s="20"/>
      <c r="D369" s="32" t="e">
        <f t="shared" ca="1" si="40"/>
        <v>#N/A</v>
      </c>
      <c r="E369" s="29" t="s">
        <v>19</v>
      </c>
      <c r="F369" s="29"/>
      <c r="G369" s="29"/>
      <c r="H369" s="32" t="e">
        <f t="shared" ca="1" si="41"/>
        <v>#N/A</v>
      </c>
      <c r="I369" s="29" t="s">
        <v>19</v>
      </c>
      <c r="J369" s="25" t="e">
        <f t="shared" ca="1" si="43"/>
        <v>#N/A</v>
      </c>
    </row>
    <row r="370" spans="1:10" ht="15.75" x14ac:dyDescent="0.25">
      <c r="A370" s="20"/>
      <c r="B370" s="31" t="e">
        <f t="shared" ca="1" si="42"/>
        <v>#N/A</v>
      </c>
      <c r="C370" s="20"/>
      <c r="D370" s="32" t="e">
        <f t="shared" ca="1" si="40"/>
        <v>#N/A</v>
      </c>
      <c r="E370" s="29" t="s">
        <v>19</v>
      </c>
      <c r="F370" s="29"/>
      <c r="G370" s="29"/>
      <c r="H370" s="32" t="e">
        <f t="shared" ca="1" si="41"/>
        <v>#N/A</v>
      </c>
      <c r="I370" s="29" t="s">
        <v>19</v>
      </c>
      <c r="J370" s="25" t="e">
        <f t="shared" ca="1" si="43"/>
        <v>#N/A</v>
      </c>
    </row>
    <row r="371" spans="1:10" ht="15.75" x14ac:dyDescent="0.25">
      <c r="A371" s="20"/>
      <c r="B371" s="31" t="e">
        <f t="shared" ca="1" si="42"/>
        <v>#N/A</v>
      </c>
      <c r="C371" s="20"/>
      <c r="D371" s="32" t="e">
        <f t="shared" ca="1" si="40"/>
        <v>#N/A</v>
      </c>
      <c r="E371" s="29" t="s">
        <v>19</v>
      </c>
      <c r="F371" s="29"/>
      <c r="G371" s="29"/>
      <c r="H371" s="32" t="e">
        <f t="shared" ca="1" si="41"/>
        <v>#N/A</v>
      </c>
      <c r="I371" s="29" t="s">
        <v>19</v>
      </c>
      <c r="J371" s="25" t="e">
        <f t="shared" ca="1" si="43"/>
        <v>#N/A</v>
      </c>
    </row>
    <row r="372" spans="1:10" ht="15.75" x14ac:dyDescent="0.25">
      <c r="A372" s="20"/>
      <c r="B372" s="31" t="e">
        <f t="shared" ca="1" si="42"/>
        <v>#N/A</v>
      </c>
      <c r="C372" s="20"/>
      <c r="D372" s="32" t="e">
        <f t="shared" ca="1" si="40"/>
        <v>#N/A</v>
      </c>
      <c r="E372" s="29" t="s">
        <v>19</v>
      </c>
      <c r="F372" s="29"/>
      <c r="G372" s="29"/>
      <c r="H372" s="32" t="e">
        <f t="shared" ca="1" si="41"/>
        <v>#N/A</v>
      </c>
      <c r="I372" s="29" t="s">
        <v>19</v>
      </c>
      <c r="J372" s="25" t="e">
        <f t="shared" ca="1" si="43"/>
        <v>#N/A</v>
      </c>
    </row>
    <row r="373" spans="1:10" ht="15.75" x14ac:dyDescent="0.25">
      <c r="A373" s="20"/>
      <c r="B373" s="31" t="e">
        <f t="shared" ca="1" si="42"/>
        <v>#N/A</v>
      </c>
      <c r="C373" s="20"/>
      <c r="D373" s="32" t="e">
        <f t="shared" ca="1" si="40"/>
        <v>#N/A</v>
      </c>
      <c r="E373" s="29" t="s">
        <v>19</v>
      </c>
      <c r="F373" s="29"/>
      <c r="G373" s="29"/>
      <c r="H373" s="32" t="e">
        <f t="shared" ca="1" si="41"/>
        <v>#N/A</v>
      </c>
      <c r="I373" s="29" t="s">
        <v>19</v>
      </c>
      <c r="J373" s="25" t="e">
        <f t="shared" ca="1" si="43"/>
        <v>#N/A</v>
      </c>
    </row>
    <row r="374" spans="1:10" ht="15.75" x14ac:dyDescent="0.25">
      <c r="A374" s="20"/>
      <c r="B374" s="31" t="e">
        <f t="shared" ca="1" si="42"/>
        <v>#N/A</v>
      </c>
      <c r="C374" s="20"/>
      <c r="D374" s="32" t="e">
        <f t="shared" ca="1" si="40"/>
        <v>#N/A</v>
      </c>
      <c r="E374" s="29" t="s">
        <v>19</v>
      </c>
      <c r="F374" s="29"/>
      <c r="G374" s="29"/>
      <c r="H374" s="32" t="e">
        <f t="shared" ca="1" si="41"/>
        <v>#N/A</v>
      </c>
      <c r="I374" s="29" t="s">
        <v>19</v>
      </c>
      <c r="J374" s="25" t="e">
        <f t="shared" ca="1" si="43"/>
        <v>#N/A</v>
      </c>
    </row>
    <row r="375" spans="1:10" ht="15.75" x14ac:dyDescent="0.25">
      <c r="A375" s="20"/>
      <c r="B375" s="31" t="e">
        <f t="shared" ca="1" si="42"/>
        <v>#N/A</v>
      </c>
      <c r="C375" s="20"/>
      <c r="D375" s="32" t="e">
        <f t="shared" ca="1" si="40"/>
        <v>#N/A</v>
      </c>
      <c r="E375" s="29" t="s">
        <v>19</v>
      </c>
      <c r="F375" s="29"/>
      <c r="G375" s="29"/>
      <c r="H375" s="32" t="e">
        <f t="shared" ca="1" si="41"/>
        <v>#N/A</v>
      </c>
      <c r="I375" s="29" t="s">
        <v>19</v>
      </c>
      <c r="J375" s="25" t="e">
        <f t="shared" ca="1" si="43"/>
        <v>#N/A</v>
      </c>
    </row>
    <row r="376" spans="1:10" ht="15.75" x14ac:dyDescent="0.25">
      <c r="A376" s="20"/>
      <c r="B376" s="31" t="e">
        <f t="shared" ca="1" si="42"/>
        <v>#N/A</v>
      </c>
      <c r="C376" s="20"/>
      <c r="D376" s="32" t="e">
        <f t="shared" ca="1" si="40"/>
        <v>#N/A</v>
      </c>
      <c r="E376" s="29" t="s">
        <v>19</v>
      </c>
      <c r="F376" s="29"/>
      <c r="G376" s="29"/>
      <c r="H376" s="32" t="e">
        <f t="shared" ca="1" si="41"/>
        <v>#N/A</v>
      </c>
      <c r="I376" s="29" t="s">
        <v>19</v>
      </c>
      <c r="J376" s="25" t="e">
        <f t="shared" ca="1" si="43"/>
        <v>#N/A</v>
      </c>
    </row>
    <row r="377" spans="1:10" ht="15.75" x14ac:dyDescent="0.25">
      <c r="A377" s="20"/>
      <c r="B377" s="31" t="e">
        <f t="shared" ca="1" si="42"/>
        <v>#N/A</v>
      </c>
      <c r="C377" s="20"/>
      <c r="D377" s="32" t="e">
        <f t="shared" ref="D377:D440" ca="1" si="44">VLOOKUP($A377,TermekKod_data,8,0)</f>
        <v>#N/A</v>
      </c>
      <c r="E377" s="29" t="s">
        <v>19</v>
      </c>
      <c r="F377" s="29"/>
      <c r="G377" s="29"/>
      <c r="H377" s="32" t="e">
        <f t="shared" ca="1" si="41"/>
        <v>#N/A</v>
      </c>
      <c r="I377" s="29" t="s">
        <v>19</v>
      </c>
      <c r="J377" s="25" t="e">
        <f t="shared" ca="1" si="43"/>
        <v>#N/A</v>
      </c>
    </row>
    <row r="378" spans="1:10" ht="15.75" x14ac:dyDescent="0.25">
      <c r="A378" s="20"/>
      <c r="B378" s="31" t="e">
        <f t="shared" ca="1" si="42"/>
        <v>#N/A</v>
      </c>
      <c r="C378" s="20"/>
      <c r="D378" s="32" t="e">
        <f t="shared" ca="1" si="44"/>
        <v>#N/A</v>
      </c>
      <c r="E378" s="29" t="s">
        <v>19</v>
      </c>
      <c r="F378" s="29"/>
      <c r="G378" s="29"/>
      <c r="H378" s="32" t="e">
        <f t="shared" ca="1" si="41"/>
        <v>#N/A</v>
      </c>
      <c r="I378" s="29" t="s">
        <v>19</v>
      </c>
      <c r="J378" s="25" t="e">
        <f t="shared" ca="1" si="43"/>
        <v>#N/A</v>
      </c>
    </row>
    <row r="379" spans="1:10" ht="15.75" x14ac:dyDescent="0.25">
      <c r="A379" s="20"/>
      <c r="B379" s="31" t="e">
        <f t="shared" ca="1" si="42"/>
        <v>#N/A</v>
      </c>
      <c r="C379" s="20"/>
      <c r="D379" s="32" t="e">
        <f t="shared" ca="1" si="44"/>
        <v>#N/A</v>
      </c>
      <c r="E379" s="29" t="s">
        <v>19</v>
      </c>
      <c r="F379" s="29"/>
      <c r="G379" s="29"/>
      <c r="H379" s="32" t="e">
        <f t="shared" ca="1" si="41"/>
        <v>#N/A</v>
      </c>
      <c r="I379" s="29" t="s">
        <v>19</v>
      </c>
      <c r="J379" s="25" t="e">
        <f t="shared" ca="1" si="43"/>
        <v>#N/A</v>
      </c>
    </row>
    <row r="380" spans="1:10" ht="15.75" x14ac:dyDescent="0.25">
      <c r="A380" s="20"/>
      <c r="B380" s="31" t="e">
        <f t="shared" ca="1" si="42"/>
        <v>#N/A</v>
      </c>
      <c r="C380" s="20"/>
      <c r="D380" s="32" t="e">
        <f t="shared" ca="1" si="44"/>
        <v>#N/A</v>
      </c>
      <c r="E380" s="29" t="s">
        <v>19</v>
      </c>
      <c r="F380" s="29"/>
      <c r="G380" s="29"/>
      <c r="H380" s="32" t="e">
        <f t="shared" ca="1" si="41"/>
        <v>#N/A</v>
      </c>
      <c r="I380" s="29" t="s">
        <v>19</v>
      </c>
      <c r="J380" s="25" t="e">
        <f t="shared" ca="1" si="43"/>
        <v>#N/A</v>
      </c>
    </row>
    <row r="381" spans="1:10" ht="15.75" x14ac:dyDescent="0.25">
      <c r="A381" s="20"/>
      <c r="B381" s="31" t="e">
        <f t="shared" ca="1" si="42"/>
        <v>#N/A</v>
      </c>
      <c r="C381" s="20"/>
      <c r="D381" s="32" t="e">
        <f t="shared" ca="1" si="44"/>
        <v>#N/A</v>
      </c>
      <c r="E381" s="29" t="s">
        <v>19</v>
      </c>
      <c r="F381" s="29"/>
      <c r="G381" s="29"/>
      <c r="H381" s="32" t="e">
        <f t="shared" ca="1" si="41"/>
        <v>#N/A</v>
      </c>
      <c r="I381" s="29" t="s">
        <v>19</v>
      </c>
      <c r="J381" s="25" t="e">
        <f t="shared" ca="1" si="43"/>
        <v>#N/A</v>
      </c>
    </row>
    <row r="382" spans="1:10" ht="15.75" x14ac:dyDescent="0.25">
      <c r="A382" s="20"/>
      <c r="B382" s="31" t="e">
        <f t="shared" ca="1" si="42"/>
        <v>#N/A</v>
      </c>
      <c r="C382" s="20"/>
      <c r="D382" s="32" t="e">
        <f t="shared" ca="1" si="44"/>
        <v>#N/A</v>
      </c>
      <c r="E382" s="29" t="s">
        <v>19</v>
      </c>
      <c r="F382" s="29"/>
      <c r="G382" s="29"/>
      <c r="H382" s="32" t="e">
        <f t="shared" ca="1" si="41"/>
        <v>#N/A</v>
      </c>
      <c r="I382" s="29" t="s">
        <v>19</v>
      </c>
      <c r="J382" s="25" t="e">
        <f t="shared" ca="1" si="43"/>
        <v>#N/A</v>
      </c>
    </row>
    <row r="383" spans="1:10" ht="15.75" x14ac:dyDescent="0.25">
      <c r="A383" s="20"/>
      <c r="B383" s="31" t="e">
        <f t="shared" ca="1" si="42"/>
        <v>#N/A</v>
      </c>
      <c r="C383" s="20"/>
      <c r="D383" s="32" t="e">
        <f t="shared" ca="1" si="44"/>
        <v>#N/A</v>
      </c>
      <c r="E383" s="29" t="s">
        <v>19</v>
      </c>
      <c r="F383" s="29"/>
      <c r="G383" s="29"/>
      <c r="H383" s="32" t="e">
        <f t="shared" ca="1" si="41"/>
        <v>#N/A</v>
      </c>
      <c r="I383" s="29" t="s">
        <v>19</v>
      </c>
      <c r="J383" s="25" t="e">
        <f t="shared" ca="1" si="43"/>
        <v>#N/A</v>
      </c>
    </row>
    <row r="384" spans="1:10" ht="15.75" x14ac:dyDescent="0.25">
      <c r="A384" s="20"/>
      <c r="B384" s="31" t="e">
        <f t="shared" ca="1" si="42"/>
        <v>#N/A</v>
      </c>
      <c r="C384" s="20"/>
      <c r="D384" s="32" t="e">
        <f t="shared" ca="1" si="44"/>
        <v>#N/A</v>
      </c>
      <c r="E384" s="29" t="s">
        <v>19</v>
      </c>
      <c r="F384" s="29"/>
      <c r="G384" s="29"/>
      <c r="H384" s="32" t="e">
        <f t="shared" ca="1" si="41"/>
        <v>#N/A</v>
      </c>
      <c r="I384" s="29" t="s">
        <v>19</v>
      </c>
      <c r="J384" s="25" t="e">
        <f t="shared" ca="1" si="43"/>
        <v>#N/A</v>
      </c>
    </row>
    <row r="385" spans="1:10" ht="15.75" x14ac:dyDescent="0.25">
      <c r="A385" s="20"/>
      <c r="B385" s="31" t="e">
        <f t="shared" ca="1" si="42"/>
        <v>#N/A</v>
      </c>
      <c r="C385" s="20"/>
      <c r="D385" s="32" t="e">
        <f t="shared" ca="1" si="44"/>
        <v>#N/A</v>
      </c>
      <c r="E385" s="29" t="s">
        <v>19</v>
      </c>
      <c r="F385" s="29"/>
      <c r="G385" s="29"/>
      <c r="H385" s="32" t="e">
        <f t="shared" ca="1" si="41"/>
        <v>#N/A</v>
      </c>
      <c r="I385" s="29" t="s">
        <v>19</v>
      </c>
      <c r="J385" s="25" t="e">
        <f t="shared" ca="1" si="43"/>
        <v>#N/A</v>
      </c>
    </row>
    <row r="386" spans="1:10" ht="15.75" x14ac:dyDescent="0.25">
      <c r="A386" s="20"/>
      <c r="B386" s="31" t="e">
        <f t="shared" ca="1" si="42"/>
        <v>#N/A</v>
      </c>
      <c r="C386" s="20"/>
      <c r="D386" s="32" t="e">
        <f t="shared" ca="1" si="44"/>
        <v>#N/A</v>
      </c>
      <c r="E386" s="29" t="s">
        <v>19</v>
      </c>
      <c r="F386" s="29"/>
      <c r="G386" s="29"/>
      <c r="H386" s="32" t="e">
        <f t="shared" ca="1" si="41"/>
        <v>#N/A</v>
      </c>
      <c r="I386" s="29" t="s">
        <v>19</v>
      </c>
      <c r="J386" s="25" t="e">
        <f t="shared" ca="1" si="43"/>
        <v>#N/A</v>
      </c>
    </row>
    <row r="387" spans="1:10" ht="15.75" x14ac:dyDescent="0.25">
      <c r="A387" s="20"/>
      <c r="B387" s="31" t="e">
        <f t="shared" ca="1" si="42"/>
        <v>#N/A</v>
      </c>
      <c r="C387" s="20"/>
      <c r="D387" s="32" t="e">
        <f t="shared" ca="1" si="44"/>
        <v>#N/A</v>
      </c>
      <c r="E387" s="29" t="s">
        <v>19</v>
      </c>
      <c r="F387" s="29"/>
      <c r="G387" s="29"/>
      <c r="H387" s="32" t="e">
        <f t="shared" ca="1" si="41"/>
        <v>#N/A</v>
      </c>
      <c r="I387" s="29" t="s">
        <v>19</v>
      </c>
      <c r="J387" s="25" t="e">
        <f t="shared" ca="1" si="43"/>
        <v>#N/A</v>
      </c>
    </row>
    <row r="388" spans="1:10" ht="15.75" x14ac:dyDescent="0.25">
      <c r="A388" s="20"/>
      <c r="B388" s="31" t="e">
        <f t="shared" ca="1" si="42"/>
        <v>#N/A</v>
      </c>
      <c r="C388" s="20"/>
      <c r="D388" s="32" t="e">
        <f t="shared" ca="1" si="44"/>
        <v>#N/A</v>
      </c>
      <c r="E388" s="29" t="s">
        <v>19</v>
      </c>
      <c r="F388" s="29"/>
      <c r="G388" s="29"/>
      <c r="H388" s="32" t="e">
        <f t="shared" ca="1" si="41"/>
        <v>#N/A</v>
      </c>
      <c r="I388" s="29" t="s">
        <v>19</v>
      </c>
      <c r="J388" s="25" t="e">
        <f t="shared" ca="1" si="43"/>
        <v>#N/A</v>
      </c>
    </row>
    <row r="389" spans="1:10" ht="15.75" x14ac:dyDescent="0.25">
      <c r="A389" s="20"/>
      <c r="B389" s="31" t="e">
        <f t="shared" ca="1" si="42"/>
        <v>#N/A</v>
      </c>
      <c r="C389" s="20"/>
      <c r="D389" s="32" t="e">
        <f t="shared" ca="1" si="44"/>
        <v>#N/A</v>
      </c>
      <c r="E389" s="29" t="s">
        <v>19</v>
      </c>
      <c r="F389" s="29"/>
      <c r="G389" s="29"/>
      <c r="H389" s="32" t="e">
        <f t="shared" ca="1" si="41"/>
        <v>#N/A</v>
      </c>
      <c r="I389" s="29" t="s">
        <v>19</v>
      </c>
      <c r="J389" s="25" t="e">
        <f t="shared" ca="1" si="43"/>
        <v>#N/A</v>
      </c>
    </row>
    <row r="390" spans="1:10" ht="15.75" x14ac:dyDescent="0.25">
      <c r="A390" s="20"/>
      <c r="B390" s="31" t="e">
        <f t="shared" ca="1" si="42"/>
        <v>#N/A</v>
      </c>
      <c r="C390" s="20"/>
      <c r="D390" s="32" t="e">
        <f t="shared" ca="1" si="44"/>
        <v>#N/A</v>
      </c>
      <c r="E390" s="29" t="s">
        <v>19</v>
      </c>
      <c r="F390" s="29"/>
      <c r="G390" s="29"/>
      <c r="H390" s="32" t="e">
        <f t="shared" ca="1" si="41"/>
        <v>#N/A</v>
      </c>
      <c r="I390" s="29" t="s">
        <v>19</v>
      </c>
      <c r="J390" s="25" t="e">
        <f t="shared" ca="1" si="43"/>
        <v>#N/A</v>
      </c>
    </row>
    <row r="391" spans="1:10" ht="15.75" x14ac:dyDescent="0.25">
      <c r="A391" s="20"/>
      <c r="B391" s="31" t="e">
        <f t="shared" ca="1" si="42"/>
        <v>#N/A</v>
      </c>
      <c r="C391" s="20"/>
      <c r="D391" s="32" t="e">
        <f t="shared" ca="1" si="44"/>
        <v>#N/A</v>
      </c>
      <c r="E391" s="29" t="s">
        <v>19</v>
      </c>
      <c r="F391" s="29"/>
      <c r="G391" s="29"/>
      <c r="H391" s="32" t="e">
        <f t="shared" ca="1" si="41"/>
        <v>#N/A</v>
      </c>
      <c r="I391" s="29" t="s">
        <v>19</v>
      </c>
      <c r="J391" s="25" t="e">
        <f t="shared" ca="1" si="43"/>
        <v>#N/A</v>
      </c>
    </row>
    <row r="392" spans="1:10" ht="15.75" x14ac:dyDescent="0.25">
      <c r="A392" s="20"/>
      <c r="B392" s="31" t="e">
        <f t="shared" ca="1" si="42"/>
        <v>#N/A</v>
      </c>
      <c r="C392" s="20"/>
      <c r="D392" s="32" t="e">
        <f t="shared" ca="1" si="44"/>
        <v>#N/A</v>
      </c>
      <c r="E392" s="29" t="s">
        <v>19</v>
      </c>
      <c r="F392" s="29"/>
      <c r="G392" s="29"/>
      <c r="H392" s="32" t="e">
        <f t="shared" ca="1" si="41"/>
        <v>#N/A</v>
      </c>
      <c r="I392" s="29" t="s">
        <v>19</v>
      </c>
      <c r="J392" s="25" t="e">
        <f t="shared" ca="1" si="43"/>
        <v>#N/A</v>
      </c>
    </row>
    <row r="393" spans="1:10" ht="15.75" x14ac:dyDescent="0.25">
      <c r="A393" s="20"/>
      <c r="B393" s="31" t="e">
        <f t="shared" ca="1" si="42"/>
        <v>#N/A</v>
      </c>
      <c r="C393" s="20"/>
      <c r="D393" s="32" t="e">
        <f t="shared" ca="1" si="44"/>
        <v>#N/A</v>
      </c>
      <c r="E393" s="29" t="s">
        <v>19</v>
      </c>
      <c r="F393" s="29"/>
      <c r="G393" s="29"/>
      <c r="H393" s="32" t="e">
        <f t="shared" ca="1" si="41"/>
        <v>#N/A</v>
      </c>
      <c r="I393" s="29" t="s">
        <v>19</v>
      </c>
      <c r="J393" s="25" t="e">
        <f t="shared" ca="1" si="43"/>
        <v>#N/A</v>
      </c>
    </row>
    <row r="394" spans="1:10" ht="15.75" x14ac:dyDescent="0.25">
      <c r="A394" s="20"/>
      <c r="B394" s="31" t="e">
        <f t="shared" ca="1" si="42"/>
        <v>#N/A</v>
      </c>
      <c r="C394" s="20"/>
      <c r="D394" s="32" t="e">
        <f t="shared" ca="1" si="44"/>
        <v>#N/A</v>
      </c>
      <c r="E394" s="29" t="s">
        <v>19</v>
      </c>
      <c r="F394" s="29"/>
      <c r="G394" s="29"/>
      <c r="H394" s="32" t="e">
        <f t="shared" ca="1" si="41"/>
        <v>#N/A</v>
      </c>
      <c r="I394" s="29" t="s">
        <v>19</v>
      </c>
      <c r="J394" s="25" t="e">
        <f t="shared" ca="1" si="43"/>
        <v>#N/A</v>
      </c>
    </row>
    <row r="395" spans="1:10" ht="15.75" x14ac:dyDescent="0.25">
      <c r="A395" s="20"/>
      <c r="B395" s="31" t="e">
        <f t="shared" ca="1" si="42"/>
        <v>#N/A</v>
      </c>
      <c r="C395" s="20"/>
      <c r="D395" s="32" t="e">
        <f t="shared" ca="1" si="44"/>
        <v>#N/A</v>
      </c>
      <c r="E395" s="29" t="s">
        <v>19</v>
      </c>
      <c r="F395" s="29"/>
      <c r="G395" s="29"/>
      <c r="H395" s="32" t="e">
        <f t="shared" ca="1" si="41"/>
        <v>#N/A</v>
      </c>
      <c r="I395" s="29" t="s">
        <v>19</v>
      </c>
      <c r="J395" s="25" t="e">
        <f t="shared" ca="1" si="43"/>
        <v>#N/A</v>
      </c>
    </row>
    <row r="396" spans="1:10" ht="15.75" x14ac:dyDescent="0.25">
      <c r="A396" s="20"/>
      <c r="B396" s="31" t="e">
        <f t="shared" ca="1" si="42"/>
        <v>#N/A</v>
      </c>
      <c r="C396" s="20"/>
      <c r="D396" s="32" t="e">
        <f t="shared" ca="1" si="44"/>
        <v>#N/A</v>
      </c>
      <c r="E396" s="29" t="s">
        <v>19</v>
      </c>
      <c r="F396" s="29"/>
      <c r="G396" s="29"/>
      <c r="H396" s="32" t="e">
        <f t="shared" ca="1" si="41"/>
        <v>#N/A</v>
      </c>
      <c r="I396" s="29" t="s">
        <v>19</v>
      </c>
      <c r="J396" s="25" t="e">
        <f t="shared" ca="1" si="43"/>
        <v>#N/A</v>
      </c>
    </row>
    <row r="397" spans="1:10" ht="15.75" x14ac:dyDescent="0.25">
      <c r="A397" s="20"/>
      <c r="B397" s="31" t="e">
        <f t="shared" ca="1" si="42"/>
        <v>#N/A</v>
      </c>
      <c r="C397" s="20"/>
      <c r="D397" s="32" t="e">
        <f t="shared" ca="1" si="44"/>
        <v>#N/A</v>
      </c>
      <c r="E397" s="29" t="s">
        <v>19</v>
      </c>
      <c r="F397" s="29"/>
      <c r="G397" s="29"/>
      <c r="H397" s="32" t="e">
        <f t="shared" ca="1" si="41"/>
        <v>#N/A</v>
      </c>
      <c r="I397" s="29" t="s">
        <v>19</v>
      </c>
      <c r="J397" s="25" t="e">
        <f t="shared" ca="1" si="43"/>
        <v>#N/A</v>
      </c>
    </row>
    <row r="398" spans="1:10" ht="15.75" x14ac:dyDescent="0.25">
      <c r="A398" s="20"/>
      <c r="B398" s="31" t="e">
        <f t="shared" ca="1" si="42"/>
        <v>#N/A</v>
      </c>
      <c r="C398" s="20"/>
      <c r="D398" s="32" t="e">
        <f t="shared" ca="1" si="44"/>
        <v>#N/A</v>
      </c>
      <c r="E398" s="29" t="s">
        <v>19</v>
      </c>
      <c r="F398" s="29"/>
      <c r="G398" s="29"/>
      <c r="H398" s="32" t="e">
        <f t="shared" ca="1" si="41"/>
        <v>#N/A</v>
      </c>
      <c r="I398" s="29" t="s">
        <v>19</v>
      </c>
      <c r="J398" s="25" t="e">
        <f t="shared" ca="1" si="43"/>
        <v>#N/A</v>
      </c>
    </row>
    <row r="399" spans="1:10" ht="15.75" x14ac:dyDescent="0.25">
      <c r="A399" s="20"/>
      <c r="B399" s="31" t="e">
        <f t="shared" ca="1" si="42"/>
        <v>#N/A</v>
      </c>
      <c r="C399" s="20"/>
      <c r="D399" s="32" t="e">
        <f t="shared" ca="1" si="44"/>
        <v>#N/A</v>
      </c>
      <c r="E399" s="29" t="s">
        <v>19</v>
      </c>
      <c r="F399" s="29"/>
      <c r="G399" s="29"/>
      <c r="H399" s="32" t="e">
        <f t="shared" ca="1" si="41"/>
        <v>#N/A</v>
      </c>
      <c r="I399" s="29" t="s">
        <v>19</v>
      </c>
      <c r="J399" s="25" t="e">
        <f t="shared" ca="1" si="43"/>
        <v>#N/A</v>
      </c>
    </row>
    <row r="400" spans="1:10" ht="15.75" x14ac:dyDescent="0.25">
      <c r="A400" s="20"/>
      <c r="B400" s="31" t="e">
        <f t="shared" ca="1" si="42"/>
        <v>#N/A</v>
      </c>
      <c r="C400" s="20"/>
      <c r="D400" s="32" t="e">
        <f t="shared" ca="1" si="44"/>
        <v>#N/A</v>
      </c>
      <c r="E400" s="29" t="s">
        <v>19</v>
      </c>
      <c r="F400" s="29"/>
      <c r="G400" s="29"/>
      <c r="H400" s="32" t="e">
        <f t="shared" ca="1" si="41"/>
        <v>#N/A</v>
      </c>
      <c r="I400" s="29" t="s">
        <v>19</v>
      </c>
      <c r="J400" s="25" t="e">
        <f t="shared" ca="1" si="43"/>
        <v>#N/A</v>
      </c>
    </row>
    <row r="401" spans="1:10" ht="15.75" x14ac:dyDescent="0.25">
      <c r="A401" s="20"/>
      <c r="B401" s="31" t="e">
        <f t="shared" ca="1" si="42"/>
        <v>#N/A</v>
      </c>
      <c r="C401" s="20"/>
      <c r="D401" s="32" t="e">
        <f t="shared" ca="1" si="44"/>
        <v>#N/A</v>
      </c>
      <c r="E401" s="29" t="s">
        <v>19</v>
      </c>
      <c r="F401" s="29"/>
      <c r="G401" s="29"/>
      <c r="H401" s="32" t="e">
        <f t="shared" ca="1" si="41"/>
        <v>#N/A</v>
      </c>
      <c r="I401" s="29" t="s">
        <v>19</v>
      </c>
      <c r="J401" s="25" t="e">
        <f t="shared" ca="1" si="43"/>
        <v>#N/A</v>
      </c>
    </row>
    <row r="402" spans="1:10" ht="15.75" x14ac:dyDescent="0.25">
      <c r="A402" s="20"/>
      <c r="B402" s="31" t="e">
        <f t="shared" ca="1" si="42"/>
        <v>#N/A</v>
      </c>
      <c r="C402" s="20"/>
      <c r="D402" s="32" t="e">
        <f t="shared" ca="1" si="44"/>
        <v>#N/A</v>
      </c>
      <c r="E402" s="29" t="s">
        <v>19</v>
      </c>
      <c r="F402" s="29"/>
      <c r="G402" s="29"/>
      <c r="H402" s="32" t="e">
        <f t="shared" ca="1" si="41"/>
        <v>#N/A</v>
      </c>
      <c r="I402" s="29" t="s">
        <v>19</v>
      </c>
      <c r="J402" s="25" t="e">
        <f t="shared" ca="1" si="43"/>
        <v>#N/A</v>
      </c>
    </row>
    <row r="403" spans="1:10" ht="15.75" x14ac:dyDescent="0.25">
      <c r="A403" s="20"/>
      <c r="B403" s="31" t="e">
        <f t="shared" ca="1" si="42"/>
        <v>#N/A</v>
      </c>
      <c r="C403" s="20"/>
      <c r="D403" s="32" t="e">
        <f t="shared" ca="1" si="44"/>
        <v>#N/A</v>
      </c>
      <c r="E403" s="29" t="s">
        <v>19</v>
      </c>
      <c r="F403" s="29"/>
      <c r="G403" s="29"/>
      <c r="H403" s="32" t="e">
        <f t="shared" ca="1" si="41"/>
        <v>#N/A</v>
      </c>
      <c r="I403" s="29" t="s">
        <v>19</v>
      </c>
      <c r="J403" s="25" t="e">
        <f t="shared" ca="1" si="43"/>
        <v>#N/A</v>
      </c>
    </row>
    <row r="404" spans="1:10" ht="15.75" x14ac:dyDescent="0.25">
      <c r="A404" s="20"/>
      <c r="B404" s="31" t="e">
        <f t="shared" ca="1" si="42"/>
        <v>#N/A</v>
      </c>
      <c r="C404" s="20"/>
      <c r="D404" s="32" t="e">
        <f t="shared" ca="1" si="44"/>
        <v>#N/A</v>
      </c>
      <c r="E404" s="29" t="s">
        <v>19</v>
      </c>
      <c r="F404" s="29"/>
      <c r="G404" s="29"/>
      <c r="H404" s="32" t="e">
        <f t="shared" ca="1" si="41"/>
        <v>#N/A</v>
      </c>
      <c r="I404" s="29" t="s">
        <v>19</v>
      </c>
      <c r="J404" s="25" t="e">
        <f t="shared" ca="1" si="43"/>
        <v>#N/A</v>
      </c>
    </row>
    <row r="405" spans="1:10" ht="15.75" x14ac:dyDescent="0.25">
      <c r="A405" s="20"/>
      <c r="B405" s="31" t="e">
        <f t="shared" ca="1" si="42"/>
        <v>#N/A</v>
      </c>
      <c r="C405" s="20"/>
      <c r="D405" s="32" t="e">
        <f t="shared" ca="1" si="44"/>
        <v>#N/A</v>
      </c>
      <c r="E405" s="29" t="s">
        <v>19</v>
      </c>
      <c r="F405" s="29"/>
      <c r="G405" s="29"/>
      <c r="H405" s="32" t="e">
        <f t="shared" ca="1" si="41"/>
        <v>#N/A</v>
      </c>
      <c r="I405" s="29" t="s">
        <v>19</v>
      </c>
      <c r="J405" s="25" t="e">
        <f t="shared" ca="1" si="43"/>
        <v>#N/A</v>
      </c>
    </row>
    <row r="406" spans="1:10" ht="15.75" x14ac:dyDescent="0.25">
      <c r="A406" s="20"/>
      <c r="B406" s="31" t="e">
        <f t="shared" ca="1" si="42"/>
        <v>#N/A</v>
      </c>
      <c r="C406" s="20"/>
      <c r="D406" s="32" t="e">
        <f t="shared" ca="1" si="44"/>
        <v>#N/A</v>
      </c>
      <c r="E406" s="29" t="s">
        <v>19</v>
      </c>
      <c r="F406" s="29"/>
      <c r="G406" s="29"/>
      <c r="H406" s="32" t="e">
        <f t="shared" ca="1" si="41"/>
        <v>#N/A</v>
      </c>
      <c r="I406" s="29" t="s">
        <v>19</v>
      </c>
      <c r="J406" s="25" t="e">
        <f t="shared" ca="1" si="43"/>
        <v>#N/A</v>
      </c>
    </row>
    <row r="407" spans="1:10" ht="15.75" x14ac:dyDescent="0.25">
      <c r="A407" s="20"/>
      <c r="B407" s="31" t="e">
        <f t="shared" ca="1" si="42"/>
        <v>#N/A</v>
      </c>
      <c r="C407" s="20"/>
      <c r="D407" s="32" t="e">
        <f t="shared" ca="1" si="44"/>
        <v>#N/A</v>
      </c>
      <c r="E407" s="29" t="s">
        <v>19</v>
      </c>
      <c r="F407" s="29"/>
      <c r="G407" s="29"/>
      <c r="H407" s="32" t="e">
        <f t="shared" ca="1" si="41"/>
        <v>#N/A</v>
      </c>
      <c r="I407" s="29" t="s">
        <v>19</v>
      </c>
      <c r="J407" s="25" t="e">
        <f t="shared" ca="1" si="43"/>
        <v>#N/A</v>
      </c>
    </row>
    <row r="408" spans="1:10" ht="15.75" x14ac:dyDescent="0.25">
      <c r="A408" s="20"/>
      <c r="B408" s="31" t="e">
        <f t="shared" ca="1" si="42"/>
        <v>#N/A</v>
      </c>
      <c r="C408" s="20"/>
      <c r="D408" s="32" t="e">
        <f t="shared" ca="1" si="44"/>
        <v>#N/A</v>
      </c>
      <c r="E408" s="29" t="s">
        <v>19</v>
      </c>
      <c r="F408" s="29"/>
      <c r="G408" s="29"/>
      <c r="H408" s="32" t="e">
        <f t="shared" ref="H408:H451" ca="1" si="45">VLOOKUP($A408,TermekKod_data,9,0)</f>
        <v>#N/A</v>
      </c>
      <c r="I408" s="29" t="s">
        <v>19</v>
      </c>
      <c r="J408" s="25" t="e">
        <f t="shared" ca="1" si="43"/>
        <v>#N/A</v>
      </c>
    </row>
    <row r="409" spans="1:10" ht="15.75" x14ac:dyDescent="0.25">
      <c r="A409" s="20"/>
      <c r="B409" s="31" t="e">
        <f t="shared" ref="B409:B451" ca="1" si="46">VLOOKUP(A409,TermekKod_data,2,FALSE)</f>
        <v>#N/A</v>
      </c>
      <c r="C409" s="20"/>
      <c r="D409" s="32" t="e">
        <f t="shared" ca="1" si="44"/>
        <v>#N/A</v>
      </c>
      <c r="E409" s="29" t="s">
        <v>19</v>
      </c>
      <c r="F409" s="29"/>
      <c r="G409" s="29"/>
      <c r="H409" s="32" t="e">
        <f t="shared" ca="1" si="45"/>
        <v>#N/A</v>
      </c>
      <c r="I409" s="29" t="s">
        <v>19</v>
      </c>
      <c r="J409" s="25" t="e">
        <f t="shared" ca="1" si="43"/>
        <v>#N/A</v>
      </c>
    </row>
    <row r="410" spans="1:10" ht="15.75" x14ac:dyDescent="0.25">
      <c r="A410" s="20"/>
      <c r="B410" s="31" t="e">
        <f t="shared" ca="1" si="46"/>
        <v>#N/A</v>
      </c>
      <c r="C410" s="20"/>
      <c r="D410" s="32" t="e">
        <f t="shared" ca="1" si="44"/>
        <v>#N/A</v>
      </c>
      <c r="E410" s="29" t="s">
        <v>19</v>
      </c>
      <c r="F410" s="29"/>
      <c r="G410" s="29"/>
      <c r="H410" s="32" t="e">
        <f t="shared" ca="1" si="45"/>
        <v>#N/A</v>
      </c>
      <c r="I410" s="29" t="s">
        <v>19</v>
      </c>
      <c r="J410" s="25" t="e">
        <f t="shared" ca="1" si="43"/>
        <v>#N/A</v>
      </c>
    </row>
    <row r="411" spans="1:10" ht="15.75" x14ac:dyDescent="0.25">
      <c r="A411" s="20"/>
      <c r="B411" s="31" t="e">
        <f t="shared" ca="1" si="46"/>
        <v>#N/A</v>
      </c>
      <c r="C411" s="20"/>
      <c r="D411" s="32" t="e">
        <f t="shared" ca="1" si="44"/>
        <v>#N/A</v>
      </c>
      <c r="E411" s="29" t="s">
        <v>19</v>
      </c>
      <c r="F411" s="29"/>
      <c r="G411" s="29"/>
      <c r="H411" s="32" t="e">
        <f t="shared" ca="1" si="45"/>
        <v>#N/A</v>
      </c>
      <c r="I411" s="29" t="s">
        <v>19</v>
      </c>
      <c r="J411" s="25" t="e">
        <f t="shared" ca="1" si="43"/>
        <v>#N/A</v>
      </c>
    </row>
    <row r="412" spans="1:10" ht="15.75" x14ac:dyDescent="0.25">
      <c r="A412" s="20"/>
      <c r="B412" s="31" t="e">
        <f t="shared" ca="1" si="46"/>
        <v>#N/A</v>
      </c>
      <c r="C412" s="20"/>
      <c r="D412" s="32" t="e">
        <f t="shared" ca="1" si="44"/>
        <v>#N/A</v>
      </c>
      <c r="E412" s="29" t="s">
        <v>19</v>
      </c>
      <c r="F412" s="29"/>
      <c r="G412" s="29"/>
      <c r="H412" s="32" t="e">
        <f t="shared" ca="1" si="45"/>
        <v>#N/A</v>
      </c>
      <c r="I412" s="29" t="s">
        <v>19</v>
      </c>
      <c r="J412" s="25" t="e">
        <f t="shared" ca="1" si="43"/>
        <v>#N/A</v>
      </c>
    </row>
    <row r="413" spans="1:10" ht="15.75" x14ac:dyDescent="0.25">
      <c r="A413" s="20"/>
      <c r="B413" s="31" t="e">
        <f t="shared" ca="1" si="46"/>
        <v>#N/A</v>
      </c>
      <c r="C413" s="20"/>
      <c r="D413" s="32" t="e">
        <f t="shared" ca="1" si="44"/>
        <v>#N/A</v>
      </c>
      <c r="E413" s="29" t="s">
        <v>19</v>
      </c>
      <c r="F413" s="29"/>
      <c r="G413" s="29"/>
      <c r="H413" s="32" t="e">
        <f t="shared" ca="1" si="45"/>
        <v>#N/A</v>
      </c>
      <c r="I413" s="29" t="s">
        <v>19</v>
      </c>
      <c r="J413" s="25" t="e">
        <f t="shared" ca="1" si="43"/>
        <v>#N/A</v>
      </c>
    </row>
    <row r="414" spans="1:10" ht="15.75" x14ac:dyDescent="0.25">
      <c r="A414" s="20"/>
      <c r="B414" s="31" t="e">
        <f t="shared" ca="1" si="46"/>
        <v>#N/A</v>
      </c>
      <c r="C414" s="20"/>
      <c r="D414" s="32" t="e">
        <f t="shared" ca="1" si="44"/>
        <v>#N/A</v>
      </c>
      <c r="E414" s="29" t="s">
        <v>19</v>
      </c>
      <c r="F414" s="29"/>
      <c r="G414" s="29"/>
      <c r="H414" s="32" t="e">
        <f t="shared" ca="1" si="45"/>
        <v>#N/A</v>
      </c>
      <c r="I414" s="29" t="s">
        <v>19</v>
      </c>
      <c r="J414" s="25" t="e">
        <f t="shared" ca="1" si="43"/>
        <v>#N/A</v>
      </c>
    </row>
    <row r="415" spans="1:10" ht="15.75" x14ac:dyDescent="0.25">
      <c r="A415" s="20"/>
      <c r="B415" s="31" t="e">
        <f t="shared" ca="1" si="46"/>
        <v>#N/A</v>
      </c>
      <c r="C415" s="20"/>
      <c r="D415" s="32" t="e">
        <f t="shared" ca="1" si="44"/>
        <v>#N/A</v>
      </c>
      <c r="E415" s="29" t="s">
        <v>19</v>
      </c>
      <c r="F415" s="29"/>
      <c r="G415" s="29"/>
      <c r="H415" s="32" t="e">
        <f t="shared" ca="1" si="45"/>
        <v>#N/A</v>
      </c>
      <c r="I415" s="29" t="s">
        <v>19</v>
      </c>
      <c r="J415" s="25" t="e">
        <f t="shared" ca="1" si="43"/>
        <v>#N/A</v>
      </c>
    </row>
    <row r="416" spans="1:10" ht="15.75" x14ac:dyDescent="0.25">
      <c r="A416" s="20"/>
      <c r="B416" s="31" t="e">
        <f t="shared" ca="1" si="46"/>
        <v>#N/A</v>
      </c>
      <c r="C416" s="20"/>
      <c r="D416" s="32" t="e">
        <f t="shared" ca="1" si="44"/>
        <v>#N/A</v>
      </c>
      <c r="E416" s="29" t="s">
        <v>19</v>
      </c>
      <c r="F416" s="29"/>
      <c r="G416" s="29"/>
      <c r="H416" s="32" t="e">
        <f t="shared" ca="1" si="45"/>
        <v>#N/A</v>
      </c>
      <c r="I416" s="29" t="s">
        <v>19</v>
      </c>
      <c r="J416" s="25" t="e">
        <f t="shared" ca="1" si="43"/>
        <v>#N/A</v>
      </c>
    </row>
    <row r="417" spans="1:10" ht="15.75" x14ac:dyDescent="0.25">
      <c r="A417" s="20"/>
      <c r="B417" s="31" t="e">
        <f t="shared" ca="1" si="46"/>
        <v>#N/A</v>
      </c>
      <c r="C417" s="20"/>
      <c r="D417" s="32" t="e">
        <f t="shared" ca="1" si="44"/>
        <v>#N/A</v>
      </c>
      <c r="E417" s="29" t="s">
        <v>19</v>
      </c>
      <c r="F417" s="29"/>
      <c r="G417" s="29"/>
      <c r="H417" s="32" t="e">
        <f t="shared" ca="1" si="45"/>
        <v>#N/A</v>
      </c>
      <c r="I417" s="29" t="s">
        <v>19</v>
      </c>
      <c r="J417" s="25" t="e">
        <f t="shared" ca="1" si="43"/>
        <v>#N/A</v>
      </c>
    </row>
    <row r="418" spans="1:10" ht="15.75" x14ac:dyDescent="0.25">
      <c r="A418" s="20"/>
      <c r="B418" s="31" t="e">
        <f t="shared" ca="1" si="46"/>
        <v>#N/A</v>
      </c>
      <c r="C418" s="20"/>
      <c r="D418" s="32" t="e">
        <f t="shared" ca="1" si="44"/>
        <v>#N/A</v>
      </c>
      <c r="E418" s="29" t="s">
        <v>19</v>
      </c>
      <c r="F418" s="29"/>
      <c r="G418" s="29"/>
      <c r="H418" s="32" t="e">
        <f t="shared" ca="1" si="45"/>
        <v>#N/A</v>
      </c>
      <c r="I418" s="29" t="s">
        <v>19</v>
      </c>
      <c r="J418" s="25" t="e">
        <f t="shared" ca="1" si="43"/>
        <v>#N/A</v>
      </c>
    </row>
    <row r="419" spans="1:10" ht="15.75" x14ac:dyDescent="0.25">
      <c r="A419" s="20"/>
      <c r="B419" s="31" t="e">
        <f t="shared" ca="1" si="46"/>
        <v>#N/A</v>
      </c>
      <c r="C419" s="20"/>
      <c r="D419" s="32" t="e">
        <f t="shared" ca="1" si="44"/>
        <v>#N/A</v>
      </c>
      <c r="E419" s="29" t="s">
        <v>19</v>
      </c>
      <c r="F419" s="29"/>
      <c r="G419" s="29"/>
      <c r="H419" s="32" t="e">
        <f t="shared" ca="1" si="45"/>
        <v>#N/A</v>
      </c>
      <c r="I419" s="29" t="s">
        <v>19</v>
      </c>
      <c r="J419" s="25" t="e">
        <f t="shared" ca="1" si="43"/>
        <v>#N/A</v>
      </c>
    </row>
    <row r="420" spans="1:10" ht="15.75" x14ac:dyDescent="0.25">
      <c r="A420" s="20"/>
      <c r="B420" s="31" t="e">
        <f t="shared" ca="1" si="46"/>
        <v>#N/A</v>
      </c>
      <c r="C420" s="20"/>
      <c r="D420" s="32" t="e">
        <f t="shared" ca="1" si="44"/>
        <v>#N/A</v>
      </c>
      <c r="E420" s="29" t="s">
        <v>19</v>
      </c>
      <c r="F420" s="29"/>
      <c r="G420" s="29"/>
      <c r="H420" s="32" t="e">
        <f t="shared" ca="1" si="45"/>
        <v>#N/A</v>
      </c>
      <c r="I420" s="29" t="s">
        <v>19</v>
      </c>
      <c r="J420" s="25" t="e">
        <f t="shared" ref="J420:J451" ca="1" si="47">VLOOKUP(A420,TermekKod_data,3,FALSE)</f>
        <v>#N/A</v>
      </c>
    </row>
    <row r="421" spans="1:10" ht="15.75" x14ac:dyDescent="0.25">
      <c r="A421" s="20"/>
      <c r="B421" s="31" t="e">
        <f t="shared" ca="1" si="46"/>
        <v>#N/A</v>
      </c>
      <c r="C421" s="20"/>
      <c r="D421" s="32" t="e">
        <f t="shared" ca="1" si="44"/>
        <v>#N/A</v>
      </c>
      <c r="E421" s="29" t="s">
        <v>19</v>
      </c>
      <c r="F421" s="29"/>
      <c r="G421" s="29"/>
      <c r="H421" s="32" t="e">
        <f t="shared" ca="1" si="45"/>
        <v>#N/A</v>
      </c>
      <c r="I421" s="29" t="s">
        <v>19</v>
      </c>
      <c r="J421" s="25" t="e">
        <f t="shared" ca="1" si="47"/>
        <v>#N/A</v>
      </c>
    </row>
    <row r="422" spans="1:10" ht="15.75" x14ac:dyDescent="0.25">
      <c r="A422" s="20"/>
      <c r="B422" s="31" t="e">
        <f t="shared" ca="1" si="46"/>
        <v>#N/A</v>
      </c>
      <c r="C422" s="20"/>
      <c r="D422" s="32" t="e">
        <f t="shared" ca="1" si="44"/>
        <v>#N/A</v>
      </c>
      <c r="E422" s="29" t="s">
        <v>19</v>
      </c>
      <c r="F422" s="29"/>
      <c r="G422" s="29"/>
      <c r="H422" s="32" t="e">
        <f t="shared" ca="1" si="45"/>
        <v>#N/A</v>
      </c>
      <c r="I422" s="29" t="s">
        <v>19</v>
      </c>
      <c r="J422" s="25" t="e">
        <f t="shared" ca="1" si="47"/>
        <v>#N/A</v>
      </c>
    </row>
    <row r="423" spans="1:10" ht="15.75" x14ac:dyDescent="0.25">
      <c r="A423" s="20"/>
      <c r="B423" s="31" t="e">
        <f t="shared" ca="1" si="46"/>
        <v>#N/A</v>
      </c>
      <c r="C423" s="20"/>
      <c r="D423" s="32" t="e">
        <f t="shared" ca="1" si="44"/>
        <v>#N/A</v>
      </c>
      <c r="E423" s="29" t="s">
        <v>19</v>
      </c>
      <c r="F423" s="29"/>
      <c r="G423" s="29"/>
      <c r="H423" s="32" t="e">
        <f t="shared" ca="1" si="45"/>
        <v>#N/A</v>
      </c>
      <c r="I423" s="29" t="s">
        <v>19</v>
      </c>
      <c r="J423" s="25" t="e">
        <f t="shared" ca="1" si="47"/>
        <v>#N/A</v>
      </c>
    </row>
    <row r="424" spans="1:10" ht="15.75" x14ac:dyDescent="0.25">
      <c r="A424" s="20"/>
      <c r="B424" s="31" t="e">
        <f t="shared" ca="1" si="46"/>
        <v>#N/A</v>
      </c>
      <c r="C424" s="20"/>
      <c r="D424" s="32" t="e">
        <f t="shared" ca="1" si="44"/>
        <v>#N/A</v>
      </c>
      <c r="E424" s="29" t="s">
        <v>19</v>
      </c>
      <c r="F424" s="29"/>
      <c r="G424" s="29"/>
      <c r="H424" s="32" t="e">
        <f t="shared" ca="1" si="45"/>
        <v>#N/A</v>
      </c>
      <c r="I424" s="29" t="s">
        <v>19</v>
      </c>
      <c r="J424" s="25" t="e">
        <f t="shared" ca="1" si="47"/>
        <v>#N/A</v>
      </c>
    </row>
    <row r="425" spans="1:10" ht="15.75" x14ac:dyDescent="0.25">
      <c r="A425" s="20"/>
      <c r="B425" s="31" t="e">
        <f t="shared" ca="1" si="46"/>
        <v>#N/A</v>
      </c>
      <c r="C425" s="20"/>
      <c r="D425" s="32" t="e">
        <f t="shared" ca="1" si="44"/>
        <v>#N/A</v>
      </c>
      <c r="E425" s="29" t="s">
        <v>19</v>
      </c>
      <c r="F425" s="29"/>
      <c r="G425" s="29"/>
      <c r="H425" s="32" t="e">
        <f t="shared" ca="1" si="45"/>
        <v>#N/A</v>
      </c>
      <c r="I425" s="29" t="s">
        <v>19</v>
      </c>
      <c r="J425" s="25" t="e">
        <f t="shared" ca="1" si="47"/>
        <v>#N/A</v>
      </c>
    </row>
    <row r="426" spans="1:10" ht="15.75" x14ac:dyDescent="0.25">
      <c r="A426" s="20"/>
      <c r="B426" s="31" t="e">
        <f t="shared" ca="1" si="46"/>
        <v>#N/A</v>
      </c>
      <c r="C426" s="20"/>
      <c r="D426" s="32" t="e">
        <f t="shared" ca="1" si="44"/>
        <v>#N/A</v>
      </c>
      <c r="E426" s="29" t="s">
        <v>19</v>
      </c>
      <c r="F426" s="29"/>
      <c r="G426" s="29"/>
      <c r="H426" s="32" t="e">
        <f t="shared" ca="1" si="45"/>
        <v>#N/A</v>
      </c>
      <c r="I426" s="29" t="s">
        <v>19</v>
      </c>
      <c r="J426" s="25" t="e">
        <f t="shared" ca="1" si="47"/>
        <v>#N/A</v>
      </c>
    </row>
    <row r="427" spans="1:10" ht="15.75" x14ac:dyDescent="0.25">
      <c r="A427" s="20"/>
      <c r="B427" s="31" t="e">
        <f t="shared" ca="1" si="46"/>
        <v>#N/A</v>
      </c>
      <c r="C427" s="20"/>
      <c r="D427" s="32" t="e">
        <f t="shared" ca="1" si="44"/>
        <v>#N/A</v>
      </c>
      <c r="E427" s="29" t="s">
        <v>19</v>
      </c>
      <c r="F427" s="29"/>
      <c r="G427" s="29"/>
      <c r="H427" s="32" t="e">
        <f t="shared" ca="1" si="45"/>
        <v>#N/A</v>
      </c>
      <c r="I427" s="29" t="s">
        <v>19</v>
      </c>
      <c r="J427" s="25" t="e">
        <f t="shared" ca="1" si="47"/>
        <v>#N/A</v>
      </c>
    </row>
    <row r="428" spans="1:10" ht="15.75" x14ac:dyDescent="0.25">
      <c r="A428" s="20"/>
      <c r="B428" s="31" t="e">
        <f t="shared" ca="1" si="46"/>
        <v>#N/A</v>
      </c>
      <c r="C428" s="20"/>
      <c r="D428" s="32" t="e">
        <f t="shared" ca="1" si="44"/>
        <v>#N/A</v>
      </c>
      <c r="E428" s="29" t="s">
        <v>19</v>
      </c>
      <c r="F428" s="29"/>
      <c r="G428" s="29"/>
      <c r="H428" s="32" t="e">
        <f t="shared" ca="1" si="45"/>
        <v>#N/A</v>
      </c>
      <c r="I428" s="29" t="s">
        <v>19</v>
      </c>
      <c r="J428" s="25" t="e">
        <f t="shared" ca="1" si="47"/>
        <v>#N/A</v>
      </c>
    </row>
    <row r="429" spans="1:10" ht="15.75" x14ac:dyDescent="0.25">
      <c r="A429" s="20"/>
      <c r="B429" s="31" t="e">
        <f t="shared" ca="1" si="46"/>
        <v>#N/A</v>
      </c>
      <c r="C429" s="20"/>
      <c r="D429" s="32" t="e">
        <f t="shared" ca="1" si="44"/>
        <v>#N/A</v>
      </c>
      <c r="E429" s="29" t="s">
        <v>19</v>
      </c>
      <c r="F429" s="29"/>
      <c r="G429" s="29"/>
      <c r="H429" s="32" t="e">
        <f t="shared" ca="1" si="45"/>
        <v>#N/A</v>
      </c>
      <c r="I429" s="29" t="s">
        <v>19</v>
      </c>
      <c r="J429" s="25" t="e">
        <f t="shared" ca="1" si="47"/>
        <v>#N/A</v>
      </c>
    </row>
    <row r="430" spans="1:10" ht="15.75" x14ac:dyDescent="0.25">
      <c r="A430" s="20"/>
      <c r="B430" s="31" t="e">
        <f t="shared" ca="1" si="46"/>
        <v>#N/A</v>
      </c>
      <c r="C430" s="20"/>
      <c r="D430" s="32" t="e">
        <f t="shared" ca="1" si="44"/>
        <v>#N/A</v>
      </c>
      <c r="E430" s="29" t="s">
        <v>19</v>
      </c>
      <c r="F430" s="29"/>
      <c r="G430" s="29"/>
      <c r="H430" s="32" t="e">
        <f t="shared" ca="1" si="45"/>
        <v>#N/A</v>
      </c>
      <c r="I430" s="29" t="s">
        <v>19</v>
      </c>
      <c r="J430" s="25" t="e">
        <f t="shared" ca="1" si="47"/>
        <v>#N/A</v>
      </c>
    </row>
    <row r="431" spans="1:10" ht="15.75" x14ac:dyDescent="0.25">
      <c r="A431" s="20"/>
      <c r="B431" s="31" t="e">
        <f t="shared" ca="1" si="46"/>
        <v>#N/A</v>
      </c>
      <c r="C431" s="20"/>
      <c r="D431" s="32" t="e">
        <f t="shared" ca="1" si="44"/>
        <v>#N/A</v>
      </c>
      <c r="E431" s="29" t="s">
        <v>19</v>
      </c>
      <c r="F431" s="29"/>
      <c r="G431" s="29"/>
      <c r="H431" s="32" t="e">
        <f t="shared" ca="1" si="45"/>
        <v>#N/A</v>
      </c>
      <c r="I431" s="29" t="s">
        <v>19</v>
      </c>
      <c r="J431" s="25" t="e">
        <f t="shared" ca="1" si="47"/>
        <v>#N/A</v>
      </c>
    </row>
    <row r="432" spans="1:10" ht="15.75" x14ac:dyDescent="0.25">
      <c r="A432" s="20"/>
      <c r="B432" s="31" t="e">
        <f t="shared" ca="1" si="46"/>
        <v>#N/A</v>
      </c>
      <c r="C432" s="20"/>
      <c r="D432" s="32" t="e">
        <f t="shared" ca="1" si="44"/>
        <v>#N/A</v>
      </c>
      <c r="E432" s="29" t="s">
        <v>19</v>
      </c>
      <c r="F432" s="29"/>
      <c r="G432" s="29"/>
      <c r="H432" s="32" t="e">
        <f t="shared" ca="1" si="45"/>
        <v>#N/A</v>
      </c>
      <c r="I432" s="29" t="s">
        <v>19</v>
      </c>
      <c r="J432" s="25" t="e">
        <f t="shared" ca="1" si="47"/>
        <v>#N/A</v>
      </c>
    </row>
    <row r="433" spans="1:10" ht="15.75" x14ac:dyDescent="0.25">
      <c r="A433" s="20"/>
      <c r="B433" s="31" t="e">
        <f t="shared" ca="1" si="46"/>
        <v>#N/A</v>
      </c>
      <c r="C433" s="20"/>
      <c r="D433" s="32" t="e">
        <f t="shared" ca="1" si="44"/>
        <v>#N/A</v>
      </c>
      <c r="E433" s="29" t="s">
        <v>19</v>
      </c>
      <c r="F433" s="29"/>
      <c r="G433" s="29"/>
      <c r="H433" s="32" t="e">
        <f t="shared" ca="1" si="45"/>
        <v>#N/A</v>
      </c>
      <c r="I433" s="29" t="s">
        <v>19</v>
      </c>
      <c r="J433" s="25" t="e">
        <f t="shared" ca="1" si="47"/>
        <v>#N/A</v>
      </c>
    </row>
    <row r="434" spans="1:10" ht="15.75" x14ac:dyDescent="0.25">
      <c r="A434" s="20"/>
      <c r="B434" s="31" t="e">
        <f t="shared" ca="1" si="46"/>
        <v>#N/A</v>
      </c>
      <c r="C434" s="20"/>
      <c r="D434" s="32" t="e">
        <f t="shared" ca="1" si="44"/>
        <v>#N/A</v>
      </c>
      <c r="E434" s="29" t="s">
        <v>19</v>
      </c>
      <c r="F434" s="29"/>
      <c r="G434" s="29"/>
      <c r="H434" s="32" t="e">
        <f t="shared" ca="1" si="45"/>
        <v>#N/A</v>
      </c>
      <c r="I434" s="29" t="s">
        <v>19</v>
      </c>
      <c r="J434" s="25" t="e">
        <f t="shared" ca="1" si="47"/>
        <v>#N/A</v>
      </c>
    </row>
    <row r="435" spans="1:10" ht="15.75" x14ac:dyDescent="0.25">
      <c r="A435" s="20"/>
      <c r="B435" s="31" t="e">
        <f t="shared" ca="1" si="46"/>
        <v>#N/A</v>
      </c>
      <c r="C435" s="20"/>
      <c r="D435" s="32" t="e">
        <f t="shared" ca="1" si="44"/>
        <v>#N/A</v>
      </c>
      <c r="E435" s="29" t="s">
        <v>19</v>
      </c>
      <c r="F435" s="29"/>
      <c r="G435" s="29"/>
      <c r="H435" s="32" t="e">
        <f t="shared" ca="1" si="45"/>
        <v>#N/A</v>
      </c>
      <c r="I435" s="29" t="s">
        <v>19</v>
      </c>
      <c r="J435" s="25" t="e">
        <f t="shared" ca="1" si="47"/>
        <v>#N/A</v>
      </c>
    </row>
    <row r="436" spans="1:10" ht="15.75" x14ac:dyDescent="0.25">
      <c r="A436" s="20"/>
      <c r="B436" s="31" t="e">
        <f t="shared" ca="1" si="46"/>
        <v>#N/A</v>
      </c>
      <c r="C436" s="20"/>
      <c r="D436" s="32" t="e">
        <f t="shared" ca="1" si="44"/>
        <v>#N/A</v>
      </c>
      <c r="E436" s="29" t="s">
        <v>19</v>
      </c>
      <c r="F436" s="29"/>
      <c r="G436" s="29"/>
      <c r="H436" s="32" t="e">
        <f t="shared" ca="1" si="45"/>
        <v>#N/A</v>
      </c>
      <c r="I436" s="29" t="s">
        <v>19</v>
      </c>
      <c r="J436" s="25" t="e">
        <f t="shared" ca="1" si="47"/>
        <v>#N/A</v>
      </c>
    </row>
    <row r="437" spans="1:10" ht="15.75" x14ac:dyDescent="0.25">
      <c r="A437" s="20"/>
      <c r="B437" s="31" t="e">
        <f t="shared" ca="1" si="46"/>
        <v>#N/A</v>
      </c>
      <c r="C437" s="20"/>
      <c r="D437" s="32" t="e">
        <f t="shared" ca="1" si="44"/>
        <v>#N/A</v>
      </c>
      <c r="E437" s="29" t="s">
        <v>19</v>
      </c>
      <c r="F437" s="29"/>
      <c r="G437" s="29"/>
      <c r="H437" s="32" t="e">
        <f t="shared" ca="1" si="45"/>
        <v>#N/A</v>
      </c>
      <c r="I437" s="29" t="s">
        <v>19</v>
      </c>
      <c r="J437" s="25" t="e">
        <f t="shared" ca="1" si="47"/>
        <v>#N/A</v>
      </c>
    </row>
    <row r="438" spans="1:10" ht="15.75" x14ac:dyDescent="0.25">
      <c r="A438" s="20"/>
      <c r="B438" s="31" t="e">
        <f t="shared" ca="1" si="46"/>
        <v>#N/A</v>
      </c>
      <c r="C438" s="20"/>
      <c r="D438" s="32" t="e">
        <f t="shared" ca="1" si="44"/>
        <v>#N/A</v>
      </c>
      <c r="E438" s="29" t="s">
        <v>19</v>
      </c>
      <c r="F438" s="29"/>
      <c r="G438" s="29"/>
      <c r="H438" s="32" t="e">
        <f t="shared" ca="1" si="45"/>
        <v>#N/A</v>
      </c>
      <c r="I438" s="29" t="s">
        <v>19</v>
      </c>
      <c r="J438" s="25" t="e">
        <f t="shared" ca="1" si="47"/>
        <v>#N/A</v>
      </c>
    </row>
    <row r="439" spans="1:10" ht="15.75" x14ac:dyDescent="0.25">
      <c r="A439" s="20"/>
      <c r="B439" s="31" t="e">
        <f t="shared" ca="1" si="46"/>
        <v>#N/A</v>
      </c>
      <c r="C439" s="20"/>
      <c r="D439" s="32" t="e">
        <f t="shared" ca="1" si="44"/>
        <v>#N/A</v>
      </c>
      <c r="E439" s="29" t="s">
        <v>19</v>
      </c>
      <c r="F439" s="29"/>
      <c r="G439" s="29"/>
      <c r="H439" s="32" t="e">
        <f t="shared" ca="1" si="45"/>
        <v>#N/A</v>
      </c>
      <c r="I439" s="29" t="s">
        <v>19</v>
      </c>
      <c r="J439" s="25" t="e">
        <f t="shared" ca="1" si="47"/>
        <v>#N/A</v>
      </c>
    </row>
    <row r="440" spans="1:10" ht="15.75" x14ac:dyDescent="0.25">
      <c r="A440" s="20"/>
      <c r="B440" s="31" t="e">
        <f t="shared" ca="1" si="46"/>
        <v>#N/A</v>
      </c>
      <c r="C440" s="20"/>
      <c r="D440" s="32" t="e">
        <f t="shared" ca="1" si="44"/>
        <v>#N/A</v>
      </c>
      <c r="E440" s="29" t="s">
        <v>19</v>
      </c>
      <c r="F440" s="29"/>
      <c r="G440" s="29"/>
      <c r="H440" s="32" t="e">
        <f t="shared" ca="1" si="45"/>
        <v>#N/A</v>
      </c>
      <c r="I440" s="29" t="s">
        <v>19</v>
      </c>
      <c r="J440" s="25" t="e">
        <f t="shared" ca="1" si="47"/>
        <v>#N/A</v>
      </c>
    </row>
    <row r="441" spans="1:10" ht="15.75" x14ac:dyDescent="0.25">
      <c r="A441" s="20"/>
      <c r="B441" s="31" t="e">
        <f t="shared" ca="1" si="46"/>
        <v>#N/A</v>
      </c>
      <c r="C441" s="20"/>
      <c r="D441" s="32" t="e">
        <f t="shared" ref="D441:D451" ca="1" si="48">VLOOKUP($A441,TermekKod_data,8,0)</f>
        <v>#N/A</v>
      </c>
      <c r="E441" s="29" t="s">
        <v>19</v>
      </c>
      <c r="F441" s="29"/>
      <c r="G441" s="29"/>
      <c r="H441" s="32" t="e">
        <f t="shared" ca="1" si="45"/>
        <v>#N/A</v>
      </c>
      <c r="I441" s="29" t="s">
        <v>19</v>
      </c>
      <c r="J441" s="25" t="e">
        <f t="shared" ca="1" si="47"/>
        <v>#N/A</v>
      </c>
    </row>
    <row r="442" spans="1:10" ht="15.75" x14ac:dyDescent="0.25">
      <c r="A442" s="20"/>
      <c r="B442" s="31" t="e">
        <f t="shared" ca="1" si="46"/>
        <v>#N/A</v>
      </c>
      <c r="C442" s="20"/>
      <c r="D442" s="32" t="e">
        <f t="shared" ca="1" si="48"/>
        <v>#N/A</v>
      </c>
      <c r="E442" s="29" t="s">
        <v>19</v>
      </c>
      <c r="F442" s="29"/>
      <c r="G442" s="29"/>
      <c r="H442" s="32" t="e">
        <f t="shared" ca="1" si="45"/>
        <v>#N/A</v>
      </c>
      <c r="I442" s="29" t="s">
        <v>19</v>
      </c>
      <c r="J442" s="25" t="e">
        <f t="shared" ca="1" si="47"/>
        <v>#N/A</v>
      </c>
    </row>
    <row r="443" spans="1:10" ht="15.75" x14ac:dyDescent="0.25">
      <c r="A443" s="20"/>
      <c r="B443" s="31" t="e">
        <f t="shared" ca="1" si="46"/>
        <v>#N/A</v>
      </c>
      <c r="C443" s="20"/>
      <c r="D443" s="32" t="e">
        <f t="shared" ca="1" si="48"/>
        <v>#N/A</v>
      </c>
      <c r="E443" s="29" t="s">
        <v>19</v>
      </c>
      <c r="F443" s="29"/>
      <c r="G443" s="29"/>
      <c r="H443" s="32" t="e">
        <f t="shared" ca="1" si="45"/>
        <v>#N/A</v>
      </c>
      <c r="I443" s="29" t="s">
        <v>19</v>
      </c>
      <c r="J443" s="25" t="e">
        <f t="shared" ca="1" si="47"/>
        <v>#N/A</v>
      </c>
    </row>
    <row r="444" spans="1:10" ht="15.75" x14ac:dyDescent="0.25">
      <c r="A444" s="20"/>
      <c r="B444" s="31" t="e">
        <f t="shared" ca="1" si="46"/>
        <v>#N/A</v>
      </c>
      <c r="C444" s="20"/>
      <c r="D444" s="32" t="e">
        <f t="shared" ca="1" si="48"/>
        <v>#N/A</v>
      </c>
      <c r="E444" s="29" t="s">
        <v>19</v>
      </c>
      <c r="F444" s="29"/>
      <c r="G444" s="29"/>
      <c r="H444" s="32" t="e">
        <f t="shared" ca="1" si="45"/>
        <v>#N/A</v>
      </c>
      <c r="I444" s="29" t="s">
        <v>19</v>
      </c>
      <c r="J444" s="25" t="e">
        <f t="shared" ca="1" si="47"/>
        <v>#N/A</v>
      </c>
    </row>
    <row r="445" spans="1:10" ht="15.75" x14ac:dyDescent="0.25">
      <c r="A445" s="20"/>
      <c r="B445" s="31" t="e">
        <f t="shared" ca="1" si="46"/>
        <v>#N/A</v>
      </c>
      <c r="C445" s="20"/>
      <c r="D445" s="32" t="e">
        <f t="shared" ca="1" si="48"/>
        <v>#N/A</v>
      </c>
      <c r="E445" s="29" t="s">
        <v>19</v>
      </c>
      <c r="F445" s="29"/>
      <c r="G445" s="29"/>
      <c r="H445" s="32" t="e">
        <f t="shared" ca="1" si="45"/>
        <v>#N/A</v>
      </c>
      <c r="I445" s="29" t="s">
        <v>19</v>
      </c>
      <c r="J445" s="25" t="e">
        <f t="shared" ca="1" si="47"/>
        <v>#N/A</v>
      </c>
    </row>
    <row r="446" spans="1:10" ht="15.75" x14ac:dyDescent="0.25">
      <c r="A446" s="20"/>
      <c r="B446" s="31" t="e">
        <f t="shared" ca="1" si="46"/>
        <v>#N/A</v>
      </c>
      <c r="C446" s="20"/>
      <c r="D446" s="32" t="e">
        <f t="shared" ca="1" si="48"/>
        <v>#N/A</v>
      </c>
      <c r="E446" s="29" t="s">
        <v>19</v>
      </c>
      <c r="F446" s="29"/>
      <c r="G446" s="29"/>
      <c r="H446" s="32" t="e">
        <f t="shared" ca="1" si="45"/>
        <v>#N/A</v>
      </c>
      <c r="I446" s="29" t="s">
        <v>19</v>
      </c>
      <c r="J446" s="25" t="e">
        <f t="shared" ca="1" si="47"/>
        <v>#N/A</v>
      </c>
    </row>
    <row r="447" spans="1:10" ht="15.75" x14ac:dyDescent="0.25">
      <c r="A447" s="20"/>
      <c r="B447" s="31" t="e">
        <f t="shared" ca="1" si="46"/>
        <v>#N/A</v>
      </c>
      <c r="C447" s="20"/>
      <c r="D447" s="32" t="e">
        <f t="shared" ca="1" si="48"/>
        <v>#N/A</v>
      </c>
      <c r="E447" s="29" t="s">
        <v>19</v>
      </c>
      <c r="F447" s="29"/>
      <c r="G447" s="29"/>
      <c r="H447" s="32" t="e">
        <f t="shared" ca="1" si="45"/>
        <v>#N/A</v>
      </c>
      <c r="I447" s="29" t="s">
        <v>19</v>
      </c>
      <c r="J447" s="25" t="e">
        <f t="shared" ca="1" si="47"/>
        <v>#N/A</v>
      </c>
    </row>
    <row r="448" spans="1:10" ht="15.75" x14ac:dyDescent="0.25">
      <c r="A448" s="20"/>
      <c r="B448" s="31" t="e">
        <f t="shared" ca="1" si="46"/>
        <v>#N/A</v>
      </c>
      <c r="C448" s="20"/>
      <c r="D448" s="32" t="e">
        <f t="shared" ca="1" si="48"/>
        <v>#N/A</v>
      </c>
      <c r="E448" s="29" t="s">
        <v>19</v>
      </c>
      <c r="F448" s="29"/>
      <c r="G448" s="29"/>
      <c r="H448" s="32" t="e">
        <f t="shared" ca="1" si="45"/>
        <v>#N/A</v>
      </c>
      <c r="I448" s="29" t="s">
        <v>19</v>
      </c>
      <c r="J448" s="25" t="e">
        <f t="shared" ca="1" si="47"/>
        <v>#N/A</v>
      </c>
    </row>
    <row r="449" spans="1:10" ht="15.75" x14ac:dyDescent="0.25">
      <c r="A449" s="20"/>
      <c r="B449" s="31" t="e">
        <f t="shared" ca="1" si="46"/>
        <v>#N/A</v>
      </c>
      <c r="C449" s="20"/>
      <c r="D449" s="32" t="e">
        <f t="shared" ca="1" si="48"/>
        <v>#N/A</v>
      </c>
      <c r="E449" s="29" t="s">
        <v>19</v>
      </c>
      <c r="F449" s="29"/>
      <c r="G449" s="29"/>
      <c r="H449" s="32" t="e">
        <f t="shared" ca="1" si="45"/>
        <v>#N/A</v>
      </c>
      <c r="I449" s="29" t="s">
        <v>19</v>
      </c>
      <c r="J449" s="25" t="e">
        <f t="shared" ca="1" si="47"/>
        <v>#N/A</v>
      </c>
    </row>
    <row r="450" spans="1:10" ht="15.75" x14ac:dyDescent="0.25">
      <c r="A450" s="20"/>
      <c r="B450" s="31" t="e">
        <f t="shared" ca="1" si="46"/>
        <v>#N/A</v>
      </c>
      <c r="C450" s="20"/>
      <c r="D450" s="32" t="e">
        <f t="shared" ca="1" si="48"/>
        <v>#N/A</v>
      </c>
      <c r="E450" s="29" t="s">
        <v>19</v>
      </c>
      <c r="F450" s="29"/>
      <c r="G450" s="29"/>
      <c r="H450" s="32" t="e">
        <f t="shared" ca="1" si="45"/>
        <v>#N/A</v>
      </c>
      <c r="I450" s="29" t="s">
        <v>19</v>
      </c>
      <c r="J450" s="25" t="e">
        <f t="shared" ca="1" si="47"/>
        <v>#N/A</v>
      </c>
    </row>
    <row r="451" spans="1:10" ht="15.75" x14ac:dyDescent="0.25">
      <c r="A451" s="20"/>
      <c r="B451" s="31" t="e">
        <f t="shared" ca="1" si="46"/>
        <v>#N/A</v>
      </c>
      <c r="C451" s="20"/>
      <c r="D451" s="32" t="e">
        <f t="shared" ca="1" si="48"/>
        <v>#N/A</v>
      </c>
      <c r="E451" s="29" t="s">
        <v>19</v>
      </c>
      <c r="F451" s="29"/>
      <c r="G451" s="29"/>
      <c r="H451" s="32" t="e">
        <f t="shared" ca="1" si="45"/>
        <v>#N/A</v>
      </c>
      <c r="I451" s="29" t="s">
        <v>19</v>
      </c>
      <c r="J451" s="25" t="e">
        <f t="shared" ca="1" si="47"/>
        <v>#N/A</v>
      </c>
    </row>
  </sheetData>
  <autoFilter ref="A1:J120" xr:uid="{CB814748-65FE-42D8-B40A-EED7AFE201C1}"/>
  <dataConsolidate/>
  <dataValidations count="1">
    <dataValidation type="list" allowBlank="1" showInputMessage="1" showErrorMessage="1" sqref="N2:N125 A2:A65536" xr:uid="{5F070DB8-2112-473F-9B30-1947533116F2}">
      <formula1>TermekKod_list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4F23-A607-4819-A91B-05F37826B01D}">
  <sheetPr codeName="Munka5"/>
  <dimension ref="A1:J125"/>
  <sheetViews>
    <sheetView workbookViewId="0">
      <selection activeCell="H15" sqref="H15"/>
    </sheetView>
  </sheetViews>
  <sheetFormatPr defaultRowHeight="15" x14ac:dyDescent="0.25"/>
  <cols>
    <col min="1" max="1" width="36.7109375" bestFit="1" customWidth="1"/>
    <col min="2" max="2" width="54.28515625" hidden="1" customWidth="1"/>
    <col min="3" max="3" width="9" hidden="1" customWidth="1"/>
    <col min="4" max="7" width="9.140625" hidden="1" customWidth="1"/>
    <col min="8" max="8" width="9.140625" customWidth="1"/>
    <col min="14" max="14" width="10.85546875" bestFit="1" customWidth="1"/>
  </cols>
  <sheetData>
    <row r="1" spans="1:10" ht="23.25" x14ac:dyDescent="0.25">
      <c r="A1" s="1" t="s">
        <v>2</v>
      </c>
      <c r="B1" s="1" t="s">
        <v>3</v>
      </c>
      <c r="C1" s="1" t="s">
        <v>9</v>
      </c>
      <c r="D1" s="1" t="s">
        <v>15</v>
      </c>
      <c r="E1" s="1" t="s">
        <v>12</v>
      </c>
      <c r="F1" s="1" t="s">
        <v>10</v>
      </c>
      <c r="G1" s="1" t="s">
        <v>11</v>
      </c>
      <c r="H1" t="s">
        <v>13</v>
      </c>
      <c r="I1" s="1" t="s">
        <v>21</v>
      </c>
      <c r="J1" s="1" t="s">
        <v>20</v>
      </c>
    </row>
    <row r="2" spans="1:10" ht="18.75" x14ac:dyDescent="0.3">
      <c r="A2" s="18" t="s">
        <v>222</v>
      </c>
      <c r="B2" s="21" t="e">
        <f ca="1">VLOOKUP(A2,TermekKod_data,2,FALSE)</f>
        <v>#N/A</v>
      </c>
      <c r="C2" s="20"/>
      <c r="D2" s="32" t="e">
        <f t="shared" ref="D2:D65" ca="1" si="0">VLOOKUP($A2,TermekKod_data,8,0)</f>
        <v>#N/A</v>
      </c>
      <c r="E2" s="20" t="s">
        <v>18</v>
      </c>
      <c r="F2" s="20"/>
      <c r="G2" s="20"/>
      <c r="H2" s="32" t="e">
        <f t="shared" ref="H2:H65" ca="1" si="1">VLOOKUP($A2,TermekKod_data,9,0)</f>
        <v>#N/A</v>
      </c>
      <c r="I2" s="20" t="s">
        <v>18</v>
      </c>
      <c r="J2" t="e">
        <f t="shared" ref="J2:J65" ca="1" si="2">VLOOKUP(A2,TermekKod_data,3,FALSE)</f>
        <v>#N/A</v>
      </c>
    </row>
    <row r="3" spans="1:10" ht="15.75" x14ac:dyDescent="0.25">
      <c r="A3" s="29" t="s">
        <v>221</v>
      </c>
      <c r="B3" s="31" t="e">
        <f t="shared" ref="B3:B66" ca="1" si="3">VLOOKUP(A3,TermekKod_data,2,FALSE)</f>
        <v>#N/A</v>
      </c>
      <c r="C3" s="29"/>
      <c r="D3" s="32" t="e">
        <f t="shared" ca="1" si="0"/>
        <v>#N/A</v>
      </c>
      <c r="E3" s="29" t="s">
        <v>19</v>
      </c>
      <c r="F3" s="29"/>
      <c r="G3" s="29"/>
      <c r="H3" s="32" t="e">
        <f t="shared" ca="1" si="1"/>
        <v>#N/A</v>
      </c>
      <c r="I3" s="29" t="s">
        <v>19</v>
      </c>
      <c r="J3" s="25" t="e">
        <f t="shared" ca="1" si="2"/>
        <v>#N/A</v>
      </c>
    </row>
    <row r="4" spans="1:10" ht="18.75" x14ac:dyDescent="0.3">
      <c r="A4" s="18" t="s">
        <v>162</v>
      </c>
      <c r="B4" s="31" t="str">
        <f t="shared" ca="1" si="3"/>
        <v>Float 6mm-Low-e 4mm termó</v>
      </c>
      <c r="C4" s="20"/>
      <c r="D4" s="32">
        <f t="shared" ca="1" si="0"/>
        <v>278</v>
      </c>
      <c r="E4" s="20" t="s">
        <v>18</v>
      </c>
      <c r="F4" s="20"/>
      <c r="G4" s="20"/>
      <c r="H4" s="32">
        <f t="shared" ca="1" si="1"/>
        <v>237</v>
      </c>
      <c r="I4" s="20" t="s">
        <v>18</v>
      </c>
      <c r="J4" t="str">
        <f t="shared" ca="1" si="2"/>
        <v>Duplex</v>
      </c>
    </row>
    <row r="5" spans="1:10" ht="18.75" x14ac:dyDescent="0.3">
      <c r="A5" s="18" t="s">
        <v>223</v>
      </c>
      <c r="B5" s="21" t="str">
        <f t="shared" ca="1" si="3"/>
        <v>Reflexios 4mm-Low-e 4mm termó</v>
      </c>
      <c r="C5" s="20"/>
      <c r="D5" s="32">
        <f t="shared" ca="1" si="0"/>
        <v>466</v>
      </c>
      <c r="E5" s="20" t="s">
        <v>18</v>
      </c>
      <c r="F5" s="20"/>
      <c r="G5" s="20"/>
      <c r="H5" s="32">
        <f t="shared" ca="1" si="1"/>
        <v>397</v>
      </c>
      <c r="I5" s="20" t="s">
        <v>18</v>
      </c>
      <c r="J5" t="str">
        <f t="shared" ca="1" si="2"/>
        <v>Duplex</v>
      </c>
    </row>
    <row r="6" spans="1:10" ht="18.75" x14ac:dyDescent="0.3">
      <c r="A6" s="18" t="s">
        <v>63</v>
      </c>
      <c r="B6" s="21" t="str">
        <f t="shared" ca="1" si="3"/>
        <v>Duplex 3.1.3.-Low-e 4mm termó</v>
      </c>
      <c r="C6" s="20"/>
      <c r="D6" s="32">
        <f t="shared" ca="1" si="0"/>
        <v>380</v>
      </c>
      <c r="E6" s="20" t="s">
        <v>18</v>
      </c>
      <c r="F6" s="20"/>
      <c r="G6" s="20"/>
      <c r="H6" s="32">
        <f t="shared" ca="1" si="1"/>
        <v>323</v>
      </c>
      <c r="I6" s="20" t="s">
        <v>18</v>
      </c>
      <c r="J6" t="str">
        <f t="shared" ca="1" si="2"/>
        <v>Duplex</v>
      </c>
    </row>
    <row r="7" spans="1:10" ht="18.75" x14ac:dyDescent="0.3">
      <c r="A7" s="18" t="s">
        <v>62</v>
      </c>
      <c r="B7" s="21" t="str">
        <f t="shared" ca="1" si="3"/>
        <v>Float 4mm-Float 4mm-Float 4mm termó</v>
      </c>
      <c r="C7" s="20"/>
      <c r="D7" s="32">
        <f t="shared" ca="1" si="0"/>
        <v>361</v>
      </c>
      <c r="E7" s="20" t="s">
        <v>18</v>
      </c>
      <c r="F7" s="20"/>
      <c r="G7" s="20"/>
      <c r="H7" s="32">
        <f t="shared" ca="1" si="1"/>
        <v>307</v>
      </c>
      <c r="I7" s="20" t="s">
        <v>18</v>
      </c>
      <c r="J7" t="str">
        <f t="shared" ca="1" si="2"/>
        <v>Triplex</v>
      </c>
    </row>
    <row r="8" spans="1:10" ht="18.75" x14ac:dyDescent="0.3">
      <c r="A8" s="18" t="s">
        <v>224</v>
      </c>
      <c r="B8" s="21" t="e">
        <f t="shared" ca="1" si="3"/>
        <v>#N/A</v>
      </c>
      <c r="C8" s="20"/>
      <c r="D8" s="32" t="e">
        <f t="shared" ca="1" si="0"/>
        <v>#N/A</v>
      </c>
      <c r="E8" s="20" t="s">
        <v>18</v>
      </c>
      <c r="F8" s="20"/>
      <c r="G8" s="20"/>
      <c r="H8" s="32" t="e">
        <f t="shared" ca="1" si="1"/>
        <v>#N/A</v>
      </c>
      <c r="I8" s="20" t="s">
        <v>18</v>
      </c>
      <c r="J8" t="e">
        <f t="shared" ca="1" si="2"/>
        <v>#N/A</v>
      </c>
    </row>
    <row r="9" spans="1:10" ht="18.75" x14ac:dyDescent="0.3">
      <c r="A9" s="18" t="s">
        <v>226</v>
      </c>
      <c r="B9" s="21" t="str">
        <f t="shared" ca="1" si="3"/>
        <v>Homokfujt 4mm-Low-e 4mm termó</v>
      </c>
      <c r="C9" s="20"/>
      <c r="D9" s="32">
        <f t="shared" ca="1" si="0"/>
        <v>311</v>
      </c>
      <c r="E9" s="20" t="s">
        <v>18</v>
      </c>
      <c r="F9" s="20"/>
      <c r="G9" s="20"/>
      <c r="H9" s="32">
        <f t="shared" ca="1" si="1"/>
        <v>265</v>
      </c>
      <c r="I9" s="20" t="s">
        <v>18</v>
      </c>
      <c r="J9" t="str">
        <f t="shared" ca="1" si="2"/>
        <v>Duplex</v>
      </c>
    </row>
    <row r="10" spans="1:10" ht="21" customHeight="1" x14ac:dyDescent="0.25">
      <c r="A10" s="19" t="s">
        <v>227</v>
      </c>
      <c r="B10" s="21" t="str">
        <f t="shared" ca="1" si="3"/>
        <v>Duplakockas-Low-e 4mm termó</v>
      </c>
      <c r="C10" s="20"/>
      <c r="D10" s="32">
        <f t="shared" ca="1" si="0"/>
        <v>276</v>
      </c>
      <c r="E10" s="20" t="s">
        <v>18</v>
      </c>
      <c r="F10" s="20"/>
      <c r="G10" s="20"/>
      <c r="H10" s="32">
        <f t="shared" ca="1" si="1"/>
        <v>235</v>
      </c>
      <c r="I10" s="20" t="s">
        <v>18</v>
      </c>
      <c r="J10" t="str">
        <f t="shared" ca="1" si="2"/>
        <v>Duplex</v>
      </c>
    </row>
    <row r="11" spans="1:10" ht="21" customHeight="1" x14ac:dyDescent="0.25">
      <c r="A11" s="19" t="s">
        <v>228</v>
      </c>
      <c r="B11" s="21" t="str">
        <f t="shared" ca="1" si="3"/>
        <v>Satin bronz-Low-e 4mm termó</v>
      </c>
      <c r="C11" s="20"/>
      <c r="D11" s="32">
        <f t="shared" ca="1" si="0"/>
        <v>337</v>
      </c>
      <c r="E11" s="20" t="s">
        <v>18</v>
      </c>
      <c r="F11" s="20"/>
      <c r="G11" s="20"/>
      <c r="H11" s="32">
        <f t="shared" ca="1" si="1"/>
        <v>287</v>
      </c>
      <c r="I11" s="20" t="s">
        <v>18</v>
      </c>
      <c r="J11" t="str">
        <f t="shared" ca="1" si="2"/>
        <v>Duplex</v>
      </c>
    </row>
    <row r="12" spans="1:10" ht="20.25" customHeight="1" x14ac:dyDescent="0.25">
      <c r="A12" s="19" t="s">
        <v>229</v>
      </c>
      <c r="B12" s="21" t="str">
        <f t="shared" ca="1" si="3"/>
        <v>Fustos 4mm-Low-e 4mm termó</v>
      </c>
      <c r="C12" s="20"/>
      <c r="D12" s="32">
        <f t="shared" ca="1" si="0"/>
        <v>311</v>
      </c>
      <c r="E12" s="20" t="s">
        <v>18</v>
      </c>
      <c r="F12" s="20"/>
      <c r="G12" s="20"/>
      <c r="H12" s="32">
        <f t="shared" ca="1" si="1"/>
        <v>265</v>
      </c>
      <c r="I12" s="20" t="s">
        <v>18</v>
      </c>
      <c r="J12" t="str">
        <f t="shared" ca="1" si="2"/>
        <v>Duplex</v>
      </c>
    </row>
    <row r="13" spans="1:10" ht="18.75" x14ac:dyDescent="0.3">
      <c r="A13" s="18" t="s">
        <v>230</v>
      </c>
      <c r="B13" s="21" t="str">
        <f t="shared" ca="1" si="3"/>
        <v>Tukor 4mm-Tukor 4mm termó</v>
      </c>
      <c r="C13" s="20"/>
      <c r="D13" s="32">
        <f t="shared" ca="1" si="0"/>
        <v>519</v>
      </c>
      <c r="E13" s="20" t="s">
        <v>18</v>
      </c>
      <c r="F13" s="20"/>
      <c r="G13" s="20"/>
      <c r="H13" s="32">
        <f t="shared" ca="1" si="1"/>
        <v>442</v>
      </c>
      <c r="I13" s="20" t="s">
        <v>18</v>
      </c>
      <c r="J13" t="str">
        <f t="shared" ca="1" si="2"/>
        <v>Duplex</v>
      </c>
    </row>
    <row r="14" spans="1:10" ht="18.75" x14ac:dyDescent="0.3">
      <c r="A14" s="18" t="s">
        <v>65</v>
      </c>
      <c r="B14" s="21" t="str">
        <f t="shared" ca="1" si="3"/>
        <v>Float 4mm-Float 4mm-Low-e 4mm termó</v>
      </c>
      <c r="C14" s="20"/>
      <c r="D14" s="32">
        <f t="shared" ca="1" si="0"/>
        <v>366</v>
      </c>
      <c r="E14" s="20" t="s">
        <v>18</v>
      </c>
      <c r="F14" s="20"/>
      <c r="G14" s="20"/>
      <c r="H14" s="32">
        <f t="shared" ca="1" si="1"/>
        <v>312</v>
      </c>
      <c r="I14" s="20" t="s">
        <v>18</v>
      </c>
      <c r="J14" t="str">
        <f t="shared" ca="1" si="2"/>
        <v>Triplex</v>
      </c>
    </row>
    <row r="15" spans="1:10" ht="18.75" x14ac:dyDescent="0.3">
      <c r="A15" s="18" t="s">
        <v>224</v>
      </c>
      <c r="B15" s="21" t="e">
        <f t="shared" ca="1" si="3"/>
        <v>#N/A</v>
      </c>
      <c r="C15" s="20"/>
      <c r="D15" s="32" t="e">
        <f t="shared" ca="1" si="0"/>
        <v>#N/A</v>
      </c>
      <c r="E15" s="20" t="s">
        <v>18</v>
      </c>
      <c r="F15" s="20"/>
      <c r="G15" s="20"/>
      <c r="H15" s="32" t="e">
        <f t="shared" ca="1" si="1"/>
        <v>#N/A</v>
      </c>
      <c r="I15" s="20" t="s">
        <v>18</v>
      </c>
      <c r="J15" t="e">
        <f t="shared" ca="1" si="2"/>
        <v>#N/A</v>
      </c>
    </row>
    <row r="16" spans="1:10" ht="18.75" x14ac:dyDescent="0.3">
      <c r="A16" s="18" t="s">
        <v>66</v>
      </c>
      <c r="B16" s="21" t="str">
        <f t="shared" ca="1" si="3"/>
        <v>Duplex 3.1.3.-Low-e 4mm-Low-e 4mm termó</v>
      </c>
      <c r="C16" s="20"/>
      <c r="D16" s="32">
        <f t="shared" ca="1" si="0"/>
        <v>536</v>
      </c>
      <c r="E16" s="20" t="s">
        <v>18</v>
      </c>
      <c r="F16" s="20"/>
      <c r="G16" s="20"/>
      <c r="H16" s="32">
        <f t="shared" ca="1" si="1"/>
        <v>456</v>
      </c>
      <c r="I16" s="20" t="s">
        <v>18</v>
      </c>
      <c r="J16" t="str">
        <f t="shared" ca="1" si="2"/>
        <v>Triplex</v>
      </c>
    </row>
    <row r="17" spans="1:10" ht="18.75" x14ac:dyDescent="0.3">
      <c r="A17" s="18" t="s">
        <v>67</v>
      </c>
      <c r="B17" s="21" t="str">
        <f t="shared" ca="1" si="3"/>
        <v>Duplex 3.1.3.-4 evszakos-Low-e 4mm termó</v>
      </c>
      <c r="C17" s="20"/>
      <c r="D17" s="32">
        <f t="shared" ca="1" si="0"/>
        <v>533</v>
      </c>
      <c r="E17" s="20" t="s">
        <v>18</v>
      </c>
      <c r="F17" s="20"/>
      <c r="G17" s="20"/>
      <c r="H17" s="32">
        <f t="shared" ca="1" si="1"/>
        <v>454</v>
      </c>
      <c r="I17" s="20" t="s">
        <v>18</v>
      </c>
      <c r="J17" t="str">
        <f t="shared" ca="1" si="2"/>
        <v>Triplex</v>
      </c>
    </row>
    <row r="18" spans="1:10" ht="18.75" x14ac:dyDescent="0.3">
      <c r="A18" s="18" t="s">
        <v>68</v>
      </c>
      <c r="B18" s="21" t="str">
        <f t="shared" ca="1" si="3"/>
        <v>Float 3mm-Float 3mm termó</v>
      </c>
      <c r="C18" s="20"/>
      <c r="D18" s="32">
        <f t="shared" ca="1" si="0"/>
        <v>205</v>
      </c>
      <c r="E18" s="20" t="s">
        <v>18</v>
      </c>
      <c r="F18" s="20"/>
      <c r="G18" s="20"/>
      <c r="H18" s="32">
        <f t="shared" ca="1" si="1"/>
        <v>175</v>
      </c>
      <c r="I18" s="20" t="s">
        <v>18</v>
      </c>
      <c r="J18" t="str">
        <f t="shared" ca="1" si="2"/>
        <v>Duplex</v>
      </c>
    </row>
    <row r="19" spans="1:10" ht="18.75" x14ac:dyDescent="0.3">
      <c r="A19" s="18" t="s">
        <v>231</v>
      </c>
      <c r="B19" s="21" t="str">
        <f t="shared" ca="1" si="3"/>
        <v>4 evszakos-Low-e 4mm-Low-e 4mm termó</v>
      </c>
      <c r="C19" s="20"/>
      <c r="D19" s="32">
        <f t="shared" ca="1" si="0"/>
        <v>412</v>
      </c>
      <c r="E19" s="20" t="s">
        <v>18</v>
      </c>
      <c r="F19" s="20"/>
      <c r="G19" s="20"/>
      <c r="H19" s="32">
        <f t="shared" ca="1" si="1"/>
        <v>351</v>
      </c>
      <c r="I19" s="20" t="s">
        <v>18</v>
      </c>
      <c r="J19" t="str">
        <f t="shared" ca="1" si="2"/>
        <v>Triplex</v>
      </c>
    </row>
    <row r="20" spans="1:10" ht="18.75" x14ac:dyDescent="0.3">
      <c r="A20" s="18" t="s">
        <v>64</v>
      </c>
      <c r="B20" s="21" t="str">
        <f t="shared" ca="1" si="3"/>
        <v>4 evszakos-Low-e 4mm termó</v>
      </c>
      <c r="C20" s="20"/>
      <c r="D20" s="32">
        <f t="shared" ca="1" si="0"/>
        <v>256</v>
      </c>
      <c r="E20" s="20" t="s">
        <v>18</v>
      </c>
      <c r="F20" s="20"/>
      <c r="G20" s="20"/>
      <c r="H20" s="32">
        <f t="shared" ca="1" si="1"/>
        <v>218</v>
      </c>
      <c r="I20" s="20" t="s">
        <v>18</v>
      </c>
      <c r="J20" t="str">
        <f t="shared" ca="1" si="2"/>
        <v>Duplex</v>
      </c>
    </row>
    <row r="21" spans="1:10" ht="18.75" x14ac:dyDescent="0.3">
      <c r="A21" s="18" t="s">
        <v>232</v>
      </c>
      <c r="B21" s="21" t="str">
        <f t="shared" ca="1" si="3"/>
        <v>4 evszakos-Float 4mm-Low-e 4mm termó</v>
      </c>
      <c r="C21" s="20"/>
      <c r="D21" s="32">
        <f t="shared" ca="1" si="0"/>
        <v>394</v>
      </c>
      <c r="E21" s="20" t="s">
        <v>18</v>
      </c>
      <c r="F21" s="20"/>
      <c r="G21" s="20"/>
      <c r="H21" s="32">
        <f t="shared" ca="1" si="1"/>
        <v>335</v>
      </c>
      <c r="I21" s="20" t="s">
        <v>18</v>
      </c>
      <c r="J21" t="str">
        <f t="shared" ca="1" si="2"/>
        <v>Triplex</v>
      </c>
    </row>
    <row r="22" spans="1:10" ht="18.75" x14ac:dyDescent="0.3">
      <c r="A22" s="28" t="s">
        <v>225</v>
      </c>
      <c r="B22" s="21" t="str">
        <f t="shared" ca="1" si="3"/>
        <v>Homokfujt 4mm-Low-e 4mm-Low-e 4mm termó</v>
      </c>
      <c r="C22" s="29"/>
      <c r="D22" s="32">
        <f t="shared" ca="1" si="0"/>
        <v>467</v>
      </c>
      <c r="E22" s="29" t="s">
        <v>19</v>
      </c>
      <c r="F22" s="29"/>
      <c r="G22" s="29"/>
      <c r="H22" s="32">
        <f t="shared" ca="1" si="1"/>
        <v>397</v>
      </c>
      <c r="I22" s="29" t="s">
        <v>19</v>
      </c>
      <c r="J22" s="25" t="str">
        <f t="shared" ca="1" si="2"/>
        <v>Triplex</v>
      </c>
    </row>
    <row r="23" spans="1:10" ht="15.75" x14ac:dyDescent="0.25">
      <c r="A23" s="29" t="s">
        <v>117</v>
      </c>
      <c r="B23" s="31" t="str">
        <f t="shared" ca="1" si="3"/>
        <v>Mintas uveg aprokockas-Float 4mm termó</v>
      </c>
      <c r="C23" s="29"/>
      <c r="D23" s="32">
        <f t="shared" ca="1" si="0"/>
        <v>238</v>
      </c>
      <c r="E23" s="29" t="s">
        <v>19</v>
      </c>
      <c r="F23" s="29"/>
      <c r="G23" s="29"/>
      <c r="H23" s="32">
        <f t="shared" ca="1" si="1"/>
        <v>203</v>
      </c>
      <c r="I23" s="29" t="s">
        <v>19</v>
      </c>
      <c r="J23" s="25" t="str">
        <f t="shared" ca="1" si="2"/>
        <v>Duplex</v>
      </c>
    </row>
    <row r="24" spans="1:10" ht="15.75" x14ac:dyDescent="0.25">
      <c r="A24" s="29" t="s">
        <v>118</v>
      </c>
      <c r="B24" s="31" t="str">
        <f t="shared" ca="1" si="3"/>
        <v>Tukor 4mm-Savmarta barna tuskes termó</v>
      </c>
      <c r="C24" s="29"/>
      <c r="D24" s="32">
        <f t="shared" ca="1" si="0"/>
        <v>530</v>
      </c>
      <c r="E24" s="29" t="s">
        <v>19</v>
      </c>
      <c r="F24" s="29"/>
      <c r="G24" s="29"/>
      <c r="H24" s="32">
        <f t="shared" ca="1" si="1"/>
        <v>451</v>
      </c>
      <c r="I24" s="29" t="s">
        <v>19</v>
      </c>
      <c r="J24" s="25" t="str">
        <f t="shared" ca="1" si="2"/>
        <v>Duplex</v>
      </c>
    </row>
    <row r="25" spans="1:10" ht="15.75" x14ac:dyDescent="0.25">
      <c r="A25" s="29" t="s">
        <v>85</v>
      </c>
      <c r="B25" s="31" t="str">
        <f t="shared" ca="1" si="3"/>
        <v>Duplex 3.1.3.-Duplex 3.1.3.-Float 6mm termó</v>
      </c>
      <c r="C25" s="29"/>
      <c r="D25" s="32">
        <f t="shared" ca="1" si="0"/>
        <v>676</v>
      </c>
      <c r="E25" s="29" t="s">
        <v>19</v>
      </c>
      <c r="F25" s="29"/>
      <c r="G25" s="29"/>
      <c r="H25" s="32">
        <f t="shared" ca="1" si="1"/>
        <v>575</v>
      </c>
      <c r="I25" s="29" t="s">
        <v>19</v>
      </c>
      <c r="J25" s="25" t="str">
        <f t="shared" ca="1" si="2"/>
        <v>Triplex</v>
      </c>
    </row>
    <row r="26" spans="1:10" ht="15.75" x14ac:dyDescent="0.25">
      <c r="A26" s="29" t="s">
        <v>90</v>
      </c>
      <c r="B26" s="31" t="str">
        <f t="shared" ca="1" si="3"/>
        <v>Duplex 3.1.3.-Float 4mm-Low-e 4mm termó</v>
      </c>
      <c r="C26" s="29"/>
      <c r="D26" s="32">
        <f t="shared" ca="1" si="0"/>
        <v>518</v>
      </c>
      <c r="E26" s="29" t="s">
        <v>19</v>
      </c>
      <c r="F26" s="29"/>
      <c r="G26" s="29"/>
      <c r="H26" s="32">
        <f t="shared" ca="1" si="1"/>
        <v>441</v>
      </c>
      <c r="I26" s="29" t="s">
        <v>19</v>
      </c>
      <c r="J26" s="25" t="str">
        <f t="shared" ca="1" si="2"/>
        <v>Triplex</v>
      </c>
    </row>
    <row r="27" spans="1:10" ht="15.75" x14ac:dyDescent="0.25">
      <c r="A27" s="29" t="s">
        <v>119</v>
      </c>
      <c r="B27" s="31" t="str">
        <f t="shared" ca="1" si="3"/>
        <v>Mintas uveg delta 2-Low-e 4mm termó</v>
      </c>
      <c r="C27" s="29"/>
      <c r="D27" s="32">
        <f t="shared" ca="1" si="0"/>
        <v>256</v>
      </c>
      <c r="E27" s="29" t="s">
        <v>19</v>
      </c>
      <c r="F27" s="29"/>
      <c r="G27" s="29"/>
      <c r="H27" s="32">
        <f t="shared" ca="1" si="1"/>
        <v>218</v>
      </c>
      <c r="I27" s="29" t="s">
        <v>19</v>
      </c>
      <c r="J27" s="25" t="str">
        <f t="shared" ca="1" si="2"/>
        <v>Duplex</v>
      </c>
    </row>
    <row r="28" spans="1:10" ht="15.75" x14ac:dyDescent="0.25">
      <c r="A28" s="29" t="s">
        <v>120</v>
      </c>
      <c r="B28" s="31" t="str">
        <f t="shared" ca="1" si="3"/>
        <v>Barna csincsilla-Low-e 4mm-Low-e 4mm termó</v>
      </c>
      <c r="C28" s="29"/>
      <c r="D28" s="32">
        <f t="shared" ca="1" si="0"/>
        <v>518</v>
      </c>
      <c r="E28" s="29" t="s">
        <v>19</v>
      </c>
      <c r="F28" s="29"/>
      <c r="G28" s="29"/>
      <c r="H28" s="32">
        <f t="shared" ca="1" si="1"/>
        <v>441</v>
      </c>
      <c r="I28" s="29" t="s">
        <v>19</v>
      </c>
      <c r="J28" s="25" t="str">
        <f t="shared" ca="1" si="2"/>
        <v>Triplex</v>
      </c>
    </row>
    <row r="29" spans="1:10" ht="15.75" x14ac:dyDescent="0.25">
      <c r="A29" s="29" t="s">
        <v>121</v>
      </c>
      <c r="B29" s="31" t="str">
        <f t="shared" ca="1" si="3"/>
        <v>Barna delta 2-Low-e 4mm termó</v>
      </c>
      <c r="C29" s="29"/>
      <c r="D29" s="32">
        <f t="shared" ca="1" si="0"/>
        <v>362</v>
      </c>
      <c r="E29" s="29" t="s">
        <v>19</v>
      </c>
      <c r="F29" s="29"/>
      <c r="G29" s="29"/>
      <c r="H29" s="32">
        <f t="shared" ca="1" si="1"/>
        <v>308</v>
      </c>
      <c r="I29" s="29" t="s">
        <v>19</v>
      </c>
      <c r="J29" s="25" t="str">
        <f t="shared" ca="1" si="2"/>
        <v>Duplex</v>
      </c>
    </row>
    <row r="30" spans="1:10" ht="15.75" x14ac:dyDescent="0.25">
      <c r="A30" s="29" t="s">
        <v>122</v>
      </c>
      <c r="B30" s="31" t="str">
        <f t="shared" ca="1" si="3"/>
        <v>Barna fatorzs-Low-e 4mm termó</v>
      </c>
      <c r="C30" s="29"/>
      <c r="D30" s="32">
        <f t="shared" ca="1" si="0"/>
        <v>362</v>
      </c>
      <c r="E30" s="29" t="s">
        <v>19</v>
      </c>
      <c r="F30" s="29"/>
      <c r="G30" s="29"/>
      <c r="H30" s="32">
        <f t="shared" ca="1" si="1"/>
        <v>308</v>
      </c>
      <c r="I30" s="29" t="s">
        <v>19</v>
      </c>
      <c r="J30" s="25" t="str">
        <f t="shared" ca="1" si="2"/>
        <v>Duplex</v>
      </c>
    </row>
    <row r="31" spans="1:10" ht="15.75" x14ac:dyDescent="0.25">
      <c r="A31" s="29" t="s">
        <v>123</v>
      </c>
      <c r="B31" s="31" t="str">
        <f t="shared" ca="1" si="3"/>
        <v>Mintas uveg feher fatorzs-Low-e 4mm termó</v>
      </c>
      <c r="C31" s="29"/>
      <c r="D31" s="32">
        <f t="shared" ca="1" si="0"/>
        <v>256</v>
      </c>
      <c r="E31" s="29" t="s">
        <v>19</v>
      </c>
      <c r="F31" s="29"/>
      <c r="G31" s="29"/>
      <c r="H31" s="32">
        <f t="shared" ca="1" si="1"/>
        <v>218</v>
      </c>
      <c r="I31" s="29" t="s">
        <v>19</v>
      </c>
      <c r="J31" s="25" t="str">
        <f t="shared" ca="1" si="2"/>
        <v>Duplex</v>
      </c>
    </row>
    <row r="32" spans="1:10" ht="15.75" x14ac:dyDescent="0.25">
      <c r="A32" s="29" t="s">
        <v>124</v>
      </c>
      <c r="B32" s="31" t="str">
        <f t="shared" ca="1" si="3"/>
        <v>Tukor 4mm-Barna csincsilla termó</v>
      </c>
      <c r="C32" s="29"/>
      <c r="D32" s="32">
        <f t="shared" ca="1" si="0"/>
        <v>492</v>
      </c>
      <c r="E32" s="29" t="s">
        <v>19</v>
      </c>
      <c r="F32" s="29"/>
      <c r="G32" s="29"/>
      <c r="H32" s="32">
        <f t="shared" ca="1" si="1"/>
        <v>419</v>
      </c>
      <c r="I32" s="29" t="s">
        <v>19</v>
      </c>
      <c r="J32" s="25" t="str">
        <f t="shared" ca="1" si="2"/>
        <v>Duplex</v>
      </c>
    </row>
    <row r="33" spans="1:10" ht="15.75" x14ac:dyDescent="0.25">
      <c r="A33" s="29" t="s">
        <v>125</v>
      </c>
      <c r="B33" s="31" t="str">
        <f t="shared" ca="1" si="3"/>
        <v>Savmarta barna tuskes-Low-e 4mm termó</v>
      </c>
      <c r="C33" s="29"/>
      <c r="D33" s="32">
        <f t="shared" ca="1" si="0"/>
        <v>400</v>
      </c>
      <c r="E33" s="29" t="s">
        <v>19</v>
      </c>
      <c r="F33" s="29"/>
      <c r="G33" s="29"/>
      <c r="H33" s="32">
        <f t="shared" ca="1" si="1"/>
        <v>340</v>
      </c>
      <c r="I33" s="29" t="s">
        <v>19</v>
      </c>
      <c r="J33" s="25" t="str">
        <f t="shared" ca="1" si="2"/>
        <v>Duplex</v>
      </c>
    </row>
    <row r="34" spans="1:10" ht="15.75" x14ac:dyDescent="0.25">
      <c r="A34" s="29" t="s">
        <v>91</v>
      </c>
      <c r="B34" s="31" t="str">
        <f t="shared" ca="1" si="3"/>
        <v>Float 8mm-Low-e 4mm termó</v>
      </c>
      <c r="C34" s="29"/>
      <c r="D34" s="32">
        <f t="shared" ca="1" si="0"/>
        <v>295</v>
      </c>
      <c r="E34" s="29" t="s">
        <v>19</v>
      </c>
      <c r="F34" s="29"/>
      <c r="G34" s="29"/>
      <c r="H34" s="32">
        <f t="shared" ca="1" si="1"/>
        <v>251</v>
      </c>
      <c r="I34" s="29" t="s">
        <v>19</v>
      </c>
      <c r="J34" s="25" t="str">
        <f t="shared" ca="1" si="2"/>
        <v>Duplex</v>
      </c>
    </row>
    <row r="35" spans="1:10" ht="15.75" x14ac:dyDescent="0.25">
      <c r="A35" s="29" t="s">
        <v>126</v>
      </c>
      <c r="B35" s="31" t="str">
        <f t="shared" ca="1" si="3"/>
        <v>Feher screen-Low-e 4mm termó</v>
      </c>
      <c r="C35" s="29"/>
      <c r="D35" s="32">
        <f t="shared" ca="1" si="0"/>
        <v>290</v>
      </c>
      <c r="E35" s="29" t="s">
        <v>19</v>
      </c>
      <c r="F35" s="29"/>
      <c r="G35" s="29"/>
      <c r="H35" s="32">
        <f t="shared" ca="1" si="1"/>
        <v>247</v>
      </c>
      <c r="I35" s="29" t="s">
        <v>19</v>
      </c>
      <c r="J35" s="25" t="str">
        <f t="shared" ca="1" si="2"/>
        <v>Duplex</v>
      </c>
    </row>
    <row r="36" spans="1:10" ht="15.75" x14ac:dyDescent="0.25">
      <c r="A36" s="29" t="s">
        <v>127</v>
      </c>
      <c r="B36" s="31" t="str">
        <f t="shared" ca="1" si="3"/>
        <v>Mintas uveg delta 2-Float 4mm termó</v>
      </c>
      <c r="C36" s="29"/>
      <c r="D36" s="32">
        <f t="shared" ca="1" si="0"/>
        <v>238</v>
      </c>
      <c r="E36" s="29" t="s">
        <v>19</v>
      </c>
      <c r="F36" s="29"/>
      <c r="G36" s="29"/>
      <c r="H36" s="32">
        <f t="shared" ca="1" si="1"/>
        <v>203</v>
      </c>
      <c r="I36" s="29" t="s">
        <v>19</v>
      </c>
      <c r="J36" s="25" t="str">
        <f t="shared" ca="1" si="2"/>
        <v>Duplex</v>
      </c>
    </row>
    <row r="37" spans="1:10" ht="15.75" x14ac:dyDescent="0.25">
      <c r="A37" s="29" t="s">
        <v>92</v>
      </c>
      <c r="B37" s="31" t="str">
        <f t="shared" ca="1" si="3"/>
        <v>Float 6mm-Low-e 4mm-Low-e 4mm termó</v>
      </c>
      <c r="C37" s="29"/>
      <c r="D37" s="32">
        <f t="shared" ca="1" si="0"/>
        <v>434</v>
      </c>
      <c r="E37" s="29" t="s">
        <v>19</v>
      </c>
      <c r="F37" s="29"/>
      <c r="G37" s="29"/>
      <c r="H37" s="32">
        <f t="shared" ca="1" si="1"/>
        <v>369</v>
      </c>
      <c r="I37" s="29" t="s">
        <v>19</v>
      </c>
      <c r="J37" s="25" t="str">
        <f t="shared" ca="1" si="2"/>
        <v>Triplex</v>
      </c>
    </row>
    <row r="38" spans="1:10" ht="15.75" x14ac:dyDescent="0.25">
      <c r="A38" s="29" t="s">
        <v>128</v>
      </c>
      <c r="B38" s="31" t="str">
        <f t="shared" ca="1" si="3"/>
        <v>Feher screen-Float 4mm-Low-e 4mm termó</v>
      </c>
      <c r="C38" s="29"/>
      <c r="D38" s="32">
        <f t="shared" ca="1" si="0"/>
        <v>443</v>
      </c>
      <c r="E38" s="29" t="s">
        <v>19</v>
      </c>
      <c r="F38" s="29"/>
      <c r="G38" s="29"/>
      <c r="H38" s="32">
        <f t="shared" ca="1" si="1"/>
        <v>377</v>
      </c>
      <c r="I38" s="29" t="s">
        <v>19</v>
      </c>
      <c r="J38" s="25" t="str">
        <f t="shared" ca="1" si="2"/>
        <v>Triplex</v>
      </c>
    </row>
    <row r="39" spans="1:10" ht="15.75" x14ac:dyDescent="0.25">
      <c r="A39" s="29" t="s">
        <v>129</v>
      </c>
      <c r="B39" s="31" t="str">
        <f t="shared" ca="1" si="3"/>
        <v>Mintas uveg feher fatorzs-Float 4mm termó</v>
      </c>
      <c r="C39" s="29"/>
      <c r="D39" s="32">
        <f t="shared" ca="1" si="0"/>
        <v>238</v>
      </c>
      <c r="E39" s="29" t="s">
        <v>19</v>
      </c>
      <c r="F39" s="29"/>
      <c r="G39" s="29"/>
      <c r="H39" s="32">
        <f t="shared" ca="1" si="1"/>
        <v>203</v>
      </c>
      <c r="I39" s="29" t="s">
        <v>19</v>
      </c>
      <c r="J39" s="25" t="str">
        <f t="shared" ca="1" si="2"/>
        <v>Duplex</v>
      </c>
    </row>
    <row r="40" spans="1:10" ht="15.75" x14ac:dyDescent="0.25">
      <c r="A40" s="29" t="s">
        <v>130</v>
      </c>
      <c r="B40" s="31" t="str">
        <f t="shared" ca="1" si="3"/>
        <v>Homokfujt 4mm-Float 4mm termó</v>
      </c>
      <c r="C40" s="29"/>
      <c r="D40" s="32">
        <f t="shared" ca="1" si="0"/>
        <v>293</v>
      </c>
      <c r="E40" s="29" t="s">
        <v>19</v>
      </c>
      <c r="F40" s="29"/>
      <c r="G40" s="29"/>
      <c r="H40" s="32">
        <f t="shared" ca="1" si="1"/>
        <v>250</v>
      </c>
      <c r="I40" s="29" t="s">
        <v>19</v>
      </c>
      <c r="J40" s="25" t="str">
        <f t="shared" ca="1" si="2"/>
        <v>Duplex</v>
      </c>
    </row>
    <row r="41" spans="1:10" ht="15.75" x14ac:dyDescent="0.25">
      <c r="A41" s="29" t="s">
        <v>131</v>
      </c>
      <c r="B41" s="31" t="str">
        <f t="shared" ca="1" si="3"/>
        <v>Mintas uveg aprokockas-Low-e 4mm termó</v>
      </c>
      <c r="C41" s="29"/>
      <c r="D41" s="32">
        <f t="shared" ca="1" si="0"/>
        <v>256</v>
      </c>
      <c r="E41" s="29" t="s">
        <v>19</v>
      </c>
      <c r="F41" s="29"/>
      <c r="G41" s="29"/>
      <c r="H41" s="32">
        <f t="shared" ca="1" si="1"/>
        <v>218</v>
      </c>
      <c r="I41" s="29" t="s">
        <v>19</v>
      </c>
      <c r="J41" s="25" t="str">
        <f t="shared" ca="1" si="2"/>
        <v>Duplex</v>
      </c>
    </row>
    <row r="42" spans="1:10" ht="15.75" x14ac:dyDescent="0.25">
      <c r="A42" s="29" t="s">
        <v>93</v>
      </c>
      <c r="B42" s="31" t="str">
        <f t="shared" ca="1" si="3"/>
        <v>Reflexios 4mm-Low-e 4mm-Low-e 4mm termó</v>
      </c>
      <c r="C42" s="29"/>
      <c r="D42" s="32">
        <f t="shared" ca="1" si="0"/>
        <v>622</v>
      </c>
      <c r="E42" s="29" t="s">
        <v>19</v>
      </c>
      <c r="F42" s="29"/>
      <c r="G42" s="29"/>
      <c r="H42" s="32">
        <f t="shared" ca="1" si="1"/>
        <v>529</v>
      </c>
      <c r="I42" s="29" t="s">
        <v>19</v>
      </c>
      <c r="J42" s="25" t="str">
        <f t="shared" ca="1" si="2"/>
        <v>Triplex</v>
      </c>
    </row>
    <row r="43" spans="1:10" ht="15.75" x14ac:dyDescent="0.25">
      <c r="A43" s="29" t="s">
        <v>132</v>
      </c>
      <c r="B43" s="31" t="str">
        <f t="shared" ca="1" si="3"/>
        <v>Savmarta feher tuskes-Low-e 4mm termó</v>
      </c>
      <c r="C43" s="29"/>
      <c r="D43" s="32">
        <f t="shared" ca="1" si="0"/>
        <v>354</v>
      </c>
      <c r="E43" s="29" t="s">
        <v>19</v>
      </c>
      <c r="F43" s="29"/>
      <c r="G43" s="29"/>
      <c r="H43" s="32">
        <f t="shared" ca="1" si="1"/>
        <v>301</v>
      </c>
      <c r="I43" s="29" t="s">
        <v>19</v>
      </c>
      <c r="J43" s="25" t="str">
        <f t="shared" ca="1" si="2"/>
        <v>Duplex</v>
      </c>
    </row>
    <row r="44" spans="1:10" ht="15.75" x14ac:dyDescent="0.25">
      <c r="A44" s="29" t="s">
        <v>133</v>
      </c>
      <c r="B44" s="31" t="str">
        <f t="shared" ca="1" si="3"/>
        <v>Barna csincsilla-Low-e 4mm termó</v>
      </c>
      <c r="C44" s="29"/>
      <c r="D44" s="32">
        <f t="shared" ca="1" si="0"/>
        <v>362</v>
      </c>
      <c r="E44" s="29" t="s">
        <v>19</v>
      </c>
      <c r="F44" s="29"/>
      <c r="G44" s="29"/>
      <c r="H44" s="32">
        <f t="shared" ca="1" si="1"/>
        <v>308</v>
      </c>
      <c r="I44" s="29" t="s">
        <v>19</v>
      </c>
      <c r="J44" s="25" t="str">
        <f t="shared" ca="1" si="2"/>
        <v>Duplex</v>
      </c>
    </row>
    <row r="45" spans="1:10" ht="15.75" x14ac:dyDescent="0.25">
      <c r="A45" s="29" t="s">
        <v>134</v>
      </c>
      <c r="B45" s="31" t="str">
        <f t="shared" ca="1" si="3"/>
        <v>Mintas uveg aprokockas-Float 4mm-Low-e 4mm termó</v>
      </c>
      <c r="C45" s="29"/>
      <c r="D45" s="32">
        <f t="shared" ca="1" si="0"/>
        <v>394</v>
      </c>
      <c r="E45" s="29" t="s">
        <v>19</v>
      </c>
      <c r="F45" s="29"/>
      <c r="G45" s="29"/>
      <c r="H45" s="32">
        <f t="shared" ca="1" si="1"/>
        <v>335</v>
      </c>
      <c r="I45" s="29" t="s">
        <v>19</v>
      </c>
      <c r="J45" s="25" t="str">
        <f t="shared" ca="1" si="2"/>
        <v>Triplex</v>
      </c>
    </row>
    <row r="46" spans="1:10" ht="15.75" x14ac:dyDescent="0.25">
      <c r="A46" s="29" t="s">
        <v>135</v>
      </c>
      <c r="B46" s="31" t="str">
        <f t="shared" ca="1" si="3"/>
        <v>Homokfujt 4mm-Float 4mm-Low-e 4mm termó</v>
      </c>
      <c r="C46" s="29"/>
      <c r="D46" s="32">
        <f t="shared" ca="1" si="0"/>
        <v>449</v>
      </c>
      <c r="E46" s="29" t="s">
        <v>19</v>
      </c>
      <c r="F46" s="29"/>
      <c r="G46" s="29"/>
      <c r="H46" s="32">
        <f t="shared" ca="1" si="1"/>
        <v>382</v>
      </c>
      <c r="I46" s="29" t="s">
        <v>19</v>
      </c>
      <c r="J46" s="25" t="str">
        <f t="shared" ca="1" si="2"/>
        <v>Triplex</v>
      </c>
    </row>
    <row r="47" spans="1:10" ht="15.75" x14ac:dyDescent="0.25">
      <c r="A47" s="29" t="s">
        <v>136</v>
      </c>
      <c r="B47" s="31" t="str">
        <f t="shared" ca="1" si="3"/>
        <v>Savamarta barna tegla-Low-e 4mm termó</v>
      </c>
      <c r="C47" s="29"/>
      <c r="D47" s="32">
        <f t="shared" ca="1" si="0"/>
        <v>400</v>
      </c>
      <c r="E47" s="29" t="s">
        <v>19</v>
      </c>
      <c r="F47" s="29"/>
      <c r="G47" s="29"/>
      <c r="H47" s="32">
        <f t="shared" ca="1" si="1"/>
        <v>340</v>
      </c>
      <c r="I47" s="29" t="s">
        <v>19</v>
      </c>
      <c r="J47" s="25" t="str">
        <f t="shared" ca="1" si="2"/>
        <v>Duplex</v>
      </c>
    </row>
    <row r="48" spans="1:10" ht="15.75" x14ac:dyDescent="0.25">
      <c r="A48" s="29" t="s">
        <v>137</v>
      </c>
      <c r="B48" s="31" t="str">
        <f t="shared" ca="1" si="3"/>
        <v>Savmarta feher Tegla-Low-e 4mm termó</v>
      </c>
      <c r="C48" s="29"/>
      <c r="D48" s="32">
        <f t="shared" ca="1" si="0"/>
        <v>354</v>
      </c>
      <c r="E48" s="29" t="s">
        <v>19</v>
      </c>
      <c r="F48" s="29"/>
      <c r="G48" s="29"/>
      <c r="H48" s="32">
        <f t="shared" ca="1" si="1"/>
        <v>301</v>
      </c>
      <c r="I48" s="29" t="s">
        <v>19</v>
      </c>
      <c r="J48" s="25" t="str">
        <f t="shared" ca="1" si="2"/>
        <v>Duplex</v>
      </c>
    </row>
    <row r="49" spans="1:10" ht="15.75" x14ac:dyDescent="0.25">
      <c r="A49" s="29" t="s">
        <v>94</v>
      </c>
      <c r="B49" s="31" t="str">
        <f t="shared" ca="1" si="3"/>
        <v>Duplex 3.1.3.-Duplex 3.1.3. termó</v>
      </c>
      <c r="C49" s="29"/>
      <c r="D49" s="32">
        <f t="shared" ca="1" si="0"/>
        <v>501</v>
      </c>
      <c r="E49" s="29" t="s">
        <v>19</v>
      </c>
      <c r="F49" s="29"/>
      <c r="G49" s="29"/>
      <c r="H49" s="32">
        <f t="shared" ca="1" si="1"/>
        <v>426</v>
      </c>
      <c r="I49" s="29" t="s">
        <v>19</v>
      </c>
      <c r="J49" s="25" t="str">
        <f t="shared" ca="1" si="2"/>
        <v>Duplex</v>
      </c>
    </row>
    <row r="50" spans="1:10" ht="15.75" x14ac:dyDescent="0.25">
      <c r="A50" s="29" t="s">
        <v>138</v>
      </c>
      <c r="B50" s="31" t="str">
        <f t="shared" ca="1" si="3"/>
        <v>Barna delta 2-Tukor 4mm termó</v>
      </c>
      <c r="C50" s="29"/>
      <c r="D50" s="32">
        <f t="shared" ca="1" si="0"/>
        <v>492</v>
      </c>
      <c r="E50" s="29" t="s">
        <v>19</v>
      </c>
      <c r="F50" s="29"/>
      <c r="G50" s="29"/>
      <c r="H50" s="32">
        <f t="shared" ca="1" si="1"/>
        <v>419</v>
      </c>
      <c r="I50" s="29" t="s">
        <v>19</v>
      </c>
      <c r="J50" s="25" t="str">
        <f t="shared" ca="1" si="2"/>
        <v>Duplex</v>
      </c>
    </row>
    <row r="51" spans="1:10" ht="15.75" x14ac:dyDescent="0.25">
      <c r="A51" s="29" t="s">
        <v>139</v>
      </c>
      <c r="B51" s="31" t="str">
        <f t="shared" ca="1" si="3"/>
        <v>Reflexios 4mm-Savmarta barna tuskes termó</v>
      </c>
      <c r="C51" s="29"/>
      <c r="D51" s="32">
        <f t="shared" ca="1" si="0"/>
        <v>607</v>
      </c>
      <c r="E51" s="29" t="s">
        <v>19</v>
      </c>
      <c r="F51" s="29"/>
      <c r="G51" s="29"/>
      <c r="H51" s="32">
        <f t="shared" ca="1" si="1"/>
        <v>516</v>
      </c>
      <c r="I51" s="29" t="s">
        <v>19</v>
      </c>
      <c r="J51" s="25" t="str">
        <f t="shared" ca="1" si="2"/>
        <v>Duplex</v>
      </c>
    </row>
    <row r="52" spans="1:10" ht="15.75" x14ac:dyDescent="0.25">
      <c r="A52" s="29" t="s">
        <v>140</v>
      </c>
      <c r="B52" s="31" t="str">
        <f t="shared" ca="1" si="3"/>
        <v>Satin bronz-Satin bronz termó</v>
      </c>
      <c r="C52" s="29"/>
      <c r="D52" s="32">
        <f t="shared" ca="1" si="0"/>
        <v>415</v>
      </c>
      <c r="E52" s="29" t="s">
        <v>19</v>
      </c>
      <c r="F52" s="29"/>
      <c r="G52" s="29"/>
      <c r="H52" s="32">
        <f t="shared" ca="1" si="1"/>
        <v>353</v>
      </c>
      <c r="I52" s="29" t="s">
        <v>19</v>
      </c>
      <c r="J52" s="25" t="str">
        <f t="shared" ca="1" si="2"/>
        <v>Duplex</v>
      </c>
    </row>
    <row r="53" spans="1:10" ht="15.75" x14ac:dyDescent="0.25">
      <c r="A53" s="29" t="s">
        <v>141</v>
      </c>
      <c r="B53" s="31" t="str">
        <f t="shared" ca="1" si="3"/>
        <v>4 evszakos-Homokfujt 4mm-Low-e 4mm termó</v>
      </c>
      <c r="C53" s="29"/>
      <c r="D53" s="32">
        <f t="shared" ca="1" si="0"/>
        <v>464</v>
      </c>
      <c r="E53" s="29" t="s">
        <v>19</v>
      </c>
      <c r="F53" s="29"/>
      <c r="G53" s="29"/>
      <c r="H53" s="32">
        <f t="shared" ca="1" si="1"/>
        <v>395</v>
      </c>
      <c r="I53" s="29" t="s">
        <v>19</v>
      </c>
      <c r="J53" s="25" t="str">
        <f t="shared" ca="1" si="2"/>
        <v>Triplex</v>
      </c>
    </row>
    <row r="54" spans="1:10" ht="15.75" x14ac:dyDescent="0.25">
      <c r="A54" s="29" t="s">
        <v>96</v>
      </c>
      <c r="B54" s="31" t="str">
        <f t="shared" ca="1" si="3"/>
        <v>Float 6mm-Float 4mm termó</v>
      </c>
      <c r="C54" s="29"/>
      <c r="D54" s="32">
        <f t="shared" ca="1" si="0"/>
        <v>260</v>
      </c>
      <c r="E54" s="29" t="s">
        <v>19</v>
      </c>
      <c r="F54" s="29"/>
      <c r="G54" s="29"/>
      <c r="H54" s="32">
        <f t="shared" ca="1" si="1"/>
        <v>221</v>
      </c>
      <c r="I54" s="29" t="s">
        <v>19</v>
      </c>
      <c r="J54" s="25" t="str">
        <f t="shared" ca="1" si="2"/>
        <v>Duplex</v>
      </c>
    </row>
    <row r="55" spans="1:10" ht="15.75" x14ac:dyDescent="0.25">
      <c r="A55" s="29" t="s">
        <v>97</v>
      </c>
      <c r="B55" s="31" t="str">
        <f t="shared" ca="1" si="3"/>
        <v>Reflexios 4mm-Float 4mm termó</v>
      </c>
      <c r="C55" s="29"/>
      <c r="D55" s="32">
        <f t="shared" ca="1" si="0"/>
        <v>448</v>
      </c>
      <c r="E55" s="29" t="s">
        <v>19</v>
      </c>
      <c r="F55" s="29"/>
      <c r="G55" s="29"/>
      <c r="H55" s="32">
        <f t="shared" ca="1" si="1"/>
        <v>381</v>
      </c>
      <c r="I55" s="29" t="s">
        <v>19</v>
      </c>
      <c r="J55" s="25" t="str">
        <f t="shared" ca="1" si="2"/>
        <v>Duplex</v>
      </c>
    </row>
    <row r="56" spans="1:10" ht="15.75" x14ac:dyDescent="0.25">
      <c r="A56" s="29" t="s">
        <v>142</v>
      </c>
      <c r="B56" s="31" t="str">
        <f t="shared" ca="1" si="3"/>
        <v>Feher csincsilla-Low-e 4mm termó</v>
      </c>
      <c r="C56" s="29"/>
      <c r="D56" s="32">
        <f t="shared" ca="1" si="0"/>
        <v>305</v>
      </c>
      <c r="E56" s="29" t="s">
        <v>19</v>
      </c>
      <c r="F56" s="29"/>
      <c r="G56" s="29"/>
      <c r="H56" s="32">
        <f t="shared" ca="1" si="1"/>
        <v>260</v>
      </c>
      <c r="I56" s="29" t="s">
        <v>19</v>
      </c>
      <c r="J56" s="25" t="str">
        <f t="shared" ca="1" si="2"/>
        <v>Duplex</v>
      </c>
    </row>
    <row r="57" spans="1:10" ht="15.75" x14ac:dyDescent="0.25">
      <c r="A57" s="29" t="s">
        <v>143</v>
      </c>
      <c r="B57" s="31" t="str">
        <f t="shared" ca="1" si="3"/>
        <v>Savmarta feher tuskes-Float 4mm termó</v>
      </c>
      <c r="C57" s="29"/>
      <c r="D57" s="32">
        <f t="shared" ca="1" si="0"/>
        <v>336</v>
      </c>
      <c r="E57" s="29" t="s">
        <v>19</v>
      </c>
      <c r="F57" s="29"/>
      <c r="G57" s="29"/>
      <c r="H57" s="32">
        <f t="shared" ca="1" si="1"/>
        <v>286</v>
      </c>
      <c r="I57" s="29" t="s">
        <v>19</v>
      </c>
      <c r="J57" s="25" t="str">
        <f t="shared" ca="1" si="2"/>
        <v>Duplex</v>
      </c>
    </row>
    <row r="58" spans="1:10" ht="15.75" x14ac:dyDescent="0.25">
      <c r="A58" s="29" t="s">
        <v>144</v>
      </c>
      <c r="B58" s="31" t="str">
        <f t="shared" ca="1" si="3"/>
        <v>Savmarta barna tuskes-Float 4mm termó</v>
      </c>
      <c r="C58" s="29"/>
      <c r="D58" s="32">
        <f t="shared" ca="1" si="0"/>
        <v>382</v>
      </c>
      <c r="E58" s="29" t="s">
        <v>19</v>
      </c>
      <c r="F58" s="29"/>
      <c r="G58" s="29"/>
      <c r="H58" s="32">
        <f t="shared" ca="1" si="1"/>
        <v>325</v>
      </c>
      <c r="I58" s="29" t="s">
        <v>19</v>
      </c>
      <c r="J58" s="25" t="str">
        <f t="shared" ca="1" si="2"/>
        <v>Duplex</v>
      </c>
    </row>
    <row r="59" spans="1:10" ht="15.75" x14ac:dyDescent="0.25">
      <c r="A59" s="29" t="s">
        <v>145</v>
      </c>
      <c r="B59" s="31" t="str">
        <f t="shared" ca="1" si="3"/>
        <v>Savmarta barna hovirag-Low-e 4mm termó</v>
      </c>
      <c r="C59" s="29"/>
      <c r="D59" s="32">
        <f t="shared" ca="1" si="0"/>
        <v>400</v>
      </c>
      <c r="E59" s="29" t="s">
        <v>19</v>
      </c>
      <c r="F59" s="29"/>
      <c r="G59" s="29"/>
      <c r="H59" s="32">
        <f t="shared" ca="1" si="1"/>
        <v>340</v>
      </c>
      <c r="I59" s="29" t="s">
        <v>19</v>
      </c>
      <c r="J59" s="25" t="str">
        <f t="shared" ca="1" si="2"/>
        <v>Duplex</v>
      </c>
    </row>
    <row r="60" spans="1:10" ht="15.75" x14ac:dyDescent="0.25">
      <c r="A60" s="29" t="s">
        <v>146</v>
      </c>
      <c r="B60" s="31" t="str">
        <f t="shared" ca="1" si="3"/>
        <v>Duplex 3.1.3.-Homokfujt 4mm-Low-e 4mm termó</v>
      </c>
      <c r="C60" s="29"/>
      <c r="D60" s="32">
        <f t="shared" ca="1" si="0"/>
        <v>588</v>
      </c>
      <c r="E60" s="29" t="s">
        <v>19</v>
      </c>
      <c r="F60" s="29"/>
      <c r="G60" s="29"/>
      <c r="H60" s="32">
        <f t="shared" ca="1" si="1"/>
        <v>500</v>
      </c>
      <c r="I60" s="29" t="s">
        <v>19</v>
      </c>
      <c r="J60" s="25" t="str">
        <f t="shared" ca="1" si="2"/>
        <v>Triplex</v>
      </c>
    </row>
    <row r="61" spans="1:10" ht="15.75" x14ac:dyDescent="0.25">
      <c r="A61" s="29" t="s">
        <v>147</v>
      </c>
      <c r="B61" s="31" t="str">
        <f t="shared" ca="1" si="3"/>
        <v>Duplakockas-Float 4mm-Low-e 4mm termó</v>
      </c>
      <c r="C61" s="29"/>
      <c r="D61" s="32">
        <f t="shared" ca="1" si="0"/>
        <v>414</v>
      </c>
      <c r="E61" s="29" t="s">
        <v>19</v>
      </c>
      <c r="F61" s="29"/>
      <c r="G61" s="29"/>
      <c r="H61" s="32">
        <f t="shared" ca="1" si="1"/>
        <v>352</v>
      </c>
      <c r="I61" s="29" t="s">
        <v>19</v>
      </c>
      <c r="J61" s="25" t="str">
        <f t="shared" ca="1" si="2"/>
        <v>Triplex</v>
      </c>
    </row>
    <row r="62" spans="1:10" ht="15.75" x14ac:dyDescent="0.25">
      <c r="A62" s="29" t="s">
        <v>148</v>
      </c>
      <c r="B62" s="31" t="str">
        <f t="shared" ca="1" si="3"/>
        <v>Fustos 4mm-Mintas uveg feher fatorzs termó</v>
      </c>
      <c r="C62" s="29"/>
      <c r="D62" s="32">
        <f t="shared" ca="1" si="0"/>
        <v>308</v>
      </c>
      <c r="E62" s="29" t="s">
        <v>19</v>
      </c>
      <c r="F62" s="29"/>
      <c r="G62" s="29"/>
      <c r="H62" s="32">
        <f t="shared" ca="1" si="1"/>
        <v>262</v>
      </c>
      <c r="I62" s="29" t="s">
        <v>19</v>
      </c>
      <c r="J62" s="25" t="str">
        <f t="shared" ca="1" si="2"/>
        <v>Duplex</v>
      </c>
    </row>
    <row r="63" spans="1:10" ht="15.75" x14ac:dyDescent="0.25">
      <c r="A63" s="29" t="s">
        <v>149</v>
      </c>
      <c r="B63" s="31" t="str">
        <f t="shared" ca="1" si="3"/>
        <v>4 evszakos-Mintas uveg feher fatorzs-Low-e 4mm termó</v>
      </c>
      <c r="C63" s="29"/>
      <c r="D63" s="32">
        <f t="shared" ca="1" si="0"/>
        <v>409</v>
      </c>
      <c r="E63" s="29" t="s">
        <v>19</v>
      </c>
      <c r="F63" s="29"/>
      <c r="G63" s="29"/>
      <c r="H63" s="32">
        <f t="shared" ca="1" si="1"/>
        <v>348</v>
      </c>
      <c r="I63" s="29" t="s">
        <v>19</v>
      </c>
      <c r="J63" s="25" t="str">
        <f t="shared" ca="1" si="2"/>
        <v>Triplex</v>
      </c>
    </row>
    <row r="64" spans="1:10" ht="15.75" x14ac:dyDescent="0.25">
      <c r="A64" s="29" t="s">
        <v>98</v>
      </c>
      <c r="B64" s="31" t="str">
        <f t="shared" ca="1" si="3"/>
        <v>Float 6mm-Float 4mm-Float 4mm termó</v>
      </c>
      <c r="C64" s="29"/>
      <c r="D64" s="32">
        <f t="shared" ca="1" si="0"/>
        <v>398</v>
      </c>
      <c r="E64" s="29" t="s">
        <v>19</v>
      </c>
      <c r="F64" s="29"/>
      <c r="G64" s="29"/>
      <c r="H64" s="32">
        <f t="shared" ca="1" si="1"/>
        <v>339</v>
      </c>
      <c r="I64" s="29" t="s">
        <v>19</v>
      </c>
      <c r="J64" s="25" t="str">
        <f t="shared" ca="1" si="2"/>
        <v>Triplex</v>
      </c>
    </row>
    <row r="65" spans="1:10" ht="15.75" x14ac:dyDescent="0.25">
      <c r="A65" s="29" t="s">
        <v>150</v>
      </c>
      <c r="B65" s="31" t="str">
        <f t="shared" ca="1" si="3"/>
        <v>Barna fatorzs-Float 4mm termó</v>
      </c>
      <c r="C65" s="29"/>
      <c r="D65" s="32">
        <f t="shared" ca="1" si="0"/>
        <v>344</v>
      </c>
      <c r="E65" s="29" t="s">
        <v>19</v>
      </c>
      <c r="F65" s="29"/>
      <c r="G65" s="29"/>
      <c r="H65" s="32">
        <f t="shared" ca="1" si="1"/>
        <v>293</v>
      </c>
      <c r="I65" s="29" t="s">
        <v>19</v>
      </c>
      <c r="J65" s="25" t="str">
        <f t="shared" ca="1" si="2"/>
        <v>Duplex</v>
      </c>
    </row>
    <row r="66" spans="1:10" ht="15.75" x14ac:dyDescent="0.25">
      <c r="A66" s="29" t="s">
        <v>151</v>
      </c>
      <c r="B66" s="31" t="str">
        <f t="shared" ca="1" si="3"/>
        <v>4 evszakos-Savmarta feher Tegla-Low-e 4mm termó</v>
      </c>
      <c r="C66" s="29"/>
      <c r="D66" s="32">
        <f t="shared" ref="D66:D125" ca="1" si="4">VLOOKUP($A66,TermekKod_data,8,0)</f>
        <v>507</v>
      </c>
      <c r="E66" s="29" t="s">
        <v>19</v>
      </c>
      <c r="F66" s="29"/>
      <c r="G66" s="29"/>
      <c r="H66" s="32">
        <f t="shared" ref="H66:H125" ca="1" si="5">VLOOKUP($A66,TermekKod_data,9,0)</f>
        <v>431</v>
      </c>
      <c r="I66" s="29" t="s">
        <v>19</v>
      </c>
      <c r="J66" s="25" t="str">
        <f t="shared" ref="J66:J124" ca="1" si="6">VLOOKUP(A66,TermekKod_data,3,FALSE)</f>
        <v>Triplex</v>
      </c>
    </row>
    <row r="67" spans="1:10" ht="15.75" x14ac:dyDescent="0.25">
      <c r="A67" s="29" t="s">
        <v>99</v>
      </c>
      <c r="B67" s="31" t="str">
        <f t="shared" ref="B67:B117" ca="1" si="7">VLOOKUP(A67,TermekKod_data,2,FALSE)</f>
        <v>Reflexios 4mm-Float 4mm-Low-e 4mm termó</v>
      </c>
      <c r="C67" s="29"/>
      <c r="D67" s="32">
        <f t="shared" ca="1" si="4"/>
        <v>604</v>
      </c>
      <c r="E67" s="29" t="s">
        <v>19</v>
      </c>
      <c r="F67" s="29"/>
      <c r="G67" s="29"/>
      <c r="H67" s="32">
        <f t="shared" ca="1" si="5"/>
        <v>514</v>
      </c>
      <c r="I67" s="29" t="s">
        <v>19</v>
      </c>
      <c r="J67" s="25" t="str">
        <f t="shared" ca="1" si="6"/>
        <v>Triplex</v>
      </c>
    </row>
    <row r="68" spans="1:10" ht="15.75" x14ac:dyDescent="0.25">
      <c r="A68" s="29" t="s">
        <v>100</v>
      </c>
      <c r="B68" s="31" t="str">
        <f t="shared" ca="1" si="7"/>
        <v>Float 6mm-Float 4mm-Low-e 4mm termó</v>
      </c>
      <c r="C68" s="29"/>
      <c r="D68" s="32">
        <f t="shared" ca="1" si="4"/>
        <v>416</v>
      </c>
      <c r="E68" s="29" t="s">
        <v>19</v>
      </c>
      <c r="F68" s="29"/>
      <c r="G68" s="29"/>
      <c r="H68" s="32">
        <f t="shared" ca="1" si="5"/>
        <v>354</v>
      </c>
      <c r="I68" s="29" t="s">
        <v>19</v>
      </c>
      <c r="J68" s="25" t="str">
        <f t="shared" ca="1" si="6"/>
        <v>Triplex</v>
      </c>
    </row>
    <row r="69" spans="1:10" ht="15.75" x14ac:dyDescent="0.25">
      <c r="A69" s="29" t="s">
        <v>101</v>
      </c>
      <c r="B69" s="31" t="str">
        <f t="shared" ca="1" si="7"/>
        <v>4 evszakos-Low-e 4mm-Duplex 3.1.3. termó</v>
      </c>
      <c r="C69" s="29"/>
      <c r="D69" s="32">
        <f t="shared" ca="1" si="4"/>
        <v>533</v>
      </c>
      <c r="E69" s="29" t="s">
        <v>19</v>
      </c>
      <c r="F69" s="29"/>
      <c r="G69" s="29"/>
      <c r="H69" s="32">
        <f t="shared" ca="1" si="5"/>
        <v>454</v>
      </c>
      <c r="I69" s="29" t="s">
        <v>19</v>
      </c>
      <c r="J69" s="25" t="str">
        <f t="shared" ca="1" si="6"/>
        <v>Triplex</v>
      </c>
    </row>
    <row r="70" spans="1:10" ht="15.75" x14ac:dyDescent="0.25">
      <c r="A70" s="29" t="s">
        <v>152</v>
      </c>
      <c r="B70" s="31" t="str">
        <f t="shared" ca="1" si="7"/>
        <v>Savmarta feher Tegla-Float 4mm-Low-e 4mm termó</v>
      </c>
      <c r="C70" s="29"/>
      <c r="D70" s="32">
        <f t="shared" ca="1" si="4"/>
        <v>492</v>
      </c>
      <c r="E70" s="29" t="s">
        <v>19</v>
      </c>
      <c r="F70" s="29"/>
      <c r="G70" s="29"/>
      <c r="H70" s="32">
        <f t="shared" ca="1" si="5"/>
        <v>419</v>
      </c>
      <c r="I70" s="29" t="s">
        <v>19</v>
      </c>
      <c r="J70" s="25" t="str">
        <f t="shared" ca="1" si="6"/>
        <v>Triplex</v>
      </c>
    </row>
    <row r="71" spans="1:10" ht="15.75" x14ac:dyDescent="0.25">
      <c r="A71" s="29" t="s">
        <v>153</v>
      </c>
      <c r="B71" s="31" t="str">
        <f t="shared" ca="1" si="7"/>
        <v>Tukor 4mm-Barna fatorzs termó</v>
      </c>
      <c r="C71" s="29"/>
      <c r="D71" s="32">
        <f t="shared" ca="1" si="4"/>
        <v>492</v>
      </c>
      <c r="E71" s="29" t="s">
        <v>19</v>
      </c>
      <c r="F71" s="29"/>
      <c r="G71" s="29"/>
      <c r="H71" s="32">
        <f t="shared" ca="1" si="5"/>
        <v>419</v>
      </c>
      <c r="I71" s="29" t="s">
        <v>19</v>
      </c>
      <c r="J71" s="25" t="str">
        <f t="shared" ca="1" si="6"/>
        <v>Duplex</v>
      </c>
    </row>
    <row r="72" spans="1:10" ht="15.75" x14ac:dyDescent="0.25">
      <c r="A72" s="29" t="s">
        <v>154</v>
      </c>
      <c r="B72" s="31" t="str">
        <f t="shared" ca="1" si="7"/>
        <v>Barna delta 2-Float 4mm termó</v>
      </c>
      <c r="C72" s="29"/>
      <c r="D72" s="32">
        <f t="shared" ca="1" si="4"/>
        <v>344</v>
      </c>
      <c r="E72" s="29" t="s">
        <v>19</v>
      </c>
      <c r="F72" s="29"/>
      <c r="G72" s="29"/>
      <c r="H72" s="32">
        <f t="shared" ca="1" si="5"/>
        <v>293</v>
      </c>
      <c r="I72" s="29" t="s">
        <v>19</v>
      </c>
      <c r="J72" s="25" t="str">
        <f t="shared" ca="1" si="6"/>
        <v>Duplex</v>
      </c>
    </row>
    <row r="73" spans="1:10" ht="15.75" x14ac:dyDescent="0.25">
      <c r="A73" s="29" t="s">
        <v>156</v>
      </c>
      <c r="B73" s="31" t="str">
        <f t="shared" ca="1" si="7"/>
        <v>Fehér hóvirág-Low-e 4mm-Low-e 4mm termó</v>
      </c>
      <c r="C73" s="29"/>
      <c r="D73" s="32">
        <f t="shared" ca="1" si="4"/>
        <v>510</v>
      </c>
      <c r="E73" s="29" t="s">
        <v>19</v>
      </c>
      <c r="F73" s="29"/>
      <c r="G73" s="29"/>
      <c r="H73" s="32">
        <f t="shared" ca="1" si="5"/>
        <v>434</v>
      </c>
      <c r="I73" s="29" t="s">
        <v>19</v>
      </c>
      <c r="J73" s="25" t="str">
        <f t="shared" ca="1" si="6"/>
        <v>Triplex</v>
      </c>
    </row>
    <row r="74" spans="1:10" ht="15.75" x14ac:dyDescent="0.25">
      <c r="A74" s="29" t="s">
        <v>157</v>
      </c>
      <c r="B74" s="31" t="str">
        <f t="shared" ca="1" si="7"/>
        <v>4 evszakos-Float 4mm-Duplex 3.1.3. termó</v>
      </c>
      <c r="C74" s="29"/>
      <c r="D74" s="32">
        <f t="shared" ca="1" si="4"/>
        <v>515</v>
      </c>
      <c r="E74" s="29" t="s">
        <v>19</v>
      </c>
      <c r="F74" s="29"/>
      <c r="G74" s="29"/>
      <c r="H74" s="32">
        <f t="shared" ca="1" si="5"/>
        <v>438</v>
      </c>
      <c r="I74" s="29" t="s">
        <v>19</v>
      </c>
      <c r="J74" s="25" t="str">
        <f t="shared" ca="1" si="6"/>
        <v>Triplex</v>
      </c>
    </row>
    <row r="75" spans="1:10" ht="15.75" x14ac:dyDescent="0.25">
      <c r="A75" s="29" t="s">
        <v>158</v>
      </c>
      <c r="B75" s="31" t="str">
        <f t="shared" ca="1" si="7"/>
        <v>Savmarta feher Tegla-Float 4mm termó</v>
      </c>
      <c r="C75" s="29"/>
      <c r="D75" s="32">
        <f t="shared" ca="1" si="4"/>
        <v>336</v>
      </c>
      <c r="E75" s="29" t="s">
        <v>19</v>
      </c>
      <c r="F75" s="29"/>
      <c r="G75" s="29"/>
      <c r="H75" s="32">
        <f t="shared" ca="1" si="5"/>
        <v>286</v>
      </c>
      <c r="I75" s="29" t="s">
        <v>19</v>
      </c>
      <c r="J75" s="25" t="str">
        <f t="shared" ca="1" si="6"/>
        <v>Duplex</v>
      </c>
    </row>
    <row r="76" spans="1:10" ht="15.75" x14ac:dyDescent="0.25">
      <c r="A76" s="29" t="s">
        <v>159</v>
      </c>
      <c r="B76" s="31" t="str">
        <f t="shared" ca="1" si="7"/>
        <v>Savmarta barna hovirag-Float 4mm-Low-e 4mm termó</v>
      </c>
      <c r="C76" s="29"/>
      <c r="D76" s="32">
        <f t="shared" ca="1" si="4"/>
        <v>538</v>
      </c>
      <c r="E76" s="29" t="s">
        <v>19</v>
      </c>
      <c r="F76" s="29"/>
      <c r="G76" s="29"/>
      <c r="H76" s="32">
        <f t="shared" ca="1" si="5"/>
        <v>458</v>
      </c>
      <c r="I76" s="29" t="s">
        <v>19</v>
      </c>
      <c r="J76" s="25" t="str">
        <f t="shared" ca="1" si="6"/>
        <v>Triplex</v>
      </c>
    </row>
    <row r="77" spans="1:10" ht="15.75" x14ac:dyDescent="0.25">
      <c r="A77" s="29" t="s">
        <v>163</v>
      </c>
      <c r="B77" s="31" t="str">
        <f t="shared" ca="1" si="7"/>
        <v>4 evszakos-Satin bronz-Low-e 4mm termó</v>
      </c>
      <c r="C77" s="29"/>
      <c r="D77" s="32">
        <f t="shared" ca="1" si="4"/>
        <v>490</v>
      </c>
      <c r="E77" s="29" t="s">
        <v>19</v>
      </c>
      <c r="F77" s="29"/>
      <c r="G77" s="29"/>
      <c r="H77" s="32">
        <f t="shared" ca="1" si="5"/>
        <v>417</v>
      </c>
      <c r="I77" s="29" t="s">
        <v>19</v>
      </c>
      <c r="J77" s="25" t="str">
        <f t="shared" ca="1" si="6"/>
        <v>Triplex</v>
      </c>
    </row>
    <row r="78" spans="1:10" ht="15.75" x14ac:dyDescent="0.25">
      <c r="A78" s="29" t="s">
        <v>164</v>
      </c>
      <c r="B78" s="31" t="str">
        <f t="shared" ca="1" si="7"/>
        <v>Savmarta feher tuskes-Low-e 4mm-Low-e 4mm termó</v>
      </c>
      <c r="C78" s="29"/>
      <c r="D78" s="32">
        <f t="shared" ca="1" si="4"/>
        <v>510</v>
      </c>
      <c r="E78" s="29" t="s">
        <v>19</v>
      </c>
      <c r="F78" s="29"/>
      <c r="G78" s="29"/>
      <c r="H78" s="32">
        <f t="shared" ca="1" si="5"/>
        <v>434</v>
      </c>
      <c r="I78" s="29" t="s">
        <v>19</v>
      </c>
      <c r="J78" s="25" t="str">
        <f t="shared" ca="1" si="6"/>
        <v>Triplex</v>
      </c>
    </row>
    <row r="79" spans="1:10" ht="15.75" x14ac:dyDescent="0.25">
      <c r="A79" s="29" t="s">
        <v>165</v>
      </c>
      <c r="B79" s="31" t="str">
        <f t="shared" ca="1" si="7"/>
        <v>Mintas uveg aprokockas-Low-e 4mm-Low-e 4mm termó</v>
      </c>
      <c r="C79" s="29"/>
      <c r="D79" s="32">
        <f t="shared" ca="1" si="4"/>
        <v>412</v>
      </c>
      <c r="E79" s="29" t="s">
        <v>19</v>
      </c>
      <c r="F79" s="29"/>
      <c r="G79" s="29"/>
      <c r="H79" s="32">
        <f t="shared" ca="1" si="5"/>
        <v>351</v>
      </c>
      <c r="I79" s="29" t="s">
        <v>19</v>
      </c>
      <c r="J79" s="25" t="str">
        <f t="shared" ca="1" si="6"/>
        <v>Triplex</v>
      </c>
    </row>
    <row r="80" spans="1:10" ht="15.75" x14ac:dyDescent="0.25">
      <c r="A80" s="29" t="s">
        <v>166</v>
      </c>
      <c r="B80" s="31" t="str">
        <f t="shared" ca="1" si="7"/>
        <v>Barna fatorzs-Float 4mm-Low-e 4mm termó</v>
      </c>
      <c r="C80" s="29"/>
      <c r="D80" s="32">
        <f t="shared" ca="1" si="4"/>
        <v>500</v>
      </c>
      <c r="E80" s="29" t="s">
        <v>19</v>
      </c>
      <c r="F80" s="29"/>
      <c r="G80" s="29"/>
      <c r="H80" s="32">
        <f t="shared" ca="1" si="5"/>
        <v>425</v>
      </c>
      <c r="I80" s="29" t="s">
        <v>19</v>
      </c>
      <c r="J80" s="25" t="str">
        <f t="shared" ca="1" si="6"/>
        <v>Triplex</v>
      </c>
    </row>
    <row r="81" spans="1:10" ht="15.75" x14ac:dyDescent="0.25">
      <c r="A81" s="29" t="s">
        <v>167</v>
      </c>
      <c r="B81" s="31" t="str">
        <f t="shared" ca="1" si="7"/>
        <v>Feher csincsilla-Low-e 4mm-Low-e 4mm termó</v>
      </c>
      <c r="C81" s="29"/>
      <c r="D81" s="32">
        <f t="shared" ca="1" si="4"/>
        <v>461</v>
      </c>
      <c r="E81" s="29" t="s">
        <v>19</v>
      </c>
      <c r="F81" s="29"/>
      <c r="G81" s="29"/>
      <c r="H81" s="32">
        <f t="shared" ca="1" si="5"/>
        <v>392</v>
      </c>
      <c r="I81" s="29" t="s">
        <v>19</v>
      </c>
      <c r="J81" s="25" t="str">
        <f t="shared" ca="1" si="6"/>
        <v>Triplex</v>
      </c>
    </row>
    <row r="82" spans="1:10" ht="15.75" x14ac:dyDescent="0.25">
      <c r="A82" s="29" t="s">
        <v>170</v>
      </c>
      <c r="B82" s="31" t="str">
        <f t="shared" ca="1" si="7"/>
        <v>Feher screen-Tukor 4mm termó</v>
      </c>
      <c r="C82" s="29"/>
      <c r="D82" s="32">
        <f t="shared" ca="1" si="4"/>
        <v>435</v>
      </c>
      <c r="E82" s="29" t="s">
        <v>19</v>
      </c>
      <c r="F82" s="29"/>
      <c r="G82" s="29"/>
      <c r="H82" s="32">
        <f t="shared" ca="1" si="5"/>
        <v>370</v>
      </c>
      <c r="I82" s="29" t="s">
        <v>19</v>
      </c>
      <c r="J82" s="25" t="str">
        <f t="shared" ca="1" si="6"/>
        <v>Duplex</v>
      </c>
    </row>
    <row r="83" spans="1:10" ht="15.75" x14ac:dyDescent="0.25">
      <c r="A83" s="29" t="s">
        <v>169</v>
      </c>
      <c r="B83" s="31" t="str">
        <f t="shared" ca="1" si="7"/>
        <v>Duplex 3.1.3.-Homokfujt 4mm termó</v>
      </c>
      <c r="C83" s="29"/>
      <c r="D83" s="32">
        <f t="shared" ca="1" si="4"/>
        <v>432</v>
      </c>
      <c r="E83" s="29" t="s">
        <v>19</v>
      </c>
      <c r="F83" s="29"/>
      <c r="G83" s="29"/>
      <c r="H83" s="32">
        <f t="shared" ca="1" si="5"/>
        <v>368</v>
      </c>
      <c r="I83" s="29" t="s">
        <v>19</v>
      </c>
      <c r="J83" s="25" t="str">
        <f t="shared" ca="1" si="6"/>
        <v>Duplex</v>
      </c>
    </row>
    <row r="84" spans="1:10" ht="15.75" x14ac:dyDescent="0.25">
      <c r="A84" s="29" t="s">
        <v>168</v>
      </c>
      <c r="B84" s="31" t="str">
        <f t="shared" ca="1" si="7"/>
        <v>Tukor 4mm-Savmarta feher tuskes termó</v>
      </c>
      <c r="C84" s="29"/>
      <c r="D84" s="32">
        <f t="shared" ca="1" si="4"/>
        <v>484</v>
      </c>
      <c r="E84" s="29" t="s">
        <v>19</v>
      </c>
      <c r="F84" s="29"/>
      <c r="G84" s="29"/>
      <c r="H84" s="32">
        <f t="shared" ca="1" si="5"/>
        <v>412</v>
      </c>
      <c r="I84" s="29" t="s">
        <v>19</v>
      </c>
      <c r="J84" s="25" t="str">
        <f t="shared" ca="1" si="6"/>
        <v>Duplex</v>
      </c>
    </row>
    <row r="85" spans="1:10" ht="15.75" x14ac:dyDescent="0.25">
      <c r="A85" s="29" t="s">
        <v>171</v>
      </c>
      <c r="B85" s="31" t="str">
        <f t="shared" ca="1" si="7"/>
        <v>Tukor 4mm-Satin bronz termó</v>
      </c>
      <c r="C85" s="29"/>
      <c r="D85" s="32">
        <f t="shared" ca="1" si="4"/>
        <v>467</v>
      </c>
      <c r="E85" s="29" t="s">
        <v>19</v>
      </c>
      <c r="F85" s="29"/>
      <c r="G85" s="29"/>
      <c r="H85" s="32">
        <f t="shared" ca="1" si="5"/>
        <v>397</v>
      </c>
      <c r="I85" s="29" t="s">
        <v>19</v>
      </c>
      <c r="J85" s="25" t="str">
        <f t="shared" ca="1" si="6"/>
        <v>Duplex</v>
      </c>
    </row>
    <row r="86" spans="1:10" ht="15.75" x14ac:dyDescent="0.25">
      <c r="A86" s="29" t="s">
        <v>172</v>
      </c>
      <c r="B86" s="31" t="str">
        <f t="shared" ca="1" si="7"/>
        <v>Float 4mm-Satin bronz termó</v>
      </c>
      <c r="C86" s="29"/>
      <c r="D86" s="32">
        <f t="shared" ca="1" si="4"/>
        <v>319</v>
      </c>
      <c r="E86" s="29" t="s">
        <v>19</v>
      </c>
      <c r="F86" s="29"/>
      <c r="G86" s="29"/>
      <c r="H86" s="32">
        <f t="shared" ca="1" si="5"/>
        <v>272</v>
      </c>
      <c r="I86" s="29" t="s">
        <v>19</v>
      </c>
      <c r="J86" s="25" t="str">
        <f t="shared" ca="1" si="6"/>
        <v>Duplex</v>
      </c>
    </row>
    <row r="87" spans="1:10" ht="15.75" x14ac:dyDescent="0.25">
      <c r="A87" s="29" t="s">
        <v>173</v>
      </c>
      <c r="B87" s="31" t="str">
        <f t="shared" ca="1" si="7"/>
        <v>Savamarta barna tegla-Float 4mm-Low-e 4mm termó</v>
      </c>
      <c r="C87" s="29"/>
      <c r="D87" s="32">
        <f t="shared" ca="1" si="4"/>
        <v>538</v>
      </c>
      <c r="E87" s="29" t="s">
        <v>19</v>
      </c>
      <c r="F87" s="29"/>
      <c r="G87" s="29"/>
      <c r="H87" s="32">
        <f t="shared" ca="1" si="5"/>
        <v>458</v>
      </c>
      <c r="I87" s="29" t="s">
        <v>19</v>
      </c>
      <c r="J87" s="25" t="str">
        <f t="shared" ca="1" si="6"/>
        <v>Triplex</v>
      </c>
    </row>
    <row r="88" spans="1:10" ht="15.75" x14ac:dyDescent="0.25">
      <c r="A88" s="29" t="s">
        <v>174</v>
      </c>
      <c r="B88" s="31" t="str">
        <f t="shared" ca="1" si="7"/>
        <v>Reflexios 4mm-Barna csincsilla termó</v>
      </c>
      <c r="C88" s="29"/>
      <c r="D88" s="32">
        <f t="shared" ca="1" si="4"/>
        <v>569</v>
      </c>
      <c r="E88" s="29" t="s">
        <v>19</v>
      </c>
      <c r="F88" s="29"/>
      <c r="G88" s="29"/>
      <c r="H88" s="32">
        <f t="shared" ca="1" si="5"/>
        <v>484</v>
      </c>
      <c r="I88" s="29" t="s">
        <v>19</v>
      </c>
      <c r="J88" s="25" t="str">
        <f t="shared" ca="1" si="6"/>
        <v>Duplex</v>
      </c>
    </row>
    <row r="89" spans="1:10" ht="15.75" x14ac:dyDescent="0.25">
      <c r="A89" s="29" t="s">
        <v>175</v>
      </c>
      <c r="B89" s="31" t="str">
        <f t="shared" ca="1" si="7"/>
        <v>Homokfujt 4mm-Homokfujt 4mm termó</v>
      </c>
      <c r="C89" s="29"/>
      <c r="D89" s="32">
        <f t="shared" ca="1" si="4"/>
        <v>363</v>
      </c>
      <c r="E89" s="29" t="s">
        <v>19</v>
      </c>
      <c r="F89" s="29"/>
      <c r="G89" s="29"/>
      <c r="H89" s="32">
        <f t="shared" ca="1" si="5"/>
        <v>309</v>
      </c>
      <c r="I89" s="29" t="s">
        <v>19</v>
      </c>
      <c r="J89" s="25" t="str">
        <f t="shared" ca="1" si="6"/>
        <v>Duplex</v>
      </c>
    </row>
    <row r="90" spans="1:10" ht="15.75" x14ac:dyDescent="0.25">
      <c r="A90" s="29" t="s">
        <v>176</v>
      </c>
      <c r="B90" s="31" t="str">
        <f t="shared" ca="1" si="7"/>
        <v>Tukor 4mm-Mintas uveg feher fatorzs termó</v>
      </c>
      <c r="C90" s="29"/>
      <c r="D90" s="32">
        <f t="shared" ca="1" si="4"/>
        <v>386</v>
      </c>
      <c r="E90" s="29" t="s">
        <v>19</v>
      </c>
      <c r="F90" s="29"/>
      <c r="G90" s="29"/>
      <c r="H90" s="32">
        <f t="shared" ca="1" si="5"/>
        <v>329</v>
      </c>
      <c r="I90" s="29" t="s">
        <v>19</v>
      </c>
      <c r="J90" s="25" t="str">
        <f t="shared" ca="1" si="6"/>
        <v>Duplex</v>
      </c>
    </row>
    <row r="91" spans="1:10" ht="15.75" x14ac:dyDescent="0.25">
      <c r="A91" s="29" t="s">
        <v>177</v>
      </c>
      <c r="B91" s="31" t="str">
        <f t="shared" ca="1" si="7"/>
        <v>Reflexios 4mm-Float 4mm-Homokfujt 4mm termó</v>
      </c>
      <c r="C91" s="29"/>
      <c r="D91" s="32">
        <f t="shared" ca="1" si="4"/>
        <v>656</v>
      </c>
      <c r="E91" s="29" t="s">
        <v>19</v>
      </c>
      <c r="F91" s="29"/>
      <c r="G91" s="29"/>
      <c r="H91" s="32">
        <f t="shared" ca="1" si="5"/>
        <v>558</v>
      </c>
      <c r="I91" s="29" t="s">
        <v>19</v>
      </c>
      <c r="J91" s="25" t="str">
        <f t="shared" ca="1" si="6"/>
        <v>Triplex</v>
      </c>
    </row>
    <row r="92" spans="1:10" ht="15.75" x14ac:dyDescent="0.25">
      <c r="A92" s="29" t="s">
        <v>178</v>
      </c>
      <c r="B92" s="31" t="str">
        <f t="shared" ca="1" si="7"/>
        <v>Savmarta barna tuskes-Low-e 4mm-Low-e 4mm termó</v>
      </c>
      <c r="C92" s="29"/>
      <c r="D92" s="32">
        <f t="shared" ca="1" si="4"/>
        <v>556</v>
      </c>
      <c r="E92" s="29" t="s">
        <v>19</v>
      </c>
      <c r="F92" s="29"/>
      <c r="G92" s="29"/>
      <c r="H92" s="32">
        <f t="shared" ca="1" si="5"/>
        <v>473</v>
      </c>
      <c r="I92" s="29" t="s">
        <v>19</v>
      </c>
      <c r="J92" s="25" t="str">
        <f t="shared" ca="1" si="6"/>
        <v>Triplex</v>
      </c>
    </row>
    <row r="93" spans="1:10" ht="15.75" x14ac:dyDescent="0.25">
      <c r="A93" s="29" t="s">
        <v>179</v>
      </c>
      <c r="B93" s="31" t="str">
        <f t="shared" ca="1" si="7"/>
        <v>4 evszakos-Mintas uveg aprokockas-Low-e 4mm termó</v>
      </c>
      <c r="C93" s="29"/>
      <c r="D93" s="32">
        <f t="shared" ca="1" si="4"/>
        <v>409</v>
      </c>
      <c r="E93" s="29" t="s">
        <v>19</v>
      </c>
      <c r="F93" s="29"/>
      <c r="G93" s="29"/>
      <c r="H93" s="32">
        <f t="shared" ca="1" si="5"/>
        <v>348</v>
      </c>
      <c r="I93" s="29" t="s">
        <v>19</v>
      </c>
      <c r="J93" s="25" t="str">
        <f t="shared" ca="1" si="6"/>
        <v>Triplex</v>
      </c>
    </row>
    <row r="94" spans="1:10" ht="15.75" x14ac:dyDescent="0.25">
      <c r="A94" s="29" t="s">
        <v>180</v>
      </c>
      <c r="B94" s="31" t="str">
        <f t="shared" ca="1" si="7"/>
        <v>Savmarta barna palma-Low-e 4mm termó</v>
      </c>
      <c r="C94" s="29"/>
      <c r="D94" s="32">
        <f t="shared" ca="1" si="4"/>
        <v>400</v>
      </c>
      <c r="E94" s="29" t="s">
        <v>19</v>
      </c>
      <c r="F94" s="29"/>
      <c r="G94" s="29"/>
      <c r="H94" s="32">
        <f t="shared" ca="1" si="5"/>
        <v>340</v>
      </c>
      <c r="I94" s="29" t="s">
        <v>19</v>
      </c>
      <c r="J94" s="25" t="str">
        <f t="shared" ca="1" si="6"/>
        <v>Duplex</v>
      </c>
    </row>
    <row r="95" spans="1:10" ht="15.75" x14ac:dyDescent="0.25">
      <c r="A95" s="29" t="s">
        <v>181</v>
      </c>
      <c r="B95" s="31" t="str">
        <f t="shared" ca="1" si="7"/>
        <v>Savmarta feher Tegla-Low-e 4mm-Low-e 4mm termó</v>
      </c>
      <c r="C95" s="29"/>
      <c r="D95" s="32">
        <f t="shared" ca="1" si="4"/>
        <v>510</v>
      </c>
      <c r="E95" s="29" t="s">
        <v>19</v>
      </c>
      <c r="F95" s="29"/>
      <c r="G95" s="29"/>
      <c r="H95" s="32">
        <f t="shared" ca="1" si="5"/>
        <v>434</v>
      </c>
      <c r="I95" s="29" t="s">
        <v>19</v>
      </c>
      <c r="J95" s="25" t="str">
        <f t="shared" ca="1" si="6"/>
        <v>Triplex</v>
      </c>
    </row>
    <row r="96" spans="1:10" ht="15.75" x14ac:dyDescent="0.25">
      <c r="A96" s="29" t="s">
        <v>182</v>
      </c>
      <c r="B96" s="31" t="str">
        <f t="shared" ca="1" si="7"/>
        <v>Barna fatorzs-Low-e 4mm-Low-e 4mm termó</v>
      </c>
      <c r="C96" s="29"/>
      <c r="D96" s="32">
        <f t="shared" ca="1" si="4"/>
        <v>518</v>
      </c>
      <c r="E96" s="29" t="s">
        <v>19</v>
      </c>
      <c r="F96" s="29"/>
      <c r="G96" s="29"/>
      <c r="H96" s="32">
        <f t="shared" ca="1" si="5"/>
        <v>441</v>
      </c>
      <c r="I96" s="29" t="s">
        <v>19</v>
      </c>
      <c r="J96" s="25" t="str">
        <f t="shared" ca="1" si="6"/>
        <v>Triplex</v>
      </c>
    </row>
    <row r="97" spans="1:10" ht="15.75" x14ac:dyDescent="0.25">
      <c r="A97" s="29" t="s">
        <v>183</v>
      </c>
      <c r="B97" s="31" t="str">
        <f t="shared" ca="1" si="7"/>
        <v>4 evszakos-Feher csincsilla-Low-e 4mm termó</v>
      </c>
      <c r="C97" s="29"/>
      <c r="D97" s="32">
        <f t="shared" ca="1" si="4"/>
        <v>458</v>
      </c>
      <c r="E97" s="29" t="s">
        <v>19</v>
      </c>
      <c r="F97" s="29"/>
      <c r="G97" s="29"/>
      <c r="H97" s="32">
        <f t="shared" ca="1" si="5"/>
        <v>390</v>
      </c>
      <c r="I97" s="29" t="s">
        <v>19</v>
      </c>
      <c r="J97" s="25" t="str">
        <f t="shared" ca="1" si="6"/>
        <v>Triplex</v>
      </c>
    </row>
    <row r="98" spans="1:10" ht="15.75" x14ac:dyDescent="0.25">
      <c r="A98" s="29" t="s">
        <v>184</v>
      </c>
      <c r="B98" s="31" t="str">
        <f t="shared" ca="1" si="7"/>
        <v>4 evszakos-Duplex 3.1.3. termó</v>
      </c>
      <c r="C98" s="29"/>
      <c r="D98" s="32">
        <f t="shared" ca="1" si="4"/>
        <v>377</v>
      </c>
      <c r="E98" s="29" t="s">
        <v>19</v>
      </c>
      <c r="F98" s="29"/>
      <c r="G98" s="29"/>
      <c r="H98" s="32">
        <f t="shared" ca="1" si="5"/>
        <v>321</v>
      </c>
      <c r="I98" s="29" t="s">
        <v>19</v>
      </c>
      <c r="J98" s="25" t="str">
        <f t="shared" ca="1" si="6"/>
        <v>Duplex</v>
      </c>
    </row>
    <row r="99" spans="1:10" ht="15.75" x14ac:dyDescent="0.25">
      <c r="A99" s="29" t="s">
        <v>185</v>
      </c>
      <c r="B99" s="31" t="str">
        <f t="shared" ca="1" si="7"/>
        <v>Duplex 3.1.3.-Float 6mm termó</v>
      </c>
      <c r="C99" s="29"/>
      <c r="D99" s="32">
        <f t="shared" ca="1" si="4"/>
        <v>399</v>
      </c>
      <c r="E99" s="29" t="s">
        <v>19</v>
      </c>
      <c r="F99" s="29"/>
      <c r="G99" s="29"/>
      <c r="H99" s="32">
        <f t="shared" ca="1" si="5"/>
        <v>340</v>
      </c>
      <c r="I99" s="29" t="s">
        <v>19</v>
      </c>
      <c r="J99" s="25" t="str">
        <f t="shared" ca="1" si="6"/>
        <v>Duplex</v>
      </c>
    </row>
    <row r="100" spans="1:10" ht="15.75" x14ac:dyDescent="0.25">
      <c r="A100" s="29" t="s">
        <v>186</v>
      </c>
      <c r="B100" s="31" t="str">
        <f t="shared" ca="1" si="7"/>
        <v>Reflexios 4mm-Homokfujt 4mm termó</v>
      </c>
      <c r="C100" s="29"/>
      <c r="D100" s="32">
        <f t="shared" ca="1" si="4"/>
        <v>518</v>
      </c>
      <c r="E100" s="29" t="s">
        <v>19</v>
      </c>
      <c r="F100" s="29"/>
      <c r="G100" s="29"/>
      <c r="H100" s="32">
        <f t="shared" ca="1" si="5"/>
        <v>441</v>
      </c>
      <c r="I100" s="29" t="s">
        <v>19</v>
      </c>
      <c r="J100" s="25" t="str">
        <f t="shared" ca="1" si="6"/>
        <v>Duplex</v>
      </c>
    </row>
    <row r="101" spans="1:10" ht="15.75" x14ac:dyDescent="0.25">
      <c r="A101" s="29" t="s">
        <v>187</v>
      </c>
      <c r="B101" s="31" t="str">
        <f t="shared" ca="1" si="7"/>
        <v>Satin bronz-Float 4mm-Float 4mm termó</v>
      </c>
      <c r="C101" s="29"/>
      <c r="D101" s="32">
        <f t="shared" ca="1" si="4"/>
        <v>457</v>
      </c>
      <c r="E101" s="29" t="s">
        <v>19</v>
      </c>
      <c r="F101" s="29"/>
      <c r="G101" s="29"/>
      <c r="H101" s="32">
        <f t="shared" ca="1" si="5"/>
        <v>389</v>
      </c>
      <c r="I101" s="29" t="s">
        <v>19</v>
      </c>
      <c r="J101" s="25" t="str">
        <f t="shared" ca="1" si="6"/>
        <v>Triplex</v>
      </c>
    </row>
    <row r="102" spans="1:10" ht="15.75" x14ac:dyDescent="0.25">
      <c r="A102" s="29" t="s">
        <v>188</v>
      </c>
      <c r="B102" s="31" t="str">
        <f t="shared" ca="1" si="7"/>
        <v>Mintas uveg delta 2-Low-e 4mm-Low-e 4mm termó</v>
      </c>
      <c r="C102" s="29"/>
      <c r="D102" s="32">
        <f t="shared" ca="1" si="4"/>
        <v>412</v>
      </c>
      <c r="E102" s="29" t="s">
        <v>19</v>
      </c>
      <c r="F102" s="29"/>
      <c r="G102" s="29"/>
      <c r="H102" s="32">
        <f t="shared" ca="1" si="5"/>
        <v>351</v>
      </c>
      <c r="I102" s="29" t="s">
        <v>19</v>
      </c>
      <c r="J102" s="25" t="str">
        <f t="shared" ca="1" si="6"/>
        <v>Triplex</v>
      </c>
    </row>
    <row r="103" spans="1:10" ht="15.75" x14ac:dyDescent="0.25">
      <c r="A103" s="29" t="s">
        <v>189</v>
      </c>
      <c r="B103" s="31" t="str">
        <f t="shared" ca="1" si="7"/>
        <v>Fehér hóvirág-Low-e 4mm termó</v>
      </c>
      <c r="C103" s="29"/>
      <c r="D103" s="32">
        <f t="shared" ca="1" si="4"/>
        <v>354</v>
      </c>
      <c r="E103" s="29" t="s">
        <v>19</v>
      </c>
      <c r="F103" s="29"/>
      <c r="G103" s="29"/>
      <c r="H103" s="32">
        <f t="shared" ca="1" si="5"/>
        <v>301</v>
      </c>
      <c r="I103" s="29" t="s">
        <v>19</v>
      </c>
      <c r="J103" s="25" t="str">
        <f t="shared" ca="1" si="6"/>
        <v>Duplex</v>
      </c>
    </row>
    <row r="104" spans="1:10" ht="15.75" x14ac:dyDescent="0.25">
      <c r="A104" s="29" t="s">
        <v>190</v>
      </c>
      <c r="B104" s="31" t="str">
        <f t="shared" ca="1" si="7"/>
        <v>Float 6mm-Float 6mm termó</v>
      </c>
      <c r="C104" s="29"/>
      <c r="D104" s="32">
        <f t="shared" ca="1" si="4"/>
        <v>297</v>
      </c>
      <c r="E104" s="29" t="s">
        <v>19</v>
      </c>
      <c r="F104" s="29"/>
      <c r="G104" s="29"/>
      <c r="H104" s="32">
        <f t="shared" ca="1" si="5"/>
        <v>253</v>
      </c>
      <c r="I104" s="29" t="s">
        <v>19</v>
      </c>
      <c r="J104" s="25" t="str">
        <f t="shared" ca="1" si="6"/>
        <v>Duplex</v>
      </c>
    </row>
    <row r="105" spans="1:10" ht="15.75" x14ac:dyDescent="0.25">
      <c r="A105" s="29" t="s">
        <v>191</v>
      </c>
      <c r="B105" s="31" t="str">
        <f t="shared" ca="1" si="7"/>
        <v>Barna delta 2-Float 4mm-Low-e 4mm termó</v>
      </c>
      <c r="C105" s="29"/>
      <c r="D105" s="32">
        <f t="shared" ca="1" si="4"/>
        <v>500</v>
      </c>
      <c r="E105" s="29" t="s">
        <v>19</v>
      </c>
      <c r="F105" s="29"/>
      <c r="G105" s="29"/>
      <c r="H105" s="32">
        <f t="shared" ca="1" si="5"/>
        <v>425</v>
      </c>
      <c r="I105" s="29" t="s">
        <v>19</v>
      </c>
      <c r="J105" s="25" t="str">
        <f t="shared" ca="1" si="6"/>
        <v>Triplex</v>
      </c>
    </row>
    <row r="106" spans="1:10" ht="15.75" x14ac:dyDescent="0.25">
      <c r="A106" s="29" t="s">
        <v>192</v>
      </c>
      <c r="B106" s="31" t="str">
        <f t="shared" ca="1" si="7"/>
        <v>Feher screen-Float 4mm termó</v>
      </c>
      <c r="C106" s="29"/>
      <c r="D106" s="32">
        <f t="shared" ca="1" si="4"/>
        <v>287</v>
      </c>
      <c r="E106" s="29" t="s">
        <v>19</v>
      </c>
      <c r="F106" s="29"/>
      <c r="G106" s="29"/>
      <c r="H106" s="32">
        <f t="shared" ca="1" si="5"/>
        <v>244</v>
      </c>
      <c r="I106" s="29" t="s">
        <v>19</v>
      </c>
      <c r="J106" s="25" t="str">
        <f t="shared" ca="1" si="6"/>
        <v>Duplex</v>
      </c>
    </row>
    <row r="107" spans="1:10" ht="15.75" x14ac:dyDescent="0.25">
      <c r="A107" s="29" t="s">
        <v>195</v>
      </c>
      <c r="B107" s="31" t="str">
        <f t="shared" ca="1" si="7"/>
        <v>Lowe 6 mm-Float 6mm termó</v>
      </c>
      <c r="C107" s="29"/>
      <c r="D107" s="32">
        <f t="shared" ca="1" si="4"/>
        <v>374</v>
      </c>
      <c r="E107" s="29" t="s">
        <v>19</v>
      </c>
      <c r="F107" s="29"/>
      <c r="G107" s="29"/>
      <c r="H107" s="32">
        <f t="shared" ca="1" si="5"/>
        <v>318</v>
      </c>
      <c r="I107" s="29" t="s">
        <v>19</v>
      </c>
      <c r="J107" s="25" t="str">
        <f t="shared" ca="1" si="6"/>
        <v>Duplex</v>
      </c>
    </row>
    <row r="108" spans="1:10" ht="15.75" x14ac:dyDescent="0.25">
      <c r="A108" s="29" t="s">
        <v>196</v>
      </c>
      <c r="B108" s="31" t="str">
        <f t="shared" ca="1" si="7"/>
        <v>Fustos 4mm-Low-e 4mm-Low-e 4mm termó</v>
      </c>
      <c r="C108" s="29"/>
      <c r="D108" s="32">
        <f t="shared" ca="1" si="4"/>
        <v>467</v>
      </c>
      <c r="E108" s="29" t="s">
        <v>19</v>
      </c>
      <c r="F108" s="29"/>
      <c r="G108" s="29"/>
      <c r="H108" s="32">
        <f t="shared" ca="1" si="5"/>
        <v>397</v>
      </c>
      <c r="I108" s="29" t="s">
        <v>19</v>
      </c>
      <c r="J108" s="25" t="str">
        <f t="shared" ca="1" si="6"/>
        <v>Triplex</v>
      </c>
    </row>
    <row r="109" spans="1:10" ht="15.75" x14ac:dyDescent="0.25">
      <c r="A109" s="29" t="s">
        <v>197</v>
      </c>
      <c r="B109" s="31" t="str">
        <f t="shared" ca="1" si="7"/>
        <v>4 evszakos-Float 4mm termó</v>
      </c>
      <c r="C109" s="29"/>
      <c r="D109" s="32">
        <f t="shared" ca="1" si="4"/>
        <v>238</v>
      </c>
      <c r="E109" s="29" t="s">
        <v>19</v>
      </c>
      <c r="F109" s="29"/>
      <c r="G109" s="29"/>
      <c r="H109" s="32">
        <f t="shared" ca="1" si="5"/>
        <v>203</v>
      </c>
      <c r="I109" s="29" t="s">
        <v>19</v>
      </c>
      <c r="J109" s="25" t="str">
        <f t="shared" ca="1" si="6"/>
        <v>Duplex</v>
      </c>
    </row>
    <row r="110" spans="1:10" ht="15.75" x14ac:dyDescent="0.25">
      <c r="A110" s="29" t="s">
        <v>198</v>
      </c>
      <c r="B110" s="31" t="str">
        <f t="shared" ca="1" si="7"/>
        <v>Duplex 3.1.3.-Homokfujt 4mm-Duplex 3.1.3. termó</v>
      </c>
      <c r="C110" s="29"/>
      <c r="D110" s="32">
        <f t="shared" ca="1" si="4"/>
        <v>709</v>
      </c>
      <c r="E110" s="29" t="s">
        <v>19</v>
      </c>
      <c r="F110" s="29"/>
      <c r="G110" s="29"/>
      <c r="H110" s="32">
        <f t="shared" ca="1" si="5"/>
        <v>603</v>
      </c>
      <c r="I110" s="29" t="s">
        <v>19</v>
      </c>
      <c r="J110" s="25" t="str">
        <f t="shared" ca="1" si="6"/>
        <v>Triplex</v>
      </c>
    </row>
    <row r="111" spans="1:10" ht="15.75" x14ac:dyDescent="0.25">
      <c r="A111" s="29" t="s">
        <v>199</v>
      </c>
      <c r="B111" s="31" t="str">
        <f t="shared" ca="1" si="7"/>
        <v>Reflexios 4mm-Lowe 6 mm termó</v>
      </c>
      <c r="C111" s="29"/>
      <c r="D111" s="32">
        <f t="shared" ca="1" si="4"/>
        <v>562</v>
      </c>
      <c r="E111" s="29" t="s">
        <v>19</v>
      </c>
      <c r="F111" s="29"/>
      <c r="G111" s="29"/>
      <c r="H111" s="32">
        <f t="shared" ca="1" si="5"/>
        <v>478</v>
      </c>
      <c r="I111" s="29" t="s">
        <v>19</v>
      </c>
      <c r="J111" s="25" t="str">
        <f t="shared" ca="1" si="6"/>
        <v>Duplex</v>
      </c>
    </row>
    <row r="112" spans="1:10" ht="15.75" x14ac:dyDescent="0.25">
      <c r="A112" s="29" t="s">
        <v>200</v>
      </c>
      <c r="B112" s="31" t="str">
        <f t="shared" ca="1" si="7"/>
        <v>Reflexios 4mm-Homokfujt 4mm-Low-e 4mm termó</v>
      </c>
      <c r="C112" s="29"/>
      <c r="D112" s="32">
        <f t="shared" ca="1" si="4"/>
        <v>674</v>
      </c>
      <c r="E112" s="29" t="s">
        <v>19</v>
      </c>
      <c r="F112" s="29"/>
      <c r="G112" s="29"/>
      <c r="H112" s="32">
        <f t="shared" ca="1" si="5"/>
        <v>573</v>
      </c>
      <c r="I112" s="29" t="s">
        <v>19</v>
      </c>
      <c r="J112" s="25" t="str">
        <f t="shared" ca="1" si="6"/>
        <v>Triplex</v>
      </c>
    </row>
    <row r="113" spans="1:10" ht="15.75" x14ac:dyDescent="0.25">
      <c r="A113" s="29" t="s">
        <v>201</v>
      </c>
      <c r="B113" s="31" t="str">
        <f t="shared" ca="1" si="7"/>
        <v>Fustos 4mm-Float 4mm-Low-e 4mm termó</v>
      </c>
      <c r="C113" s="29"/>
      <c r="D113" s="32">
        <f t="shared" ca="1" si="4"/>
        <v>449</v>
      </c>
      <c r="E113" s="29" t="s">
        <v>19</v>
      </c>
      <c r="F113" s="29"/>
      <c r="G113" s="29"/>
      <c r="H113" s="32">
        <f t="shared" ca="1" si="5"/>
        <v>382</v>
      </c>
      <c r="I113" s="29" t="s">
        <v>19</v>
      </c>
      <c r="J113" s="25" t="str">
        <f t="shared" ca="1" si="6"/>
        <v>Triplex</v>
      </c>
    </row>
    <row r="114" spans="1:10" ht="15.75" x14ac:dyDescent="0.25">
      <c r="A114" s="29" t="s">
        <v>202</v>
      </c>
      <c r="B114" s="31" t="str">
        <f t="shared" ca="1" si="7"/>
        <v>Feher screen-Low-e 4mm-Low-e 4mm termó</v>
      </c>
      <c r="C114" s="29"/>
      <c r="D114" s="32">
        <f t="shared" ca="1" si="4"/>
        <v>461</v>
      </c>
      <c r="E114" s="29" t="s">
        <v>19</v>
      </c>
      <c r="F114" s="29"/>
      <c r="G114" s="29"/>
      <c r="H114" s="32">
        <f t="shared" ca="1" si="5"/>
        <v>392</v>
      </c>
      <c r="I114" s="29" t="s">
        <v>19</v>
      </c>
      <c r="J114" s="25" t="str">
        <f t="shared" ca="1" si="6"/>
        <v>Triplex</v>
      </c>
    </row>
    <row r="115" spans="1:10" ht="15.75" x14ac:dyDescent="0.25">
      <c r="A115" s="29" t="s">
        <v>203</v>
      </c>
      <c r="B115" s="31" t="str">
        <f t="shared" ca="1" si="7"/>
        <v>Tukor 4mm-Homokfujt 4mm termó</v>
      </c>
      <c r="C115" s="29"/>
      <c r="D115" s="32">
        <f t="shared" ca="1" si="4"/>
        <v>441</v>
      </c>
      <c r="E115" s="29" t="s">
        <v>19</v>
      </c>
      <c r="F115" s="29"/>
      <c r="G115" s="29"/>
      <c r="H115" s="32">
        <f t="shared" ca="1" si="5"/>
        <v>375</v>
      </c>
      <c r="I115" s="29" t="s">
        <v>19</v>
      </c>
      <c r="J115" s="25" t="str">
        <f t="shared" ca="1" si="6"/>
        <v>Duplex</v>
      </c>
    </row>
    <row r="116" spans="1:10" ht="15.75" x14ac:dyDescent="0.25">
      <c r="A116" s="29" t="s">
        <v>204</v>
      </c>
      <c r="B116" s="31" t="str">
        <f t="shared" ca="1" si="7"/>
        <v>Satin bronz-Float 4mm-Low-e 4mm termó</v>
      </c>
      <c r="C116" s="29"/>
      <c r="D116" s="32">
        <f t="shared" ca="1" si="4"/>
        <v>475</v>
      </c>
      <c r="E116" s="29" t="s">
        <v>19</v>
      </c>
      <c r="F116" s="29"/>
      <c r="G116" s="29"/>
      <c r="H116" s="32">
        <f t="shared" ca="1" si="5"/>
        <v>404</v>
      </c>
      <c r="I116" s="29" t="s">
        <v>19</v>
      </c>
      <c r="J116" s="25" t="str">
        <f t="shared" ca="1" si="6"/>
        <v>Triplex</v>
      </c>
    </row>
    <row r="117" spans="1:10" ht="15.75" x14ac:dyDescent="0.25">
      <c r="A117" s="29" t="s">
        <v>205</v>
      </c>
      <c r="B117" s="31" t="str">
        <f t="shared" ca="1" si="7"/>
        <v>Feher csincsilla-Float 4mm-Low-e 4mm termó</v>
      </c>
      <c r="C117" s="29"/>
      <c r="D117" s="32">
        <f t="shared" ca="1" si="4"/>
        <v>443</v>
      </c>
      <c r="E117" s="29" t="s">
        <v>19</v>
      </c>
      <c r="F117" s="29"/>
      <c r="G117" s="29"/>
      <c r="H117" s="32">
        <f t="shared" ca="1" si="5"/>
        <v>377</v>
      </c>
      <c r="I117" s="29" t="s">
        <v>19</v>
      </c>
      <c r="J117" s="25" t="str">
        <f t="shared" ca="1" si="6"/>
        <v>Triplex</v>
      </c>
    </row>
    <row r="118" spans="1:10" x14ac:dyDescent="0.25">
      <c r="A118" s="20" t="s">
        <v>352</v>
      </c>
      <c r="B118" s="20" t="s">
        <v>208</v>
      </c>
      <c r="C118" s="20"/>
      <c r="D118" s="32">
        <f t="shared" ca="1" si="4"/>
        <v>431</v>
      </c>
      <c r="E118" s="29" t="s">
        <v>19</v>
      </c>
      <c r="F118" s="29"/>
      <c r="G118" s="29"/>
      <c r="H118" s="32">
        <f t="shared" ca="1" si="5"/>
        <v>367</v>
      </c>
      <c r="I118" s="29" t="s">
        <v>19</v>
      </c>
      <c r="J118" s="25" t="str">
        <f t="shared" ca="1" si="6"/>
        <v>Triplex</v>
      </c>
    </row>
    <row r="119" spans="1:10" x14ac:dyDescent="0.25">
      <c r="A119" s="20" t="s">
        <v>322</v>
      </c>
      <c r="B119" s="20" t="s">
        <v>209</v>
      </c>
      <c r="C119" s="20"/>
      <c r="D119" s="32">
        <f t="shared" ca="1" si="4"/>
        <v>582</v>
      </c>
      <c r="E119" s="29" t="s">
        <v>19</v>
      </c>
      <c r="F119" s="29"/>
      <c r="G119" s="29"/>
      <c r="H119" s="32">
        <f t="shared" ca="1" si="5"/>
        <v>495</v>
      </c>
      <c r="I119" s="29" t="s">
        <v>19</v>
      </c>
      <c r="J119" s="25" t="str">
        <f t="shared" ca="1" si="6"/>
        <v>Triplex</v>
      </c>
    </row>
    <row r="120" spans="1:10" x14ac:dyDescent="0.25">
      <c r="A120" s="20" t="s">
        <v>353</v>
      </c>
      <c r="B120" s="20" t="s">
        <v>323</v>
      </c>
      <c r="C120" s="20"/>
      <c r="D120" s="32">
        <f t="shared" ca="1" si="4"/>
        <v>734</v>
      </c>
      <c r="E120" s="29" t="s">
        <v>19</v>
      </c>
      <c r="F120" s="29"/>
      <c r="G120" s="29"/>
      <c r="H120" s="32">
        <f t="shared" ca="1" si="5"/>
        <v>624</v>
      </c>
      <c r="I120" s="29" t="s">
        <v>19</v>
      </c>
      <c r="J120" s="25" t="str">
        <f t="shared" ca="1" si="6"/>
        <v>Triplex</v>
      </c>
    </row>
    <row r="121" spans="1:10" x14ac:dyDescent="0.25">
      <c r="A121" s="20" t="s">
        <v>350</v>
      </c>
      <c r="B121" s="20" t="s">
        <v>325</v>
      </c>
      <c r="C121" s="20"/>
      <c r="D121" s="32">
        <f t="shared" ca="1" si="4"/>
        <v>352</v>
      </c>
      <c r="E121" s="29" t="s">
        <v>19</v>
      </c>
      <c r="F121" s="29"/>
      <c r="G121" s="29"/>
      <c r="H121" s="32">
        <f t="shared" ca="1" si="5"/>
        <v>300</v>
      </c>
      <c r="I121" s="29" t="s">
        <v>19</v>
      </c>
      <c r="J121" s="25" t="str">
        <f t="shared" ca="1" si="6"/>
        <v>Duplex</v>
      </c>
    </row>
    <row r="122" spans="1:10" x14ac:dyDescent="0.25">
      <c r="A122" s="20" t="s">
        <v>195</v>
      </c>
      <c r="B122" s="20" t="s">
        <v>326</v>
      </c>
      <c r="C122" s="20"/>
      <c r="D122" s="32">
        <f t="shared" ca="1" si="4"/>
        <v>374</v>
      </c>
      <c r="E122" s="29" t="s">
        <v>19</v>
      </c>
      <c r="F122" s="29"/>
      <c r="G122" s="29"/>
      <c r="H122" s="32">
        <f t="shared" ca="1" si="5"/>
        <v>318</v>
      </c>
      <c r="I122" s="29" t="s">
        <v>19</v>
      </c>
      <c r="J122" s="25" t="str">
        <f t="shared" ca="1" si="6"/>
        <v>Duplex</v>
      </c>
    </row>
    <row r="123" spans="1:10" x14ac:dyDescent="0.25">
      <c r="A123" s="20" t="s">
        <v>354</v>
      </c>
      <c r="B123" s="20" t="s">
        <v>329</v>
      </c>
      <c r="C123" s="20"/>
      <c r="D123" s="32">
        <f t="shared" ca="1" si="4"/>
        <v>2427</v>
      </c>
      <c r="E123" s="29" t="s">
        <v>19</v>
      </c>
      <c r="F123" s="29"/>
      <c r="G123" s="29"/>
      <c r="H123" s="32">
        <f t="shared" ca="1" si="5"/>
        <v>2063</v>
      </c>
      <c r="I123" s="29" t="s">
        <v>19</v>
      </c>
      <c r="J123" s="25" t="str">
        <f t="shared" ca="1" si="6"/>
        <v>Duplex</v>
      </c>
    </row>
    <row r="124" spans="1:10" x14ac:dyDescent="0.25">
      <c r="A124" s="20" t="s">
        <v>355</v>
      </c>
      <c r="B124" s="20" t="s">
        <v>331</v>
      </c>
      <c r="C124" s="20"/>
      <c r="D124" s="32">
        <f t="shared" ca="1" si="4"/>
        <v>2532</v>
      </c>
      <c r="E124" s="29" t="s">
        <v>19</v>
      </c>
      <c r="F124" s="29"/>
      <c r="G124" s="29"/>
      <c r="H124" s="32">
        <f t="shared" ca="1" si="5"/>
        <v>2153</v>
      </c>
      <c r="I124" s="29" t="s">
        <v>19</v>
      </c>
      <c r="J124" s="25" t="str">
        <f t="shared" ca="1" si="6"/>
        <v>Duplex</v>
      </c>
    </row>
    <row r="125" spans="1:10" x14ac:dyDescent="0.25">
      <c r="A125" s="20" t="s">
        <v>351</v>
      </c>
      <c r="B125" s="20" t="s">
        <v>331</v>
      </c>
      <c r="C125" s="20"/>
      <c r="D125" s="32">
        <f t="shared" ca="1" si="4"/>
        <v>476</v>
      </c>
      <c r="E125" s="29" t="s">
        <v>19</v>
      </c>
      <c r="F125" s="29"/>
      <c r="G125" s="29"/>
      <c r="H125" s="32">
        <f t="shared" ca="1" si="5"/>
        <v>405</v>
      </c>
      <c r="I125" s="29" t="s">
        <v>19</v>
      </c>
      <c r="J125" s="25" t="str">
        <f ca="1">VLOOKUP(A125,TermekKod_data,3,FALSE)</f>
        <v>Duplex</v>
      </c>
    </row>
  </sheetData>
  <dataValidations disablePrompts="1" count="1">
    <dataValidation type="list" allowBlank="1" showInputMessage="1" showErrorMessage="1" sqref="A2:A125" xr:uid="{E4291065-3ED9-42B8-8302-A5B57CE5103C}">
      <formula1>TermekKod_list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09EBC-2809-479B-B331-59C1B0CB35C6}">
  <sheetPr codeName="Munka6"/>
  <dimension ref="A1:O126"/>
  <sheetViews>
    <sheetView workbookViewId="0">
      <selection activeCell="C124" sqref="C124"/>
    </sheetView>
  </sheetViews>
  <sheetFormatPr defaultRowHeight="15" x14ac:dyDescent="0.25"/>
  <cols>
    <col min="1" max="1" width="36.7109375" customWidth="1"/>
    <col min="2" max="3" width="9.140625" customWidth="1"/>
    <col min="4" max="4" width="3.7109375" customWidth="1"/>
  </cols>
  <sheetData>
    <row r="1" spans="1:15" ht="45" x14ac:dyDescent="0.25">
      <c r="A1" s="143" t="s">
        <v>335</v>
      </c>
      <c r="B1" s="143"/>
      <c r="C1" s="162"/>
      <c r="D1" s="162"/>
      <c r="E1" s="163" t="s">
        <v>334</v>
      </c>
      <c r="F1" s="145" t="s">
        <v>332</v>
      </c>
      <c r="G1" s="163" t="s">
        <v>333</v>
      </c>
    </row>
    <row r="2" spans="1:15" ht="18.75" x14ac:dyDescent="0.3">
      <c r="A2" s="28" t="s">
        <v>222</v>
      </c>
      <c r="B2" s="32" t="e">
        <f t="shared" ref="B2:B64" ca="1" si="0">VLOOKUP($A2,TermekKod_data,9,0)</f>
        <v>#N/A</v>
      </c>
      <c r="C2" s="146" t="e">
        <f ca="1">SUM(B2-(B2*8/115))</f>
        <v>#N/A</v>
      </c>
      <c r="D2" s="29"/>
      <c r="E2" s="147" t="e">
        <f ca="1">SUM(F2-(F2*19/119))</f>
        <v>#N/A</v>
      </c>
      <c r="F2" s="147" t="e">
        <f ca="1">SUM(C2/4.92)</f>
        <v>#N/A</v>
      </c>
      <c r="G2" s="148" t="e">
        <f t="shared" ref="G2:G32" ca="1" si="1">SUM(C2)</f>
        <v>#N/A</v>
      </c>
    </row>
    <row r="3" spans="1:15" x14ac:dyDescent="0.25">
      <c r="A3" s="29" t="s">
        <v>221</v>
      </c>
      <c r="B3" s="32" t="e">
        <f t="shared" ca="1" si="0"/>
        <v>#N/A</v>
      </c>
      <c r="C3" s="146" t="e">
        <f ca="1">SUM(B3-(B3*8/115))</f>
        <v>#N/A</v>
      </c>
      <c r="D3" s="29"/>
      <c r="E3" s="147" t="e">
        <f t="shared" ref="E3:E65" ca="1" si="2">SUM(F3-(F3*19/119))</f>
        <v>#N/A</v>
      </c>
      <c r="F3" s="147" t="e">
        <f t="shared" ref="F3:F65" ca="1" si="3">SUM(C3/4.92)</f>
        <v>#N/A</v>
      </c>
      <c r="G3" s="148" t="e">
        <f t="shared" ca="1" si="1"/>
        <v>#N/A</v>
      </c>
      <c r="O3" s="99"/>
    </row>
    <row r="4" spans="1:15" ht="18.75" x14ac:dyDescent="0.3">
      <c r="A4" s="28" t="s">
        <v>162</v>
      </c>
      <c r="B4" s="32">
        <f t="shared" ca="1" si="0"/>
        <v>237</v>
      </c>
      <c r="C4" s="146">
        <f t="shared" ref="C4:C65" ca="1" si="4">SUM(B4-(B4*8/115))</f>
        <v>220.51304347826087</v>
      </c>
      <c r="D4" s="29"/>
      <c r="E4" s="147">
        <f t="shared" ca="1" si="2"/>
        <v>37.663633852268376</v>
      </c>
      <c r="F4" s="147">
        <f t="shared" ca="1" si="3"/>
        <v>44.819724284199367</v>
      </c>
      <c r="G4" s="148">
        <f t="shared" ca="1" si="1"/>
        <v>220.51304347826087</v>
      </c>
      <c r="O4" s="99"/>
    </row>
    <row r="5" spans="1:15" ht="18.75" x14ac:dyDescent="0.3">
      <c r="A5" s="28" t="s">
        <v>223</v>
      </c>
      <c r="B5" s="32">
        <f t="shared" ca="1" si="0"/>
        <v>397</v>
      </c>
      <c r="C5" s="146">
        <f t="shared" ca="1" si="4"/>
        <v>369.38260869565215</v>
      </c>
      <c r="D5" s="29"/>
      <c r="E5" s="147">
        <f t="shared" ca="1" si="2"/>
        <v>63.090559659706933</v>
      </c>
      <c r="F5" s="147">
        <f t="shared" ca="1" si="3"/>
        <v>75.077765995051251</v>
      </c>
      <c r="G5" s="148">
        <f t="shared" ca="1" si="1"/>
        <v>369.38260869565215</v>
      </c>
    </row>
    <row r="6" spans="1:15" ht="18.75" x14ac:dyDescent="0.3">
      <c r="A6" s="28" t="s">
        <v>63</v>
      </c>
      <c r="B6" s="32">
        <f t="shared" ca="1" si="0"/>
        <v>323</v>
      </c>
      <c r="C6" s="146">
        <f t="shared" ca="1" si="4"/>
        <v>300.53043478260872</v>
      </c>
      <c r="D6" s="29"/>
      <c r="E6" s="147">
        <f t="shared" ca="1" si="2"/>
        <v>51.330606473766608</v>
      </c>
      <c r="F6" s="147">
        <f t="shared" ca="1" si="3"/>
        <v>61.083421703782264</v>
      </c>
      <c r="G6" s="148">
        <f t="shared" ca="1" si="1"/>
        <v>300.53043478260872</v>
      </c>
    </row>
    <row r="7" spans="1:15" ht="18.75" x14ac:dyDescent="0.3">
      <c r="A7" s="28" t="s">
        <v>62</v>
      </c>
      <c r="B7" s="32">
        <f t="shared" ca="1" si="0"/>
        <v>307</v>
      </c>
      <c r="C7" s="146">
        <f t="shared" ca="1" si="4"/>
        <v>285.64347826086959</v>
      </c>
      <c r="D7" s="29"/>
      <c r="E7" s="147">
        <f t="shared" ca="1" si="2"/>
        <v>48.787913893022747</v>
      </c>
      <c r="F7" s="147">
        <f t="shared" ca="1" si="3"/>
        <v>58.057617532697073</v>
      </c>
      <c r="G7" s="148">
        <f t="shared" ca="1" si="1"/>
        <v>285.64347826086959</v>
      </c>
    </row>
    <row r="8" spans="1:15" ht="18.75" x14ac:dyDescent="0.3">
      <c r="A8" s="28" t="s">
        <v>395</v>
      </c>
      <c r="B8" s="32">
        <f t="shared" ca="1" si="0"/>
        <v>318</v>
      </c>
      <c r="C8" s="146">
        <f t="shared" ca="1" si="4"/>
        <v>295.87826086956522</v>
      </c>
      <c r="D8" s="29"/>
      <c r="E8" s="147">
        <f t="shared" ca="1" si="2"/>
        <v>50.536015042284149</v>
      </c>
      <c r="F8" s="147">
        <f t="shared" ca="1" si="3"/>
        <v>60.137857900318139</v>
      </c>
      <c r="G8" s="148">
        <f t="shared" ca="1" si="1"/>
        <v>295.87826086956522</v>
      </c>
    </row>
    <row r="9" spans="1:15" ht="18.75" x14ac:dyDescent="0.3">
      <c r="A9" s="28" t="s">
        <v>226</v>
      </c>
      <c r="B9" s="32">
        <f t="shared" ca="1" si="0"/>
        <v>265</v>
      </c>
      <c r="C9" s="146">
        <f t="shared" ca="1" si="4"/>
        <v>246.56521739130434</v>
      </c>
      <c r="D9" s="29"/>
      <c r="E9" s="147">
        <f t="shared" ca="1" si="2"/>
        <v>42.113345868570121</v>
      </c>
      <c r="F9" s="147">
        <f t="shared" ca="1" si="3"/>
        <v>50.114881583598446</v>
      </c>
      <c r="G9" s="148">
        <f t="shared" ca="1" si="1"/>
        <v>246.56521739130434</v>
      </c>
    </row>
    <row r="10" spans="1:15" ht="18" customHeight="1" x14ac:dyDescent="0.25">
      <c r="A10" s="149" t="s">
        <v>227</v>
      </c>
      <c r="B10" s="32">
        <f t="shared" ca="1" si="0"/>
        <v>235</v>
      </c>
      <c r="C10" s="146">
        <f t="shared" ca="1" si="4"/>
        <v>218.65217391304347</v>
      </c>
      <c r="D10" s="29"/>
      <c r="E10" s="147">
        <f t="shared" ca="1" si="2"/>
        <v>37.345797279675388</v>
      </c>
      <c r="F10" s="147">
        <f t="shared" ca="1" si="3"/>
        <v>44.441498762813715</v>
      </c>
      <c r="G10" s="148">
        <f t="shared" ca="1" si="1"/>
        <v>218.65217391304347</v>
      </c>
    </row>
    <row r="11" spans="1:15" ht="18" customHeight="1" x14ac:dyDescent="0.25">
      <c r="A11" s="149" t="s">
        <v>228</v>
      </c>
      <c r="B11" s="32">
        <f t="shared" ca="1" si="0"/>
        <v>287</v>
      </c>
      <c r="C11" s="146">
        <f t="shared" ca="1" si="4"/>
        <v>267.03478260869565</v>
      </c>
      <c r="D11" s="29"/>
      <c r="E11" s="147">
        <f t="shared" ca="1" si="2"/>
        <v>45.609548167092925</v>
      </c>
      <c r="F11" s="147">
        <f t="shared" ca="1" si="3"/>
        <v>54.275362318840578</v>
      </c>
      <c r="G11" s="148">
        <f t="shared" ca="1" si="1"/>
        <v>267.03478260869565</v>
      </c>
    </row>
    <row r="12" spans="1:15" ht="18" customHeight="1" x14ac:dyDescent="0.25">
      <c r="A12" s="149" t="s">
        <v>229</v>
      </c>
      <c r="B12" s="32">
        <f t="shared" ca="1" si="0"/>
        <v>265</v>
      </c>
      <c r="C12" s="146">
        <f t="shared" ca="1" si="4"/>
        <v>246.56521739130434</v>
      </c>
      <c r="D12" s="29"/>
      <c r="E12" s="147">
        <f t="shared" ca="1" si="2"/>
        <v>42.113345868570121</v>
      </c>
      <c r="F12" s="147">
        <f t="shared" ca="1" si="3"/>
        <v>50.114881583598446</v>
      </c>
      <c r="G12" s="148">
        <f t="shared" ca="1" si="1"/>
        <v>246.56521739130434</v>
      </c>
    </row>
    <row r="13" spans="1:15" ht="18.75" x14ac:dyDescent="0.3">
      <c r="A13" s="28" t="s">
        <v>230</v>
      </c>
      <c r="B13" s="32">
        <f t="shared" ca="1" si="0"/>
        <v>442</v>
      </c>
      <c r="C13" s="146">
        <f t="shared" ca="1" si="4"/>
        <v>411.25217391304346</v>
      </c>
      <c r="D13" s="29"/>
      <c r="E13" s="147">
        <f t="shared" ca="1" si="2"/>
        <v>70.24188254304903</v>
      </c>
      <c r="F13" s="147">
        <f t="shared" ca="1" si="3"/>
        <v>83.587840226228352</v>
      </c>
      <c r="G13" s="148">
        <f t="shared" ca="1" si="1"/>
        <v>411.25217391304346</v>
      </c>
    </row>
    <row r="14" spans="1:15" ht="18.75" x14ac:dyDescent="0.3">
      <c r="A14" s="28" t="s">
        <v>65</v>
      </c>
      <c r="B14" s="32">
        <f t="shared" ca="1" si="0"/>
        <v>312</v>
      </c>
      <c r="C14" s="146">
        <f t="shared" ca="1" si="4"/>
        <v>290.29565217391303</v>
      </c>
      <c r="D14" s="29"/>
      <c r="E14" s="147">
        <f t="shared" ca="1" si="2"/>
        <v>49.582505324505192</v>
      </c>
      <c r="F14" s="147">
        <f t="shared" ca="1" si="3"/>
        <v>59.003181336161184</v>
      </c>
      <c r="G14" s="148">
        <f t="shared" ca="1" si="1"/>
        <v>290.29565217391303</v>
      </c>
    </row>
    <row r="15" spans="1:15" ht="18.75" x14ac:dyDescent="0.3">
      <c r="A15" s="28" t="s">
        <v>66</v>
      </c>
      <c r="B15" s="32">
        <f t="shared" ca="1" si="0"/>
        <v>456</v>
      </c>
      <c r="C15" s="146">
        <f t="shared" ca="1" si="4"/>
        <v>424.2782608695652</v>
      </c>
      <c r="D15" s="29"/>
      <c r="E15" s="147">
        <f t="shared" ca="1" si="2"/>
        <v>72.46673855119991</v>
      </c>
      <c r="F15" s="147">
        <f t="shared" ca="1" si="3"/>
        <v>86.235418875927891</v>
      </c>
      <c r="G15" s="148">
        <f t="shared" ca="1" si="1"/>
        <v>424.2782608695652</v>
      </c>
    </row>
    <row r="16" spans="1:15" ht="18.75" x14ac:dyDescent="0.3">
      <c r="A16" s="28" t="s">
        <v>67</v>
      </c>
      <c r="B16" s="32">
        <f t="shared" ca="1" si="0"/>
        <v>454</v>
      </c>
      <c r="C16" s="146">
        <f t="shared" ca="1" si="4"/>
        <v>422.4173913043478</v>
      </c>
      <c r="D16" s="29"/>
      <c r="E16" s="147">
        <f t="shared" ca="1" si="2"/>
        <v>72.148901978606915</v>
      </c>
      <c r="F16" s="147">
        <f t="shared" ca="1" si="3"/>
        <v>85.857193354542233</v>
      </c>
      <c r="G16" s="148">
        <f t="shared" ca="1" si="1"/>
        <v>422.4173913043478</v>
      </c>
    </row>
    <row r="17" spans="1:7" ht="18.75" x14ac:dyDescent="0.3">
      <c r="A17" s="28" t="s">
        <v>68</v>
      </c>
      <c r="B17" s="32">
        <f t="shared" ca="1" si="0"/>
        <v>175</v>
      </c>
      <c r="C17" s="146">
        <f t="shared" ca="1" si="4"/>
        <v>162.82608695652175</v>
      </c>
      <c r="D17" s="29"/>
      <c r="E17" s="147">
        <f t="shared" ca="1" si="2"/>
        <v>27.810700101885935</v>
      </c>
      <c r="F17" s="147">
        <f t="shared" ca="1" si="3"/>
        <v>33.094733121244261</v>
      </c>
      <c r="G17" s="148">
        <f t="shared" ca="1" si="1"/>
        <v>162.82608695652175</v>
      </c>
    </row>
    <row r="18" spans="1:7" ht="18.75" x14ac:dyDescent="0.3">
      <c r="A18" s="28" t="s">
        <v>231</v>
      </c>
      <c r="B18" s="32">
        <f t="shared" ca="1" si="0"/>
        <v>351</v>
      </c>
      <c r="C18" s="146">
        <f t="shared" ca="1" si="4"/>
        <v>326.5826086956522</v>
      </c>
      <c r="D18" s="29"/>
      <c r="E18" s="147">
        <f t="shared" ca="1" si="2"/>
        <v>55.780318490068353</v>
      </c>
      <c r="F18" s="147">
        <f t="shared" ca="1" si="3"/>
        <v>66.378579003181343</v>
      </c>
      <c r="G18" s="148">
        <f t="shared" ca="1" si="1"/>
        <v>326.5826086956522</v>
      </c>
    </row>
    <row r="19" spans="1:7" ht="18.75" x14ac:dyDescent="0.3">
      <c r="A19" s="28" t="s">
        <v>64</v>
      </c>
      <c r="B19" s="32">
        <f t="shared" ca="1" si="0"/>
        <v>218</v>
      </c>
      <c r="C19" s="146">
        <f t="shared" ca="1" si="4"/>
        <v>202.83478260869566</v>
      </c>
      <c r="D19" s="29"/>
      <c r="E19" s="147">
        <f t="shared" ca="1" si="2"/>
        <v>34.644186412635044</v>
      </c>
      <c r="F19" s="147">
        <f t="shared" ca="1" si="3"/>
        <v>41.226581831035702</v>
      </c>
      <c r="G19" s="148">
        <f t="shared" ca="1" si="1"/>
        <v>202.83478260869566</v>
      </c>
    </row>
    <row r="20" spans="1:7" ht="18.75" x14ac:dyDescent="0.3">
      <c r="A20" s="28" t="s">
        <v>232</v>
      </c>
      <c r="B20" s="32">
        <f t="shared" ca="1" si="0"/>
        <v>335</v>
      </c>
      <c r="C20" s="146">
        <f t="shared" ca="1" si="4"/>
        <v>311.69565217391306</v>
      </c>
      <c r="D20" s="29"/>
      <c r="E20" s="147">
        <f t="shared" ca="1" si="2"/>
        <v>53.2376259093245</v>
      </c>
      <c r="F20" s="147">
        <f t="shared" ca="1" si="3"/>
        <v>63.352774832096152</v>
      </c>
      <c r="G20" s="148">
        <f t="shared" ca="1" si="1"/>
        <v>311.69565217391306</v>
      </c>
    </row>
    <row r="21" spans="1:7" ht="18.75" x14ac:dyDescent="0.3">
      <c r="A21" s="28" t="s">
        <v>225</v>
      </c>
      <c r="B21" s="32">
        <f t="shared" ca="1" si="0"/>
        <v>397</v>
      </c>
      <c r="C21" s="146">
        <f t="shared" ca="1" si="4"/>
        <v>369.38260869565215</v>
      </c>
      <c r="D21" s="29"/>
      <c r="E21" s="147">
        <f t="shared" ca="1" si="2"/>
        <v>63.090559659706933</v>
      </c>
      <c r="F21" s="147">
        <f t="shared" ca="1" si="3"/>
        <v>75.077765995051251</v>
      </c>
      <c r="G21" s="148">
        <f t="shared" ca="1" si="1"/>
        <v>369.38260869565215</v>
      </c>
    </row>
    <row r="22" spans="1:7" x14ac:dyDescent="0.25">
      <c r="A22" s="29" t="s">
        <v>117</v>
      </c>
      <c r="B22" s="32">
        <f t="shared" ca="1" si="0"/>
        <v>203</v>
      </c>
      <c r="C22" s="146">
        <f t="shared" ca="1" si="4"/>
        <v>188.87826086956522</v>
      </c>
      <c r="D22" s="29"/>
      <c r="E22" s="147">
        <f t="shared" ca="1" si="2"/>
        <v>32.260412118187681</v>
      </c>
      <c r="F22" s="147">
        <f t="shared" ca="1" si="3"/>
        <v>38.38989042064334</v>
      </c>
      <c r="G22" s="148">
        <f t="shared" ca="1" si="1"/>
        <v>188.87826086956522</v>
      </c>
    </row>
    <row r="23" spans="1:7" x14ac:dyDescent="0.25">
      <c r="A23" s="29" t="s">
        <v>118</v>
      </c>
      <c r="B23" s="32">
        <f t="shared" ca="1" si="0"/>
        <v>451</v>
      </c>
      <c r="C23" s="146">
        <f t="shared" ca="1" si="4"/>
        <v>419.62608695652176</v>
      </c>
      <c r="D23" s="29"/>
      <c r="E23" s="147">
        <f t="shared" ca="1" si="2"/>
        <v>71.672147119717465</v>
      </c>
      <c r="F23" s="147">
        <f t="shared" ca="1" si="3"/>
        <v>85.28985507246378</v>
      </c>
      <c r="G23" s="148">
        <f t="shared" ca="1" si="1"/>
        <v>419.62608695652176</v>
      </c>
    </row>
    <row r="24" spans="1:7" x14ac:dyDescent="0.25">
      <c r="A24" s="29" t="s">
        <v>85</v>
      </c>
      <c r="B24" s="32">
        <f t="shared" ca="1" si="0"/>
        <v>575</v>
      </c>
      <c r="C24" s="146">
        <f t="shared" ca="1" si="4"/>
        <v>535</v>
      </c>
      <c r="D24" s="29"/>
      <c r="E24" s="147">
        <f t="shared" ca="1" si="2"/>
        <v>91.378014620482332</v>
      </c>
      <c r="F24" s="147">
        <f t="shared" ca="1" si="3"/>
        <v>108.73983739837398</v>
      </c>
      <c r="G24" s="148">
        <f t="shared" ca="1" si="1"/>
        <v>535</v>
      </c>
    </row>
    <row r="25" spans="1:7" x14ac:dyDescent="0.25">
      <c r="A25" s="29" t="s">
        <v>90</v>
      </c>
      <c r="B25" s="32">
        <f t="shared" ca="1" si="0"/>
        <v>441</v>
      </c>
      <c r="C25" s="146">
        <f t="shared" ca="1" si="4"/>
        <v>410.32173913043476</v>
      </c>
      <c r="D25" s="29"/>
      <c r="E25" s="147">
        <f t="shared" ca="1" si="2"/>
        <v>70.082964256752547</v>
      </c>
      <c r="F25" s="147">
        <f t="shared" ca="1" si="3"/>
        <v>83.398727465535529</v>
      </c>
      <c r="G25" s="148">
        <f t="shared" ca="1" si="1"/>
        <v>410.32173913043476</v>
      </c>
    </row>
    <row r="26" spans="1:7" x14ac:dyDescent="0.25">
      <c r="A26" s="29" t="s">
        <v>119</v>
      </c>
      <c r="B26" s="32">
        <f t="shared" ca="1" si="0"/>
        <v>218</v>
      </c>
      <c r="C26" s="146">
        <f t="shared" ca="1" si="4"/>
        <v>202.83478260869566</v>
      </c>
      <c r="D26" s="29"/>
      <c r="E26" s="147">
        <f t="shared" ca="1" si="2"/>
        <v>34.644186412635044</v>
      </c>
      <c r="F26" s="147">
        <f t="shared" ca="1" si="3"/>
        <v>41.226581831035702</v>
      </c>
      <c r="G26" s="148">
        <f t="shared" ca="1" si="1"/>
        <v>202.83478260869566</v>
      </c>
    </row>
    <row r="27" spans="1:7" x14ac:dyDescent="0.25">
      <c r="A27" s="29" t="s">
        <v>120</v>
      </c>
      <c r="B27" s="32">
        <f t="shared" ca="1" si="0"/>
        <v>441</v>
      </c>
      <c r="C27" s="146">
        <f t="shared" ca="1" si="4"/>
        <v>410.32173913043476</v>
      </c>
      <c r="D27" s="29"/>
      <c r="E27" s="147">
        <f t="shared" ca="1" si="2"/>
        <v>70.082964256752547</v>
      </c>
      <c r="F27" s="147">
        <f t="shared" ca="1" si="3"/>
        <v>83.398727465535529</v>
      </c>
      <c r="G27" s="148">
        <f t="shared" ca="1" si="1"/>
        <v>410.32173913043476</v>
      </c>
    </row>
    <row r="28" spans="1:7" x14ac:dyDescent="0.25">
      <c r="A28" s="29" t="s">
        <v>121</v>
      </c>
      <c r="B28" s="32">
        <f t="shared" ca="1" si="0"/>
        <v>308</v>
      </c>
      <c r="C28" s="146">
        <f t="shared" ca="1" si="4"/>
        <v>286.57391304347829</v>
      </c>
      <c r="D28" s="29"/>
      <c r="E28" s="147">
        <f t="shared" ca="1" si="2"/>
        <v>48.946832179319237</v>
      </c>
      <c r="F28" s="147">
        <f t="shared" ca="1" si="3"/>
        <v>58.246730293389895</v>
      </c>
      <c r="G28" s="148">
        <f t="shared" ca="1" si="1"/>
        <v>286.57391304347829</v>
      </c>
    </row>
    <row r="29" spans="1:7" x14ac:dyDescent="0.25">
      <c r="A29" s="29" t="s">
        <v>122</v>
      </c>
      <c r="B29" s="32">
        <f t="shared" ca="1" si="0"/>
        <v>308</v>
      </c>
      <c r="C29" s="146">
        <f t="shared" ca="1" si="4"/>
        <v>286.57391304347829</v>
      </c>
      <c r="D29" s="29"/>
      <c r="E29" s="147">
        <f t="shared" ca="1" si="2"/>
        <v>48.946832179319237</v>
      </c>
      <c r="F29" s="147">
        <f t="shared" ca="1" si="3"/>
        <v>58.246730293389895</v>
      </c>
      <c r="G29" s="148">
        <f t="shared" ca="1" si="1"/>
        <v>286.57391304347829</v>
      </c>
    </row>
    <row r="30" spans="1:7" x14ac:dyDescent="0.25">
      <c r="A30" s="29" t="s">
        <v>123</v>
      </c>
      <c r="B30" s="32">
        <f t="shared" ca="1" si="0"/>
        <v>218</v>
      </c>
      <c r="C30" s="146">
        <f t="shared" ca="1" si="4"/>
        <v>202.83478260869566</v>
      </c>
      <c r="D30" s="29"/>
      <c r="E30" s="147">
        <f t="shared" ca="1" si="2"/>
        <v>34.644186412635044</v>
      </c>
      <c r="F30" s="147">
        <f t="shared" ca="1" si="3"/>
        <v>41.226581831035702</v>
      </c>
      <c r="G30" s="148">
        <f t="shared" ca="1" si="1"/>
        <v>202.83478260869566</v>
      </c>
    </row>
    <row r="31" spans="1:7" x14ac:dyDescent="0.25">
      <c r="A31" s="29" t="s">
        <v>124</v>
      </c>
      <c r="B31" s="32">
        <f t="shared" ca="1" si="0"/>
        <v>419</v>
      </c>
      <c r="C31" s="146">
        <f t="shared" ca="1" si="4"/>
        <v>389.85217391304349</v>
      </c>
      <c r="D31" s="29"/>
      <c r="E31" s="147">
        <f t="shared" ca="1" si="2"/>
        <v>66.586761958229744</v>
      </c>
      <c r="F31" s="147">
        <f t="shared" ca="1" si="3"/>
        <v>79.238246730293397</v>
      </c>
      <c r="G31" s="148">
        <f t="shared" ca="1" si="1"/>
        <v>389.85217391304349</v>
      </c>
    </row>
    <row r="32" spans="1:7" x14ac:dyDescent="0.25">
      <c r="A32" s="29" t="s">
        <v>125</v>
      </c>
      <c r="B32" s="32">
        <f t="shared" ca="1" si="0"/>
        <v>340</v>
      </c>
      <c r="C32" s="146">
        <f t="shared" ca="1" si="4"/>
        <v>316.3478260869565</v>
      </c>
      <c r="D32" s="29"/>
      <c r="E32" s="147">
        <f t="shared" ca="1" si="2"/>
        <v>54.032217340806952</v>
      </c>
      <c r="F32" s="147">
        <f t="shared" ca="1" si="3"/>
        <v>64.29833863556027</v>
      </c>
      <c r="G32" s="148">
        <f t="shared" ca="1" si="1"/>
        <v>316.3478260869565</v>
      </c>
    </row>
    <row r="33" spans="1:7" x14ac:dyDescent="0.25">
      <c r="A33" s="29" t="s">
        <v>91</v>
      </c>
      <c r="B33" s="32">
        <f t="shared" ca="1" si="0"/>
        <v>251</v>
      </c>
      <c r="C33" s="146">
        <f t="shared" ca="1" si="4"/>
        <v>233.53913043478261</v>
      </c>
      <c r="D33" s="29"/>
      <c r="E33" s="147">
        <f t="shared" ca="1" si="2"/>
        <v>39.888489860419249</v>
      </c>
      <c r="F33" s="147">
        <f t="shared" ca="1" si="3"/>
        <v>47.467302933898907</v>
      </c>
      <c r="G33" s="148">
        <f t="shared" ref="G33:G65" ca="1" si="5">SUM(C33)</f>
        <v>233.53913043478261</v>
      </c>
    </row>
    <row r="34" spans="1:7" x14ac:dyDescent="0.25">
      <c r="A34" s="29" t="s">
        <v>126</v>
      </c>
      <c r="B34" s="32">
        <f t="shared" ca="1" si="0"/>
        <v>247</v>
      </c>
      <c r="C34" s="146">
        <f t="shared" ca="1" si="4"/>
        <v>229.81739130434784</v>
      </c>
      <c r="D34" s="29"/>
      <c r="E34" s="147">
        <f t="shared" ca="1" si="2"/>
        <v>39.252816715233287</v>
      </c>
      <c r="F34" s="147">
        <f t="shared" ca="1" si="3"/>
        <v>46.710851891127611</v>
      </c>
      <c r="G34" s="148">
        <f t="shared" ca="1" si="5"/>
        <v>229.81739130434784</v>
      </c>
    </row>
    <row r="35" spans="1:7" x14ac:dyDescent="0.25">
      <c r="A35" s="29" t="s">
        <v>127</v>
      </c>
      <c r="B35" s="32">
        <f t="shared" ca="1" si="0"/>
        <v>203</v>
      </c>
      <c r="C35" s="146">
        <f t="shared" ca="1" si="4"/>
        <v>188.87826086956522</v>
      </c>
      <c r="D35" s="29"/>
      <c r="E35" s="147">
        <f t="shared" ca="1" si="2"/>
        <v>32.260412118187681</v>
      </c>
      <c r="F35" s="147">
        <f t="shared" ca="1" si="3"/>
        <v>38.38989042064334</v>
      </c>
      <c r="G35" s="148">
        <f t="shared" ca="1" si="5"/>
        <v>188.87826086956522</v>
      </c>
    </row>
    <row r="36" spans="1:7" x14ac:dyDescent="0.25">
      <c r="A36" s="29" t="s">
        <v>92</v>
      </c>
      <c r="B36" s="32">
        <f t="shared" ca="1" si="0"/>
        <v>369</v>
      </c>
      <c r="C36" s="146">
        <f t="shared" ca="1" si="4"/>
        <v>343.33043478260868</v>
      </c>
      <c r="D36" s="29"/>
      <c r="E36" s="147">
        <f t="shared" ca="1" si="2"/>
        <v>58.640847643405188</v>
      </c>
      <c r="F36" s="147">
        <f t="shared" ca="1" si="3"/>
        <v>69.782608695652172</v>
      </c>
      <c r="G36" s="148">
        <f t="shared" ca="1" si="5"/>
        <v>343.33043478260868</v>
      </c>
    </row>
    <row r="37" spans="1:7" x14ac:dyDescent="0.25">
      <c r="A37" s="29" t="s">
        <v>128</v>
      </c>
      <c r="B37" s="32">
        <f t="shared" ca="1" si="0"/>
        <v>377</v>
      </c>
      <c r="C37" s="146">
        <f t="shared" ca="1" si="4"/>
        <v>350.77391304347827</v>
      </c>
      <c r="D37" s="29"/>
      <c r="E37" s="147">
        <f t="shared" ca="1" si="2"/>
        <v>59.912193933777125</v>
      </c>
      <c r="F37" s="147">
        <f t="shared" ca="1" si="3"/>
        <v>71.295510781194778</v>
      </c>
      <c r="G37" s="148">
        <f t="shared" ca="1" si="5"/>
        <v>350.77391304347827</v>
      </c>
    </row>
    <row r="38" spans="1:7" x14ac:dyDescent="0.25">
      <c r="A38" s="29" t="s">
        <v>129</v>
      </c>
      <c r="B38" s="32">
        <f t="shared" ca="1" si="0"/>
        <v>203</v>
      </c>
      <c r="C38" s="146">
        <f t="shared" ca="1" si="4"/>
        <v>188.87826086956522</v>
      </c>
      <c r="D38" s="29"/>
      <c r="E38" s="147">
        <f t="shared" ca="1" si="2"/>
        <v>32.260412118187681</v>
      </c>
      <c r="F38" s="147">
        <f t="shared" ca="1" si="3"/>
        <v>38.38989042064334</v>
      </c>
      <c r="G38" s="148">
        <f t="shared" ca="1" si="5"/>
        <v>188.87826086956522</v>
      </c>
    </row>
    <row r="39" spans="1:7" x14ac:dyDescent="0.25">
      <c r="A39" s="29" t="s">
        <v>130</v>
      </c>
      <c r="B39" s="32">
        <f t="shared" ca="1" si="0"/>
        <v>250</v>
      </c>
      <c r="C39" s="146">
        <f t="shared" ca="1" si="4"/>
        <v>232.60869565217391</v>
      </c>
      <c r="D39" s="29"/>
      <c r="E39" s="147">
        <f t="shared" ca="1" si="2"/>
        <v>39.729571574122758</v>
      </c>
      <c r="F39" s="147">
        <f t="shared" ca="1" si="3"/>
        <v>47.278190173206077</v>
      </c>
      <c r="G39" s="148">
        <f t="shared" ca="1" si="5"/>
        <v>232.60869565217391</v>
      </c>
    </row>
    <row r="40" spans="1:7" x14ac:dyDescent="0.25">
      <c r="A40" s="29" t="s">
        <v>131</v>
      </c>
      <c r="B40" s="32">
        <f t="shared" ca="1" si="0"/>
        <v>218</v>
      </c>
      <c r="C40" s="146">
        <f t="shared" ca="1" si="4"/>
        <v>202.83478260869566</v>
      </c>
      <c r="D40" s="29"/>
      <c r="E40" s="147">
        <f t="shared" ca="1" si="2"/>
        <v>34.644186412635044</v>
      </c>
      <c r="F40" s="147">
        <f t="shared" ca="1" si="3"/>
        <v>41.226581831035702</v>
      </c>
      <c r="G40" s="148">
        <f t="shared" ca="1" si="5"/>
        <v>202.83478260869566</v>
      </c>
    </row>
    <row r="41" spans="1:7" x14ac:dyDescent="0.25">
      <c r="A41" s="29" t="s">
        <v>93</v>
      </c>
      <c r="B41" s="32">
        <f t="shared" ca="1" si="0"/>
        <v>529</v>
      </c>
      <c r="C41" s="146">
        <f t="shared" ca="1" si="4"/>
        <v>492.2</v>
      </c>
      <c r="D41" s="29"/>
      <c r="E41" s="147">
        <f t="shared" ca="1" si="2"/>
        <v>84.06777345084376</v>
      </c>
      <c r="F41" s="147">
        <f t="shared" ca="1" si="3"/>
        <v>100.04065040650407</v>
      </c>
      <c r="G41" s="148">
        <f t="shared" ca="1" si="5"/>
        <v>492.2</v>
      </c>
    </row>
    <row r="42" spans="1:7" x14ac:dyDescent="0.25">
      <c r="A42" s="29" t="s">
        <v>132</v>
      </c>
      <c r="B42" s="32">
        <f t="shared" ca="1" si="0"/>
        <v>301</v>
      </c>
      <c r="C42" s="146">
        <f t="shared" ca="1" si="4"/>
        <v>280.06086956521739</v>
      </c>
      <c r="D42" s="29"/>
      <c r="E42" s="147">
        <f t="shared" ca="1" si="2"/>
        <v>47.834404175243797</v>
      </c>
      <c r="F42" s="147">
        <f t="shared" ca="1" si="3"/>
        <v>56.922940968540118</v>
      </c>
      <c r="G42" s="148">
        <f t="shared" ca="1" si="5"/>
        <v>280.06086956521739</v>
      </c>
    </row>
    <row r="43" spans="1:7" x14ac:dyDescent="0.25">
      <c r="A43" s="29" t="s">
        <v>133</v>
      </c>
      <c r="B43" s="32">
        <f t="shared" ca="1" si="0"/>
        <v>308</v>
      </c>
      <c r="C43" s="146">
        <f t="shared" ca="1" si="4"/>
        <v>286.57391304347829</v>
      </c>
      <c r="D43" s="29"/>
      <c r="E43" s="147">
        <f t="shared" ca="1" si="2"/>
        <v>48.946832179319237</v>
      </c>
      <c r="F43" s="147">
        <f t="shared" ca="1" si="3"/>
        <v>58.246730293389895</v>
      </c>
      <c r="G43" s="148">
        <f t="shared" ca="1" si="5"/>
        <v>286.57391304347829</v>
      </c>
    </row>
    <row r="44" spans="1:7" x14ac:dyDescent="0.25">
      <c r="A44" s="29" t="s">
        <v>134</v>
      </c>
      <c r="B44" s="32">
        <f t="shared" ca="1" si="0"/>
        <v>335</v>
      </c>
      <c r="C44" s="146">
        <f t="shared" ca="1" si="4"/>
        <v>311.69565217391306</v>
      </c>
      <c r="D44" s="29"/>
      <c r="E44" s="147">
        <f t="shared" ca="1" si="2"/>
        <v>53.2376259093245</v>
      </c>
      <c r="F44" s="147">
        <f t="shared" ca="1" si="3"/>
        <v>63.352774832096152</v>
      </c>
      <c r="G44" s="148">
        <f t="shared" ca="1" si="5"/>
        <v>311.69565217391306</v>
      </c>
    </row>
    <row r="45" spans="1:7" x14ac:dyDescent="0.25">
      <c r="A45" s="29" t="s">
        <v>135</v>
      </c>
      <c r="B45" s="32">
        <f t="shared" ca="1" si="0"/>
        <v>382</v>
      </c>
      <c r="C45" s="146">
        <f t="shared" ca="1" si="4"/>
        <v>355.42608695652171</v>
      </c>
      <c r="D45" s="29"/>
      <c r="E45" s="147">
        <f t="shared" ca="1" si="2"/>
        <v>60.70678536525957</v>
      </c>
      <c r="F45" s="147">
        <f t="shared" ca="1" si="3"/>
        <v>72.24107458465889</v>
      </c>
      <c r="G45" s="148">
        <f t="shared" ca="1" si="5"/>
        <v>355.42608695652171</v>
      </c>
    </row>
    <row r="46" spans="1:7" x14ac:dyDescent="0.25">
      <c r="A46" s="29" t="s">
        <v>136</v>
      </c>
      <c r="B46" s="32">
        <f t="shared" ca="1" si="0"/>
        <v>340</v>
      </c>
      <c r="C46" s="146">
        <f t="shared" ca="1" si="4"/>
        <v>316.3478260869565</v>
      </c>
      <c r="D46" s="29"/>
      <c r="E46" s="147">
        <f t="shared" ca="1" si="2"/>
        <v>54.032217340806952</v>
      </c>
      <c r="F46" s="147">
        <f t="shared" ca="1" si="3"/>
        <v>64.29833863556027</v>
      </c>
      <c r="G46" s="148">
        <f t="shared" ca="1" si="5"/>
        <v>316.3478260869565</v>
      </c>
    </row>
    <row r="47" spans="1:7" x14ac:dyDescent="0.25">
      <c r="A47" s="29" t="s">
        <v>137</v>
      </c>
      <c r="B47" s="32">
        <f t="shared" ca="1" si="0"/>
        <v>301</v>
      </c>
      <c r="C47" s="146">
        <f t="shared" ca="1" si="4"/>
        <v>280.06086956521739</v>
      </c>
      <c r="D47" s="29"/>
      <c r="E47" s="147">
        <f t="shared" ca="1" si="2"/>
        <v>47.834404175243797</v>
      </c>
      <c r="F47" s="147">
        <f t="shared" ca="1" si="3"/>
        <v>56.922940968540118</v>
      </c>
      <c r="G47" s="148">
        <f t="shared" ca="1" si="5"/>
        <v>280.06086956521739</v>
      </c>
    </row>
    <row r="48" spans="1:7" x14ac:dyDescent="0.25">
      <c r="A48" s="29" t="s">
        <v>94</v>
      </c>
      <c r="B48" s="32">
        <f t="shared" ca="1" si="0"/>
        <v>426</v>
      </c>
      <c r="C48" s="146">
        <f t="shared" ca="1" si="4"/>
        <v>396.36521739130433</v>
      </c>
      <c r="D48" s="29"/>
      <c r="E48" s="147">
        <f t="shared" ca="1" si="2"/>
        <v>67.699189962305169</v>
      </c>
      <c r="F48" s="147">
        <f t="shared" ca="1" si="3"/>
        <v>80.562036055143153</v>
      </c>
      <c r="G48" s="148">
        <f t="shared" ca="1" si="5"/>
        <v>396.36521739130433</v>
      </c>
    </row>
    <row r="49" spans="1:7" x14ac:dyDescent="0.25">
      <c r="A49" s="29" t="s">
        <v>138</v>
      </c>
      <c r="B49" s="32">
        <f t="shared" ca="1" si="0"/>
        <v>419</v>
      </c>
      <c r="C49" s="146">
        <f t="shared" ca="1" si="4"/>
        <v>389.85217391304349</v>
      </c>
      <c r="D49" s="29"/>
      <c r="E49" s="147">
        <f t="shared" ca="1" si="2"/>
        <v>66.586761958229744</v>
      </c>
      <c r="F49" s="147">
        <f t="shared" ca="1" si="3"/>
        <v>79.238246730293397</v>
      </c>
      <c r="G49" s="148">
        <f t="shared" ca="1" si="5"/>
        <v>389.85217391304349</v>
      </c>
    </row>
    <row r="50" spans="1:7" x14ac:dyDescent="0.25">
      <c r="A50" s="29" t="s">
        <v>139</v>
      </c>
      <c r="B50" s="32">
        <f t="shared" ca="1" si="0"/>
        <v>516</v>
      </c>
      <c r="C50" s="146">
        <f t="shared" ca="1" si="4"/>
        <v>480.10434782608695</v>
      </c>
      <c r="D50" s="29"/>
      <c r="E50" s="147">
        <f t="shared" ca="1" si="2"/>
        <v>82.001835728989377</v>
      </c>
      <c r="F50" s="147">
        <f t="shared" ca="1" si="3"/>
        <v>97.582184517497353</v>
      </c>
      <c r="G50" s="148">
        <f t="shared" ca="1" si="5"/>
        <v>480.10434782608695</v>
      </c>
    </row>
    <row r="51" spans="1:7" x14ac:dyDescent="0.25">
      <c r="A51" s="29" t="s">
        <v>140</v>
      </c>
      <c r="B51" s="32">
        <f t="shared" ca="1" si="0"/>
        <v>353</v>
      </c>
      <c r="C51" s="146">
        <f t="shared" ca="1" si="4"/>
        <v>328.44347826086954</v>
      </c>
      <c r="D51" s="29"/>
      <c r="E51" s="147">
        <f t="shared" ca="1" si="2"/>
        <v>56.09815506266132</v>
      </c>
      <c r="F51" s="147">
        <f t="shared" ca="1" si="3"/>
        <v>66.756804524566974</v>
      </c>
      <c r="G51" s="148">
        <f t="shared" ca="1" si="5"/>
        <v>328.44347826086954</v>
      </c>
    </row>
    <row r="52" spans="1:7" x14ac:dyDescent="0.25">
      <c r="A52" s="29" t="s">
        <v>141</v>
      </c>
      <c r="B52" s="32">
        <f t="shared" ca="1" si="0"/>
        <v>395</v>
      </c>
      <c r="C52" s="146">
        <f t="shared" ca="1" si="4"/>
        <v>367.52173913043475</v>
      </c>
      <c r="D52" s="29"/>
      <c r="E52" s="147">
        <f t="shared" ca="1" si="2"/>
        <v>62.77272308711396</v>
      </c>
      <c r="F52" s="147">
        <f t="shared" ca="1" si="3"/>
        <v>74.699540473665607</v>
      </c>
      <c r="G52" s="148">
        <f t="shared" ca="1" si="5"/>
        <v>367.52173913043475</v>
      </c>
    </row>
    <row r="53" spans="1:7" x14ac:dyDescent="0.25">
      <c r="A53" s="29" t="s">
        <v>96</v>
      </c>
      <c r="B53" s="32">
        <f t="shared" ca="1" si="0"/>
        <v>221</v>
      </c>
      <c r="C53" s="146">
        <f t="shared" ca="1" si="4"/>
        <v>205.62608695652173</v>
      </c>
      <c r="D53" s="29"/>
      <c r="E53" s="147">
        <f t="shared" ca="1" si="2"/>
        <v>35.120941271524515</v>
      </c>
      <c r="F53" s="147">
        <f t="shared" ca="1" si="3"/>
        <v>41.793920113114176</v>
      </c>
      <c r="G53" s="148">
        <f t="shared" ca="1" si="5"/>
        <v>205.62608695652173</v>
      </c>
    </row>
    <row r="54" spans="1:7" x14ac:dyDescent="0.25">
      <c r="A54" s="29" t="s">
        <v>97</v>
      </c>
      <c r="B54" s="32">
        <f t="shared" ca="1" si="0"/>
        <v>381</v>
      </c>
      <c r="C54" s="146">
        <f t="shared" ca="1" si="4"/>
        <v>354.49565217391307</v>
      </c>
      <c r="D54" s="29"/>
      <c r="E54" s="147">
        <f t="shared" ca="1" si="2"/>
        <v>60.54786707896308</v>
      </c>
      <c r="F54" s="147">
        <f t="shared" ca="1" si="3"/>
        <v>72.051961823966067</v>
      </c>
      <c r="G54" s="148">
        <f t="shared" ca="1" si="5"/>
        <v>354.49565217391307</v>
      </c>
    </row>
    <row r="55" spans="1:7" x14ac:dyDescent="0.25">
      <c r="A55" s="29" t="s">
        <v>142</v>
      </c>
      <c r="B55" s="32">
        <f t="shared" ca="1" si="0"/>
        <v>260</v>
      </c>
      <c r="C55" s="146">
        <f t="shared" ca="1" si="4"/>
        <v>241.91304347826087</v>
      </c>
      <c r="D55" s="29"/>
      <c r="E55" s="147">
        <f t="shared" ca="1" si="2"/>
        <v>41.318754437087669</v>
      </c>
      <c r="F55" s="147">
        <f t="shared" ca="1" si="3"/>
        <v>49.169317780134328</v>
      </c>
      <c r="G55" s="148">
        <f t="shared" ca="1" si="5"/>
        <v>241.91304347826087</v>
      </c>
    </row>
    <row r="56" spans="1:7" x14ac:dyDescent="0.25">
      <c r="A56" s="29" t="s">
        <v>143</v>
      </c>
      <c r="B56" s="32">
        <f t="shared" ca="1" si="0"/>
        <v>286</v>
      </c>
      <c r="C56" s="146">
        <f t="shared" ca="1" si="4"/>
        <v>266.10434782608695</v>
      </c>
      <c r="D56" s="29"/>
      <c r="E56" s="147">
        <f t="shared" ca="1" si="2"/>
        <v>45.450629880796434</v>
      </c>
      <c r="F56" s="147">
        <f t="shared" ca="1" si="3"/>
        <v>54.086249558147756</v>
      </c>
      <c r="G56" s="148">
        <f t="shared" ca="1" si="5"/>
        <v>266.10434782608695</v>
      </c>
    </row>
    <row r="57" spans="1:7" x14ac:dyDescent="0.25">
      <c r="A57" s="29" t="s">
        <v>144</v>
      </c>
      <c r="B57" s="32">
        <f t="shared" ca="1" si="0"/>
        <v>325</v>
      </c>
      <c r="C57" s="146">
        <f t="shared" ca="1" si="4"/>
        <v>302.39130434782606</v>
      </c>
      <c r="D57" s="29"/>
      <c r="E57" s="147">
        <f t="shared" ca="1" si="2"/>
        <v>51.648443046359581</v>
      </c>
      <c r="F57" s="147">
        <f t="shared" ca="1" si="3"/>
        <v>61.461647225167901</v>
      </c>
      <c r="G57" s="148">
        <f t="shared" ca="1" si="5"/>
        <v>302.39130434782606</v>
      </c>
    </row>
    <row r="58" spans="1:7" x14ac:dyDescent="0.25">
      <c r="A58" s="29" t="s">
        <v>145</v>
      </c>
      <c r="B58" s="32">
        <f t="shared" ca="1" si="0"/>
        <v>340</v>
      </c>
      <c r="C58" s="146">
        <f t="shared" ca="1" si="4"/>
        <v>316.3478260869565</v>
      </c>
      <c r="D58" s="29"/>
      <c r="E58" s="147">
        <f t="shared" ca="1" si="2"/>
        <v>54.032217340806952</v>
      </c>
      <c r="F58" s="147">
        <f t="shared" ca="1" si="3"/>
        <v>64.29833863556027</v>
      </c>
      <c r="G58" s="148">
        <f t="shared" ca="1" si="5"/>
        <v>316.3478260869565</v>
      </c>
    </row>
    <row r="59" spans="1:7" x14ac:dyDescent="0.25">
      <c r="A59" s="29" t="s">
        <v>146</v>
      </c>
      <c r="B59" s="32">
        <f t="shared" ca="1" si="0"/>
        <v>500</v>
      </c>
      <c r="C59" s="146">
        <f t="shared" ca="1" si="4"/>
        <v>465.21739130434781</v>
      </c>
      <c r="D59" s="29"/>
      <c r="E59" s="147">
        <f t="shared" ca="1" si="2"/>
        <v>79.459143148245516</v>
      </c>
      <c r="F59" s="147">
        <f t="shared" ca="1" si="3"/>
        <v>94.556380346412155</v>
      </c>
      <c r="G59" s="148">
        <f t="shared" ca="1" si="5"/>
        <v>465.21739130434781</v>
      </c>
    </row>
    <row r="60" spans="1:7" x14ac:dyDescent="0.25">
      <c r="A60" s="29" t="s">
        <v>147</v>
      </c>
      <c r="B60" s="32">
        <f t="shared" ca="1" si="0"/>
        <v>352</v>
      </c>
      <c r="C60" s="146">
        <f t="shared" ca="1" si="4"/>
        <v>327.5130434782609</v>
      </c>
      <c r="D60" s="29"/>
      <c r="E60" s="147">
        <f t="shared" ca="1" si="2"/>
        <v>55.939236776364844</v>
      </c>
      <c r="F60" s="147">
        <f t="shared" ca="1" si="3"/>
        <v>66.567691763874166</v>
      </c>
      <c r="G60" s="148">
        <f t="shared" ca="1" si="5"/>
        <v>327.5130434782609</v>
      </c>
    </row>
    <row r="61" spans="1:7" x14ac:dyDescent="0.25">
      <c r="A61" s="29" t="s">
        <v>148</v>
      </c>
      <c r="B61" s="32">
        <f t="shared" ca="1" si="0"/>
        <v>262</v>
      </c>
      <c r="C61" s="146">
        <f t="shared" ca="1" si="4"/>
        <v>243.77391304347827</v>
      </c>
      <c r="D61" s="29"/>
      <c r="E61" s="147">
        <f t="shared" ca="1" si="2"/>
        <v>41.63659100968065</v>
      </c>
      <c r="F61" s="147">
        <f t="shared" ca="1" si="3"/>
        <v>49.547543301519973</v>
      </c>
      <c r="G61" s="148">
        <f t="shared" ca="1" si="5"/>
        <v>243.77391304347827</v>
      </c>
    </row>
    <row r="62" spans="1:7" x14ac:dyDescent="0.25">
      <c r="A62" s="29" t="s">
        <v>149</v>
      </c>
      <c r="B62" s="32">
        <f t="shared" ca="1" si="0"/>
        <v>348</v>
      </c>
      <c r="C62" s="146">
        <f t="shared" ca="1" si="4"/>
        <v>323.7913043478261</v>
      </c>
      <c r="D62" s="29"/>
      <c r="E62" s="147">
        <f t="shared" ca="1" si="2"/>
        <v>55.303563631178875</v>
      </c>
      <c r="F62" s="147">
        <f t="shared" ca="1" si="3"/>
        <v>65.811240721102862</v>
      </c>
      <c r="G62" s="148">
        <f t="shared" ca="1" si="5"/>
        <v>323.7913043478261</v>
      </c>
    </row>
    <row r="63" spans="1:7" x14ac:dyDescent="0.25">
      <c r="A63" s="29" t="s">
        <v>98</v>
      </c>
      <c r="B63" s="32">
        <f t="shared" ca="1" si="0"/>
        <v>339</v>
      </c>
      <c r="C63" s="146">
        <f t="shared" ca="1" si="4"/>
        <v>315.4173913043478</v>
      </c>
      <c r="D63" s="29"/>
      <c r="E63" s="147">
        <f t="shared" ca="1" si="2"/>
        <v>53.873299054510447</v>
      </c>
      <c r="F63" s="147">
        <f t="shared" ca="1" si="3"/>
        <v>64.109225874867434</v>
      </c>
      <c r="G63" s="148">
        <f t="shared" ca="1" si="5"/>
        <v>315.4173913043478</v>
      </c>
    </row>
    <row r="64" spans="1:7" x14ac:dyDescent="0.25">
      <c r="A64" s="29" t="s">
        <v>150</v>
      </c>
      <c r="B64" s="32">
        <f t="shared" ca="1" si="0"/>
        <v>293</v>
      </c>
      <c r="C64" s="146">
        <f t="shared" ca="1" si="4"/>
        <v>272.61739130434785</v>
      </c>
      <c r="D64" s="29"/>
      <c r="E64" s="147">
        <f t="shared" ca="1" si="2"/>
        <v>46.563057884871881</v>
      </c>
      <c r="F64" s="147">
        <f t="shared" ca="1" si="3"/>
        <v>55.410038882997533</v>
      </c>
      <c r="G64" s="148">
        <f t="shared" ca="1" si="5"/>
        <v>272.61739130434785</v>
      </c>
    </row>
    <row r="65" spans="1:7" x14ac:dyDescent="0.25">
      <c r="A65" s="29" t="s">
        <v>151</v>
      </c>
      <c r="B65" s="32">
        <f t="shared" ref="B65:B116" ca="1" si="6">VLOOKUP($A65,TermekKod_data,9,0)</f>
        <v>431</v>
      </c>
      <c r="C65" s="146">
        <f t="shared" ca="1" si="4"/>
        <v>401.01739130434783</v>
      </c>
      <c r="D65" s="29"/>
      <c r="E65" s="147">
        <f t="shared" ca="1" si="2"/>
        <v>68.493781393787629</v>
      </c>
      <c r="F65" s="147">
        <f t="shared" ca="1" si="3"/>
        <v>81.507599858607279</v>
      </c>
      <c r="G65" s="148">
        <f t="shared" ca="1" si="5"/>
        <v>401.01739130434783</v>
      </c>
    </row>
    <row r="66" spans="1:7" x14ac:dyDescent="0.25">
      <c r="A66" s="29" t="s">
        <v>99</v>
      </c>
      <c r="B66" s="32">
        <f t="shared" ca="1" si="6"/>
        <v>514</v>
      </c>
      <c r="C66" s="146">
        <f t="shared" ref="C66:C123" ca="1" si="7">SUM(B66-(B66*8/115))</f>
        <v>478.24347826086955</v>
      </c>
      <c r="D66" s="29"/>
      <c r="E66" s="147">
        <f t="shared" ref="E66:E123" ca="1" si="8">SUM(F66-(F66*19/119))</f>
        <v>81.683999156396382</v>
      </c>
      <c r="F66" s="147">
        <f t="shared" ref="F66:F123" ca="1" si="9">SUM(C66/4.92)</f>
        <v>97.203958996111695</v>
      </c>
      <c r="G66" s="148">
        <f t="shared" ref="G66:G123" ca="1" si="10">SUM(C66)</f>
        <v>478.24347826086955</v>
      </c>
    </row>
    <row r="67" spans="1:7" x14ac:dyDescent="0.25">
      <c r="A67" s="29" t="s">
        <v>100</v>
      </c>
      <c r="B67" s="32">
        <f t="shared" ca="1" si="6"/>
        <v>354</v>
      </c>
      <c r="C67" s="146">
        <f t="shared" ca="1" si="7"/>
        <v>329.37391304347824</v>
      </c>
      <c r="D67" s="29"/>
      <c r="E67" s="147">
        <f t="shared" ca="1" si="8"/>
        <v>56.257073348957825</v>
      </c>
      <c r="F67" s="147">
        <f t="shared" ca="1" si="9"/>
        <v>66.94591728525981</v>
      </c>
      <c r="G67" s="148">
        <f t="shared" ca="1" si="10"/>
        <v>329.37391304347824</v>
      </c>
    </row>
    <row r="68" spans="1:7" x14ac:dyDescent="0.25">
      <c r="A68" s="29" t="s">
        <v>101</v>
      </c>
      <c r="B68" s="32">
        <f t="shared" ca="1" si="6"/>
        <v>454</v>
      </c>
      <c r="C68" s="146">
        <f t="shared" ca="1" si="7"/>
        <v>422.4173913043478</v>
      </c>
      <c r="D68" s="29"/>
      <c r="E68" s="147">
        <f t="shared" ca="1" si="8"/>
        <v>72.148901978606915</v>
      </c>
      <c r="F68" s="147">
        <f t="shared" ca="1" si="9"/>
        <v>85.857193354542233</v>
      </c>
      <c r="G68" s="148">
        <f t="shared" ca="1" si="10"/>
        <v>422.4173913043478</v>
      </c>
    </row>
    <row r="69" spans="1:7" x14ac:dyDescent="0.25">
      <c r="A69" s="29" t="s">
        <v>152</v>
      </c>
      <c r="B69" s="32">
        <f t="shared" ca="1" si="6"/>
        <v>419</v>
      </c>
      <c r="C69" s="146">
        <f t="shared" ca="1" si="7"/>
        <v>389.85217391304349</v>
      </c>
      <c r="D69" s="29"/>
      <c r="E69" s="147">
        <f t="shared" ca="1" si="8"/>
        <v>66.586761958229744</v>
      </c>
      <c r="F69" s="147">
        <f t="shared" ca="1" si="9"/>
        <v>79.238246730293397</v>
      </c>
      <c r="G69" s="148">
        <f t="shared" ca="1" si="10"/>
        <v>389.85217391304349</v>
      </c>
    </row>
    <row r="70" spans="1:7" x14ac:dyDescent="0.25">
      <c r="A70" s="29" t="s">
        <v>153</v>
      </c>
      <c r="B70" s="32">
        <f t="shared" ca="1" si="6"/>
        <v>419</v>
      </c>
      <c r="C70" s="146">
        <f t="shared" ca="1" si="7"/>
        <v>389.85217391304349</v>
      </c>
      <c r="D70" s="29"/>
      <c r="E70" s="147">
        <f t="shared" ca="1" si="8"/>
        <v>66.586761958229744</v>
      </c>
      <c r="F70" s="147">
        <f t="shared" ca="1" si="9"/>
        <v>79.238246730293397</v>
      </c>
      <c r="G70" s="148">
        <f t="shared" ca="1" si="10"/>
        <v>389.85217391304349</v>
      </c>
    </row>
    <row r="71" spans="1:7" x14ac:dyDescent="0.25">
      <c r="A71" s="29" t="s">
        <v>154</v>
      </c>
      <c r="B71" s="32">
        <f t="shared" ca="1" si="6"/>
        <v>293</v>
      </c>
      <c r="C71" s="146">
        <f t="shared" ca="1" si="7"/>
        <v>272.61739130434785</v>
      </c>
      <c r="D71" s="29"/>
      <c r="E71" s="147">
        <f t="shared" ca="1" si="8"/>
        <v>46.563057884871881</v>
      </c>
      <c r="F71" s="147">
        <f t="shared" ca="1" si="9"/>
        <v>55.410038882997533</v>
      </c>
      <c r="G71" s="148">
        <f t="shared" ca="1" si="10"/>
        <v>272.61739130434785</v>
      </c>
    </row>
    <row r="72" spans="1:7" x14ac:dyDescent="0.25">
      <c r="A72" s="29" t="s">
        <v>156</v>
      </c>
      <c r="B72" s="32">
        <f t="shared" ca="1" si="6"/>
        <v>434</v>
      </c>
      <c r="C72" s="146">
        <f t="shared" ca="1" si="7"/>
        <v>403.80869565217392</v>
      </c>
      <c r="D72" s="29"/>
      <c r="E72" s="147">
        <f t="shared" ca="1" si="8"/>
        <v>68.970536252677107</v>
      </c>
      <c r="F72" s="147">
        <f t="shared" ca="1" si="9"/>
        <v>82.074938140685759</v>
      </c>
      <c r="G72" s="148">
        <f t="shared" ca="1" si="10"/>
        <v>403.80869565217392</v>
      </c>
    </row>
    <row r="73" spans="1:7" x14ac:dyDescent="0.25">
      <c r="A73" s="29" t="s">
        <v>157</v>
      </c>
      <c r="B73" s="32">
        <f t="shared" ca="1" si="6"/>
        <v>438</v>
      </c>
      <c r="C73" s="146">
        <f t="shared" ca="1" si="7"/>
        <v>407.53043478260872</v>
      </c>
      <c r="D73" s="29"/>
      <c r="E73" s="147">
        <f t="shared" ca="1" si="8"/>
        <v>69.606209397863083</v>
      </c>
      <c r="F73" s="147">
        <f t="shared" ca="1" si="9"/>
        <v>82.831389183457063</v>
      </c>
      <c r="G73" s="148">
        <f t="shared" ca="1" si="10"/>
        <v>407.53043478260872</v>
      </c>
    </row>
    <row r="74" spans="1:7" x14ac:dyDescent="0.25">
      <c r="A74" s="29" t="s">
        <v>158</v>
      </c>
      <c r="B74" s="32">
        <f t="shared" ca="1" si="6"/>
        <v>286</v>
      </c>
      <c r="C74" s="146">
        <f t="shared" ca="1" si="7"/>
        <v>266.10434782608695</v>
      </c>
      <c r="D74" s="29"/>
      <c r="E74" s="147">
        <f t="shared" ca="1" si="8"/>
        <v>45.450629880796434</v>
      </c>
      <c r="F74" s="147">
        <f t="shared" ca="1" si="9"/>
        <v>54.086249558147756</v>
      </c>
      <c r="G74" s="148">
        <f t="shared" ca="1" si="10"/>
        <v>266.10434782608695</v>
      </c>
    </row>
    <row r="75" spans="1:7" x14ac:dyDescent="0.25">
      <c r="A75" s="29" t="s">
        <v>159</v>
      </c>
      <c r="B75" s="32">
        <f t="shared" ca="1" si="6"/>
        <v>458</v>
      </c>
      <c r="C75" s="146">
        <f t="shared" ca="1" si="7"/>
        <v>426.1391304347826</v>
      </c>
      <c r="D75" s="29"/>
      <c r="E75" s="147">
        <f t="shared" ca="1" si="8"/>
        <v>72.784575123792891</v>
      </c>
      <c r="F75" s="147">
        <f t="shared" ca="1" si="9"/>
        <v>86.613644397313536</v>
      </c>
      <c r="G75" s="148">
        <f t="shared" ca="1" si="10"/>
        <v>426.1391304347826</v>
      </c>
    </row>
    <row r="76" spans="1:7" x14ac:dyDescent="0.25">
      <c r="A76" s="29" t="s">
        <v>163</v>
      </c>
      <c r="B76" s="32">
        <f t="shared" ca="1" si="6"/>
        <v>417</v>
      </c>
      <c r="C76" s="146">
        <f t="shared" ca="1" si="7"/>
        <v>387.99130434782609</v>
      </c>
      <c r="D76" s="29"/>
      <c r="E76" s="147">
        <f t="shared" ca="1" si="8"/>
        <v>66.268925385636749</v>
      </c>
      <c r="F76" s="147">
        <f t="shared" ca="1" si="9"/>
        <v>78.860021208907739</v>
      </c>
      <c r="G76" s="148">
        <f t="shared" ca="1" si="10"/>
        <v>387.99130434782609</v>
      </c>
    </row>
    <row r="77" spans="1:7" x14ac:dyDescent="0.25">
      <c r="A77" s="29" t="s">
        <v>164</v>
      </c>
      <c r="B77" s="32">
        <f t="shared" ca="1" si="6"/>
        <v>434</v>
      </c>
      <c r="C77" s="146">
        <f t="shared" ca="1" si="7"/>
        <v>403.80869565217392</v>
      </c>
      <c r="D77" s="29"/>
      <c r="E77" s="147">
        <f t="shared" ca="1" si="8"/>
        <v>68.970536252677107</v>
      </c>
      <c r="F77" s="147">
        <f t="shared" ca="1" si="9"/>
        <v>82.074938140685759</v>
      </c>
      <c r="G77" s="148">
        <f t="shared" ca="1" si="10"/>
        <v>403.80869565217392</v>
      </c>
    </row>
    <row r="78" spans="1:7" x14ac:dyDescent="0.25">
      <c r="A78" s="29" t="s">
        <v>165</v>
      </c>
      <c r="B78" s="32">
        <f t="shared" ca="1" si="6"/>
        <v>351</v>
      </c>
      <c r="C78" s="146">
        <f t="shared" ca="1" si="7"/>
        <v>326.5826086956522</v>
      </c>
      <c r="D78" s="29"/>
      <c r="E78" s="147">
        <f t="shared" ca="1" si="8"/>
        <v>55.780318490068353</v>
      </c>
      <c r="F78" s="147">
        <f t="shared" ca="1" si="9"/>
        <v>66.378579003181343</v>
      </c>
      <c r="G78" s="148">
        <f t="shared" ca="1" si="10"/>
        <v>326.5826086956522</v>
      </c>
    </row>
    <row r="79" spans="1:7" x14ac:dyDescent="0.25">
      <c r="A79" s="29" t="s">
        <v>166</v>
      </c>
      <c r="B79" s="32">
        <f t="shared" ca="1" si="6"/>
        <v>425</v>
      </c>
      <c r="C79" s="146">
        <f t="shared" ca="1" si="7"/>
        <v>395.43478260869563</v>
      </c>
      <c r="D79" s="29"/>
      <c r="E79" s="147">
        <f t="shared" ca="1" si="8"/>
        <v>67.540271676008686</v>
      </c>
      <c r="F79" s="147">
        <f t="shared" ca="1" si="9"/>
        <v>80.372923294450331</v>
      </c>
      <c r="G79" s="148">
        <f t="shared" ca="1" si="10"/>
        <v>395.43478260869563</v>
      </c>
    </row>
    <row r="80" spans="1:7" x14ac:dyDescent="0.25">
      <c r="A80" s="29" t="s">
        <v>167</v>
      </c>
      <c r="B80" s="32">
        <f t="shared" ca="1" si="6"/>
        <v>392</v>
      </c>
      <c r="C80" s="146">
        <f t="shared" ca="1" si="7"/>
        <v>364.73043478260871</v>
      </c>
      <c r="D80" s="29"/>
      <c r="E80" s="147">
        <f t="shared" ca="1" si="8"/>
        <v>62.295968228224488</v>
      </c>
      <c r="F80" s="147">
        <f t="shared" ca="1" si="9"/>
        <v>74.13220219158714</v>
      </c>
      <c r="G80" s="148">
        <f t="shared" ca="1" si="10"/>
        <v>364.73043478260871</v>
      </c>
    </row>
    <row r="81" spans="1:7" x14ac:dyDescent="0.25">
      <c r="A81" s="29" t="s">
        <v>170</v>
      </c>
      <c r="B81" s="32">
        <f t="shared" ca="1" si="6"/>
        <v>370</v>
      </c>
      <c r="C81" s="146">
        <f t="shared" ca="1" si="7"/>
        <v>344.26086956521738</v>
      </c>
      <c r="D81" s="29"/>
      <c r="E81" s="147">
        <f t="shared" ca="1" si="8"/>
        <v>58.799765929701678</v>
      </c>
      <c r="F81" s="147">
        <f t="shared" ca="1" si="9"/>
        <v>69.971721456344994</v>
      </c>
      <c r="G81" s="148">
        <f t="shared" ca="1" si="10"/>
        <v>344.26086956521738</v>
      </c>
    </row>
    <row r="82" spans="1:7" x14ac:dyDescent="0.25">
      <c r="A82" s="29" t="s">
        <v>169</v>
      </c>
      <c r="B82" s="32">
        <f t="shared" ca="1" si="6"/>
        <v>368</v>
      </c>
      <c r="C82" s="146">
        <f t="shared" ca="1" si="7"/>
        <v>342.4</v>
      </c>
      <c r="D82" s="29"/>
      <c r="E82" s="147">
        <f t="shared" ca="1" si="8"/>
        <v>58.481929357108697</v>
      </c>
      <c r="F82" s="147">
        <f t="shared" ca="1" si="9"/>
        <v>69.59349593495935</v>
      </c>
      <c r="G82" s="148">
        <f t="shared" ca="1" si="10"/>
        <v>342.4</v>
      </c>
    </row>
    <row r="83" spans="1:7" x14ac:dyDescent="0.25">
      <c r="A83" s="29" t="s">
        <v>168</v>
      </c>
      <c r="B83" s="32">
        <f t="shared" ca="1" si="6"/>
        <v>412</v>
      </c>
      <c r="C83" s="146">
        <f t="shared" ca="1" si="7"/>
        <v>383.33913043478259</v>
      </c>
      <c r="D83" s="29"/>
      <c r="E83" s="147">
        <f t="shared" ca="1" si="8"/>
        <v>65.474333954154304</v>
      </c>
      <c r="F83" s="147">
        <f t="shared" ca="1" si="9"/>
        <v>77.914457405443613</v>
      </c>
      <c r="G83" s="148">
        <f t="shared" ca="1" si="10"/>
        <v>383.33913043478259</v>
      </c>
    </row>
    <row r="84" spans="1:7" x14ac:dyDescent="0.25">
      <c r="A84" s="29" t="s">
        <v>171</v>
      </c>
      <c r="B84" s="32">
        <f t="shared" ca="1" si="6"/>
        <v>397</v>
      </c>
      <c r="C84" s="146">
        <f t="shared" ca="1" si="7"/>
        <v>369.38260869565215</v>
      </c>
      <c r="D84" s="29"/>
      <c r="E84" s="147">
        <f t="shared" ca="1" si="8"/>
        <v>63.090559659706933</v>
      </c>
      <c r="F84" s="147">
        <f t="shared" ca="1" si="9"/>
        <v>75.077765995051251</v>
      </c>
      <c r="G84" s="148">
        <f t="shared" ca="1" si="10"/>
        <v>369.38260869565215</v>
      </c>
    </row>
    <row r="85" spans="1:7" x14ac:dyDescent="0.25">
      <c r="A85" s="29" t="s">
        <v>172</v>
      </c>
      <c r="B85" s="32">
        <f t="shared" ca="1" si="6"/>
        <v>272</v>
      </c>
      <c r="C85" s="146">
        <f t="shared" ca="1" si="7"/>
        <v>253.07826086956521</v>
      </c>
      <c r="D85" s="29"/>
      <c r="E85" s="147">
        <f t="shared" ca="1" si="8"/>
        <v>43.225773872645561</v>
      </c>
      <c r="F85" s="147">
        <f t="shared" ca="1" si="9"/>
        <v>51.438670908448216</v>
      </c>
      <c r="G85" s="148">
        <f t="shared" ca="1" si="10"/>
        <v>253.07826086956521</v>
      </c>
    </row>
    <row r="86" spans="1:7" x14ac:dyDescent="0.25">
      <c r="A86" s="29" t="s">
        <v>173</v>
      </c>
      <c r="B86" s="32">
        <f t="shared" ca="1" si="6"/>
        <v>458</v>
      </c>
      <c r="C86" s="146">
        <f t="shared" ca="1" si="7"/>
        <v>426.1391304347826</v>
      </c>
      <c r="D86" s="29"/>
      <c r="E86" s="147">
        <f t="shared" ca="1" si="8"/>
        <v>72.784575123792891</v>
      </c>
      <c r="F86" s="147">
        <f t="shared" ca="1" si="9"/>
        <v>86.613644397313536</v>
      </c>
      <c r="G86" s="148">
        <f t="shared" ca="1" si="10"/>
        <v>426.1391304347826</v>
      </c>
    </row>
    <row r="87" spans="1:7" x14ac:dyDescent="0.25">
      <c r="A87" s="29" t="s">
        <v>174</v>
      </c>
      <c r="B87" s="32">
        <f t="shared" ca="1" si="6"/>
        <v>484</v>
      </c>
      <c r="C87" s="146">
        <f t="shared" ca="1" si="7"/>
        <v>450.33043478260868</v>
      </c>
      <c r="D87" s="29"/>
      <c r="E87" s="147">
        <f t="shared" ca="1" si="8"/>
        <v>76.916450567501656</v>
      </c>
      <c r="F87" s="147">
        <f t="shared" ca="1" si="9"/>
        <v>91.530576175326971</v>
      </c>
      <c r="G87" s="148">
        <f t="shared" ca="1" si="10"/>
        <v>450.33043478260868</v>
      </c>
    </row>
    <row r="88" spans="1:7" x14ac:dyDescent="0.25">
      <c r="A88" s="29" t="s">
        <v>175</v>
      </c>
      <c r="B88" s="32">
        <f t="shared" ca="1" si="6"/>
        <v>309</v>
      </c>
      <c r="C88" s="146">
        <f t="shared" ca="1" si="7"/>
        <v>287.50434782608693</v>
      </c>
      <c r="D88" s="29"/>
      <c r="E88" s="147">
        <f t="shared" ca="1" si="8"/>
        <v>49.105750465615721</v>
      </c>
      <c r="F88" s="147">
        <f t="shared" ca="1" si="9"/>
        <v>58.43584305408271</v>
      </c>
      <c r="G88" s="148">
        <f t="shared" ca="1" si="10"/>
        <v>287.50434782608693</v>
      </c>
    </row>
    <row r="89" spans="1:7" x14ac:dyDescent="0.25">
      <c r="A89" s="29" t="s">
        <v>176</v>
      </c>
      <c r="B89" s="32">
        <f t="shared" ca="1" si="6"/>
        <v>329</v>
      </c>
      <c r="C89" s="146">
        <f t="shared" ca="1" si="7"/>
        <v>306.11304347826086</v>
      </c>
      <c r="D89" s="29"/>
      <c r="E89" s="147">
        <f t="shared" ca="1" si="8"/>
        <v>52.284116191545543</v>
      </c>
      <c r="F89" s="147">
        <f t="shared" ca="1" si="9"/>
        <v>62.218098267939197</v>
      </c>
      <c r="G89" s="148">
        <f t="shared" ca="1" si="10"/>
        <v>306.11304347826086</v>
      </c>
    </row>
    <row r="90" spans="1:7" x14ac:dyDescent="0.25">
      <c r="A90" s="29" t="s">
        <v>177</v>
      </c>
      <c r="B90" s="32">
        <f t="shared" ca="1" si="6"/>
        <v>558</v>
      </c>
      <c r="C90" s="146">
        <f t="shared" ca="1" si="7"/>
        <v>519.18260869565222</v>
      </c>
      <c r="D90" s="29"/>
      <c r="E90" s="147">
        <f t="shared" ca="1" si="8"/>
        <v>88.676403753442003</v>
      </c>
      <c r="F90" s="147">
        <f t="shared" ca="1" si="9"/>
        <v>105.52492046659599</v>
      </c>
      <c r="G90" s="148">
        <f t="shared" ca="1" si="10"/>
        <v>519.18260869565222</v>
      </c>
    </row>
    <row r="91" spans="1:7" x14ac:dyDescent="0.25">
      <c r="A91" s="29" t="s">
        <v>178</v>
      </c>
      <c r="B91" s="32">
        <f t="shared" ca="1" si="6"/>
        <v>473</v>
      </c>
      <c r="C91" s="146">
        <f t="shared" ca="1" si="7"/>
        <v>440.09565217391304</v>
      </c>
      <c r="D91" s="29"/>
      <c r="E91" s="147">
        <f t="shared" ca="1" si="8"/>
        <v>75.168349418240254</v>
      </c>
      <c r="F91" s="147">
        <f t="shared" ca="1" si="9"/>
        <v>89.450335807705898</v>
      </c>
      <c r="G91" s="148">
        <f t="shared" ca="1" si="10"/>
        <v>440.09565217391304</v>
      </c>
    </row>
    <row r="92" spans="1:7" x14ac:dyDescent="0.25">
      <c r="A92" s="29" t="s">
        <v>179</v>
      </c>
      <c r="B92" s="32">
        <f t="shared" ca="1" si="6"/>
        <v>348</v>
      </c>
      <c r="C92" s="146">
        <f t="shared" ca="1" si="7"/>
        <v>323.7913043478261</v>
      </c>
      <c r="D92" s="29"/>
      <c r="E92" s="147">
        <f t="shared" ca="1" si="8"/>
        <v>55.303563631178875</v>
      </c>
      <c r="F92" s="147">
        <f t="shared" ca="1" si="9"/>
        <v>65.811240721102862</v>
      </c>
      <c r="G92" s="148">
        <f t="shared" ca="1" si="10"/>
        <v>323.7913043478261</v>
      </c>
    </row>
    <row r="93" spans="1:7" x14ac:dyDescent="0.25">
      <c r="A93" s="29" t="s">
        <v>180</v>
      </c>
      <c r="B93" s="32">
        <f t="shared" ca="1" si="6"/>
        <v>340</v>
      </c>
      <c r="C93" s="146">
        <f t="shared" ca="1" si="7"/>
        <v>316.3478260869565</v>
      </c>
      <c r="D93" s="29"/>
      <c r="E93" s="147">
        <f t="shared" ca="1" si="8"/>
        <v>54.032217340806952</v>
      </c>
      <c r="F93" s="147">
        <f t="shared" ca="1" si="9"/>
        <v>64.29833863556027</v>
      </c>
      <c r="G93" s="148">
        <f t="shared" ca="1" si="10"/>
        <v>316.3478260869565</v>
      </c>
    </row>
    <row r="94" spans="1:7" x14ac:dyDescent="0.25">
      <c r="A94" s="29" t="s">
        <v>181</v>
      </c>
      <c r="B94" s="32">
        <f t="shared" ca="1" si="6"/>
        <v>434</v>
      </c>
      <c r="C94" s="146">
        <f t="shared" ca="1" si="7"/>
        <v>403.80869565217392</v>
      </c>
      <c r="D94" s="29"/>
      <c r="E94" s="147">
        <f t="shared" ca="1" si="8"/>
        <v>68.970536252677107</v>
      </c>
      <c r="F94" s="147">
        <f t="shared" ca="1" si="9"/>
        <v>82.074938140685759</v>
      </c>
      <c r="G94" s="148">
        <f t="shared" ca="1" si="10"/>
        <v>403.80869565217392</v>
      </c>
    </row>
    <row r="95" spans="1:7" x14ac:dyDescent="0.25">
      <c r="A95" s="29" t="s">
        <v>182</v>
      </c>
      <c r="B95" s="32">
        <f t="shared" ca="1" si="6"/>
        <v>441</v>
      </c>
      <c r="C95" s="146">
        <f t="shared" ca="1" si="7"/>
        <v>410.32173913043476</v>
      </c>
      <c r="D95" s="29"/>
      <c r="E95" s="147">
        <f t="shared" ca="1" si="8"/>
        <v>70.082964256752547</v>
      </c>
      <c r="F95" s="147">
        <f t="shared" ca="1" si="9"/>
        <v>83.398727465535529</v>
      </c>
      <c r="G95" s="148">
        <f t="shared" ca="1" si="10"/>
        <v>410.32173913043476</v>
      </c>
    </row>
    <row r="96" spans="1:7" x14ac:dyDescent="0.25">
      <c r="A96" s="29" t="s">
        <v>183</v>
      </c>
      <c r="B96" s="32">
        <f t="shared" ca="1" si="6"/>
        <v>390</v>
      </c>
      <c r="C96" s="146">
        <f t="shared" ca="1" si="7"/>
        <v>362.86956521739131</v>
      </c>
      <c r="D96" s="29"/>
      <c r="E96" s="147">
        <f t="shared" ca="1" si="8"/>
        <v>61.978131655631501</v>
      </c>
      <c r="F96" s="147">
        <f t="shared" ca="1" si="9"/>
        <v>73.753976670201482</v>
      </c>
      <c r="G96" s="148">
        <f t="shared" ca="1" si="10"/>
        <v>362.86956521739131</v>
      </c>
    </row>
    <row r="97" spans="1:7" x14ac:dyDescent="0.25">
      <c r="A97" s="29" t="s">
        <v>184</v>
      </c>
      <c r="B97" s="32">
        <f t="shared" ca="1" si="6"/>
        <v>321</v>
      </c>
      <c r="C97" s="146">
        <f t="shared" ca="1" si="7"/>
        <v>298.66956521739132</v>
      </c>
      <c r="D97" s="29"/>
      <c r="E97" s="147">
        <f t="shared" ca="1" si="8"/>
        <v>51.012769901173627</v>
      </c>
      <c r="F97" s="147">
        <f t="shared" ca="1" si="9"/>
        <v>60.705196182396612</v>
      </c>
      <c r="G97" s="148">
        <f t="shared" ca="1" si="10"/>
        <v>298.66956521739132</v>
      </c>
    </row>
    <row r="98" spans="1:7" x14ac:dyDescent="0.25">
      <c r="A98" s="29" t="s">
        <v>185</v>
      </c>
      <c r="B98" s="32">
        <f t="shared" ca="1" si="6"/>
        <v>340</v>
      </c>
      <c r="C98" s="146">
        <f t="shared" ca="1" si="7"/>
        <v>316.3478260869565</v>
      </c>
      <c r="D98" s="29"/>
      <c r="E98" s="147">
        <f t="shared" ca="1" si="8"/>
        <v>54.032217340806952</v>
      </c>
      <c r="F98" s="147">
        <f t="shared" ca="1" si="9"/>
        <v>64.29833863556027</v>
      </c>
      <c r="G98" s="148">
        <f t="shared" ca="1" si="10"/>
        <v>316.3478260869565</v>
      </c>
    </row>
    <row r="99" spans="1:7" x14ac:dyDescent="0.25">
      <c r="A99" s="29" t="s">
        <v>186</v>
      </c>
      <c r="B99" s="32">
        <f t="shared" ca="1" si="6"/>
        <v>441</v>
      </c>
      <c r="C99" s="146">
        <f t="shared" ca="1" si="7"/>
        <v>410.32173913043476</v>
      </c>
      <c r="D99" s="29"/>
      <c r="E99" s="147">
        <f t="shared" ca="1" si="8"/>
        <v>70.082964256752547</v>
      </c>
      <c r="F99" s="147">
        <f t="shared" ca="1" si="9"/>
        <v>83.398727465535529</v>
      </c>
      <c r="G99" s="148">
        <f t="shared" ca="1" si="10"/>
        <v>410.32173913043476</v>
      </c>
    </row>
    <row r="100" spans="1:7" x14ac:dyDescent="0.25">
      <c r="A100" s="29" t="s">
        <v>187</v>
      </c>
      <c r="B100" s="32">
        <f t="shared" ca="1" si="6"/>
        <v>389</v>
      </c>
      <c r="C100" s="146">
        <f t="shared" ca="1" si="7"/>
        <v>361.93913043478261</v>
      </c>
      <c r="D100" s="29"/>
      <c r="E100" s="147">
        <f t="shared" ca="1" si="8"/>
        <v>61.81921336933501</v>
      </c>
      <c r="F100" s="147">
        <f t="shared" ca="1" si="9"/>
        <v>73.564863909508659</v>
      </c>
      <c r="G100" s="148">
        <f t="shared" ca="1" si="10"/>
        <v>361.93913043478261</v>
      </c>
    </row>
    <row r="101" spans="1:7" x14ac:dyDescent="0.25">
      <c r="A101" s="29" t="s">
        <v>188</v>
      </c>
      <c r="B101" s="32">
        <f t="shared" ca="1" si="6"/>
        <v>351</v>
      </c>
      <c r="C101" s="146">
        <f t="shared" ca="1" si="7"/>
        <v>326.5826086956522</v>
      </c>
      <c r="D101" s="29"/>
      <c r="E101" s="147">
        <f t="shared" ca="1" si="8"/>
        <v>55.780318490068353</v>
      </c>
      <c r="F101" s="147">
        <f t="shared" ca="1" si="9"/>
        <v>66.378579003181343</v>
      </c>
      <c r="G101" s="148">
        <f t="shared" ca="1" si="10"/>
        <v>326.5826086956522</v>
      </c>
    </row>
    <row r="102" spans="1:7" x14ac:dyDescent="0.25">
      <c r="A102" s="29" t="s">
        <v>189</v>
      </c>
      <c r="B102" s="32">
        <f t="shared" ca="1" si="6"/>
        <v>301</v>
      </c>
      <c r="C102" s="146">
        <f t="shared" ca="1" si="7"/>
        <v>280.06086956521739</v>
      </c>
      <c r="D102" s="29"/>
      <c r="E102" s="147">
        <f t="shared" ca="1" si="8"/>
        <v>47.834404175243797</v>
      </c>
      <c r="F102" s="147">
        <f t="shared" ca="1" si="9"/>
        <v>56.922940968540118</v>
      </c>
      <c r="G102" s="148">
        <f t="shared" ca="1" si="10"/>
        <v>280.06086956521739</v>
      </c>
    </row>
    <row r="103" spans="1:7" x14ac:dyDescent="0.25">
      <c r="A103" s="29" t="s">
        <v>190</v>
      </c>
      <c r="B103" s="32">
        <f t="shared" ca="1" si="6"/>
        <v>253</v>
      </c>
      <c r="C103" s="146">
        <f t="shared" ca="1" si="7"/>
        <v>235.4</v>
      </c>
      <c r="D103" s="29"/>
      <c r="E103" s="147">
        <f t="shared" ca="1" si="8"/>
        <v>40.206326433012229</v>
      </c>
      <c r="F103" s="147">
        <f t="shared" ca="1" si="9"/>
        <v>47.845528455284551</v>
      </c>
      <c r="G103" s="148">
        <f t="shared" ca="1" si="10"/>
        <v>235.4</v>
      </c>
    </row>
    <row r="104" spans="1:7" x14ac:dyDescent="0.25">
      <c r="A104" s="29" t="s">
        <v>191</v>
      </c>
      <c r="B104" s="32">
        <f t="shared" ca="1" si="6"/>
        <v>425</v>
      </c>
      <c r="C104" s="146">
        <f t="shared" ca="1" si="7"/>
        <v>395.43478260869563</v>
      </c>
      <c r="D104" s="29"/>
      <c r="E104" s="147">
        <f t="shared" ca="1" si="8"/>
        <v>67.540271676008686</v>
      </c>
      <c r="F104" s="147">
        <f t="shared" ca="1" si="9"/>
        <v>80.372923294450331</v>
      </c>
      <c r="G104" s="148">
        <f t="shared" ca="1" si="10"/>
        <v>395.43478260869563</v>
      </c>
    </row>
    <row r="105" spans="1:7" x14ac:dyDescent="0.25">
      <c r="A105" s="29" t="s">
        <v>192</v>
      </c>
      <c r="B105" s="32">
        <f t="shared" ca="1" si="6"/>
        <v>244</v>
      </c>
      <c r="C105" s="146">
        <f t="shared" ca="1" si="7"/>
        <v>227.02608695652174</v>
      </c>
      <c r="D105" s="29"/>
      <c r="E105" s="147">
        <f t="shared" ca="1" si="8"/>
        <v>38.776061856343816</v>
      </c>
      <c r="F105" s="147">
        <f t="shared" ca="1" si="9"/>
        <v>46.143513609049137</v>
      </c>
      <c r="G105" s="148">
        <f t="shared" ca="1" si="10"/>
        <v>227.02608695652174</v>
      </c>
    </row>
    <row r="106" spans="1:7" x14ac:dyDescent="0.25">
      <c r="A106" s="29" t="s">
        <v>195</v>
      </c>
      <c r="B106" s="32">
        <f t="shared" ca="1" si="6"/>
        <v>318</v>
      </c>
      <c r="C106" s="146">
        <f t="shared" ca="1" si="7"/>
        <v>295.87826086956522</v>
      </c>
      <c r="D106" s="29"/>
      <c r="E106" s="147">
        <f t="shared" ca="1" si="8"/>
        <v>50.536015042284149</v>
      </c>
      <c r="F106" s="147">
        <f t="shared" ca="1" si="9"/>
        <v>60.137857900318139</v>
      </c>
      <c r="G106" s="148">
        <f t="shared" ca="1" si="10"/>
        <v>295.87826086956522</v>
      </c>
    </row>
    <row r="107" spans="1:7" x14ac:dyDescent="0.25">
      <c r="A107" s="29" t="s">
        <v>196</v>
      </c>
      <c r="B107" s="32">
        <f t="shared" ca="1" si="6"/>
        <v>397</v>
      </c>
      <c r="C107" s="146">
        <f t="shared" ca="1" si="7"/>
        <v>369.38260869565215</v>
      </c>
      <c r="D107" s="29"/>
      <c r="E107" s="147">
        <f t="shared" ca="1" si="8"/>
        <v>63.090559659706933</v>
      </c>
      <c r="F107" s="147">
        <f t="shared" ca="1" si="9"/>
        <v>75.077765995051251</v>
      </c>
      <c r="G107" s="148">
        <f t="shared" ca="1" si="10"/>
        <v>369.38260869565215</v>
      </c>
    </row>
    <row r="108" spans="1:7" x14ac:dyDescent="0.25">
      <c r="A108" s="29" t="s">
        <v>197</v>
      </c>
      <c r="B108" s="32">
        <f t="shared" ca="1" si="6"/>
        <v>203</v>
      </c>
      <c r="C108" s="146">
        <f t="shared" ca="1" si="7"/>
        <v>188.87826086956522</v>
      </c>
      <c r="D108" s="29"/>
      <c r="E108" s="147">
        <f t="shared" ca="1" si="8"/>
        <v>32.260412118187681</v>
      </c>
      <c r="F108" s="147">
        <f t="shared" ca="1" si="9"/>
        <v>38.38989042064334</v>
      </c>
      <c r="G108" s="148">
        <f t="shared" ca="1" si="10"/>
        <v>188.87826086956522</v>
      </c>
    </row>
    <row r="109" spans="1:7" x14ac:dyDescent="0.25">
      <c r="A109" s="29" t="s">
        <v>198</v>
      </c>
      <c r="B109" s="32">
        <f t="shared" ca="1" si="6"/>
        <v>603</v>
      </c>
      <c r="C109" s="146">
        <f t="shared" ca="1" si="7"/>
        <v>561.05217391304348</v>
      </c>
      <c r="D109" s="29"/>
      <c r="E109" s="147">
        <f t="shared" ca="1" si="8"/>
        <v>95.827726636784092</v>
      </c>
      <c r="F109" s="147">
        <f t="shared" ca="1" si="9"/>
        <v>114.03499469777307</v>
      </c>
      <c r="G109" s="148">
        <f t="shared" ca="1" si="10"/>
        <v>561.05217391304348</v>
      </c>
    </row>
    <row r="110" spans="1:7" x14ac:dyDescent="0.25">
      <c r="A110" s="29" t="s">
        <v>199</v>
      </c>
      <c r="B110" s="32">
        <f t="shared" ca="1" si="6"/>
        <v>478</v>
      </c>
      <c r="C110" s="146">
        <f t="shared" ca="1" si="7"/>
        <v>444.74782608695654</v>
      </c>
      <c r="D110" s="29"/>
      <c r="E110" s="147">
        <f t="shared" ca="1" si="8"/>
        <v>75.962940849722713</v>
      </c>
      <c r="F110" s="147">
        <f t="shared" ca="1" si="9"/>
        <v>90.395899611170023</v>
      </c>
      <c r="G110" s="148">
        <f t="shared" ca="1" si="10"/>
        <v>444.74782608695654</v>
      </c>
    </row>
    <row r="111" spans="1:7" x14ac:dyDescent="0.25">
      <c r="A111" s="29" t="s">
        <v>200</v>
      </c>
      <c r="B111" s="32">
        <f t="shared" ca="1" si="6"/>
        <v>573</v>
      </c>
      <c r="C111" s="146">
        <f t="shared" ca="1" si="7"/>
        <v>533.1391304347826</v>
      </c>
      <c r="D111" s="29"/>
      <c r="E111" s="147">
        <f t="shared" ca="1" si="8"/>
        <v>91.060178047889352</v>
      </c>
      <c r="F111" s="147">
        <f t="shared" ca="1" si="9"/>
        <v>108.36161187698833</v>
      </c>
      <c r="G111" s="148">
        <f t="shared" ca="1" si="10"/>
        <v>533.1391304347826</v>
      </c>
    </row>
    <row r="112" spans="1:7" x14ac:dyDescent="0.25">
      <c r="A112" s="29" t="s">
        <v>201</v>
      </c>
      <c r="B112" s="32">
        <f t="shared" ca="1" si="6"/>
        <v>382</v>
      </c>
      <c r="C112" s="146">
        <f t="shared" ca="1" si="7"/>
        <v>355.42608695652171</v>
      </c>
      <c r="D112" s="29"/>
      <c r="E112" s="147">
        <f t="shared" ca="1" si="8"/>
        <v>60.70678536525957</v>
      </c>
      <c r="F112" s="147">
        <f t="shared" ca="1" si="9"/>
        <v>72.24107458465889</v>
      </c>
      <c r="G112" s="148">
        <f t="shared" ca="1" si="10"/>
        <v>355.42608695652171</v>
      </c>
    </row>
    <row r="113" spans="1:7" x14ac:dyDescent="0.25">
      <c r="A113" s="29" t="s">
        <v>202</v>
      </c>
      <c r="B113" s="32">
        <f t="shared" ca="1" si="6"/>
        <v>392</v>
      </c>
      <c r="C113" s="146">
        <f t="shared" ca="1" si="7"/>
        <v>364.73043478260871</v>
      </c>
      <c r="D113" s="29"/>
      <c r="E113" s="147">
        <f t="shared" ca="1" si="8"/>
        <v>62.295968228224488</v>
      </c>
      <c r="F113" s="147">
        <f t="shared" ca="1" si="9"/>
        <v>74.13220219158714</v>
      </c>
      <c r="G113" s="148">
        <f t="shared" ca="1" si="10"/>
        <v>364.73043478260871</v>
      </c>
    </row>
    <row r="114" spans="1:7" x14ac:dyDescent="0.25">
      <c r="A114" s="29" t="s">
        <v>203</v>
      </c>
      <c r="B114" s="32">
        <f t="shared" ca="1" si="6"/>
        <v>375</v>
      </c>
      <c r="C114" s="146">
        <f t="shared" ca="1" si="7"/>
        <v>348.91304347826087</v>
      </c>
      <c r="D114" s="29"/>
      <c r="E114" s="147">
        <f t="shared" ca="1" si="8"/>
        <v>59.594357361184137</v>
      </c>
      <c r="F114" s="147">
        <f t="shared" ca="1" si="9"/>
        <v>70.91728525980912</v>
      </c>
      <c r="G114" s="148">
        <f t="shared" ca="1" si="10"/>
        <v>348.91304347826087</v>
      </c>
    </row>
    <row r="115" spans="1:7" x14ac:dyDescent="0.25">
      <c r="A115" s="29" t="s">
        <v>204</v>
      </c>
      <c r="B115" s="32">
        <f t="shared" ca="1" si="6"/>
        <v>404</v>
      </c>
      <c r="C115" s="146">
        <f t="shared" ca="1" si="7"/>
        <v>375.89565217391305</v>
      </c>
      <c r="D115" s="29"/>
      <c r="E115" s="147">
        <f t="shared" ca="1" si="8"/>
        <v>64.202987663782366</v>
      </c>
      <c r="F115" s="147">
        <f t="shared" ca="1" si="9"/>
        <v>76.401555319901021</v>
      </c>
      <c r="G115" s="148">
        <f t="shared" ca="1" si="10"/>
        <v>375.89565217391305</v>
      </c>
    </row>
    <row r="116" spans="1:7" x14ac:dyDescent="0.25">
      <c r="A116" s="29" t="s">
        <v>205</v>
      </c>
      <c r="B116" s="32">
        <f t="shared" ca="1" si="6"/>
        <v>377</v>
      </c>
      <c r="C116" s="146">
        <f t="shared" ca="1" si="7"/>
        <v>350.77391304347827</v>
      </c>
      <c r="D116" s="29"/>
      <c r="E116" s="147">
        <f t="shared" ca="1" si="8"/>
        <v>59.912193933777125</v>
      </c>
      <c r="F116" s="147">
        <f t="shared" ca="1" si="9"/>
        <v>71.295510781194778</v>
      </c>
      <c r="G116" s="148">
        <f t="shared" ca="1" si="10"/>
        <v>350.77391304347827</v>
      </c>
    </row>
    <row r="117" spans="1:7" x14ac:dyDescent="0.25">
      <c r="A117" s="29" t="s">
        <v>206</v>
      </c>
      <c r="B117" s="29">
        <v>255</v>
      </c>
      <c r="C117" s="146">
        <f t="shared" si="7"/>
        <v>237.26086956521738</v>
      </c>
      <c r="D117" s="29"/>
      <c r="E117" s="147">
        <f t="shared" si="8"/>
        <v>40.524163005605203</v>
      </c>
      <c r="F117" s="147">
        <f t="shared" si="9"/>
        <v>48.223753976670196</v>
      </c>
      <c r="G117" s="148">
        <f t="shared" si="10"/>
        <v>237.26086956521738</v>
      </c>
    </row>
    <row r="118" spans="1:7" x14ac:dyDescent="0.25">
      <c r="A118" s="29" t="s">
        <v>322</v>
      </c>
      <c r="B118" s="29">
        <v>346</v>
      </c>
      <c r="C118" s="146">
        <f t="shared" si="7"/>
        <v>321.9304347826087</v>
      </c>
      <c r="D118" s="29"/>
      <c r="E118" s="147">
        <f t="shared" si="8"/>
        <v>54.985727058585894</v>
      </c>
      <c r="F118" s="147">
        <f t="shared" si="9"/>
        <v>65.433015199717218</v>
      </c>
      <c r="G118" s="148">
        <f t="shared" si="10"/>
        <v>321.9304347826087</v>
      </c>
    </row>
    <row r="119" spans="1:7" x14ac:dyDescent="0.25">
      <c r="A119" s="29" t="s">
        <v>321</v>
      </c>
      <c r="B119" s="29">
        <v>417</v>
      </c>
      <c r="C119" s="146">
        <f t="shared" si="7"/>
        <v>387.99130434782609</v>
      </c>
      <c r="D119" s="29"/>
      <c r="E119" s="147">
        <f t="shared" si="8"/>
        <v>66.268925385636749</v>
      </c>
      <c r="F119" s="147">
        <f t="shared" si="9"/>
        <v>78.860021208907739</v>
      </c>
      <c r="G119" s="148">
        <f t="shared" si="10"/>
        <v>387.99130434782609</v>
      </c>
    </row>
    <row r="120" spans="1:7" x14ac:dyDescent="0.25">
      <c r="A120" s="29" t="s">
        <v>324</v>
      </c>
      <c r="B120" s="29">
        <v>238</v>
      </c>
      <c r="C120" s="146">
        <f t="shared" si="7"/>
        <v>221.44347826086957</v>
      </c>
      <c r="D120" s="29"/>
      <c r="E120" s="147">
        <f t="shared" si="8"/>
        <v>37.822552138564866</v>
      </c>
      <c r="F120" s="147">
        <f t="shared" si="9"/>
        <v>45.008837044892189</v>
      </c>
      <c r="G120" s="148">
        <f t="shared" si="10"/>
        <v>221.44347826086957</v>
      </c>
    </row>
    <row r="121" spans="1:7" x14ac:dyDescent="0.25">
      <c r="A121" s="29" t="s">
        <v>327</v>
      </c>
      <c r="B121" s="29">
        <v>378</v>
      </c>
      <c r="C121" s="146">
        <f t="shared" si="7"/>
        <v>351.70434782608697</v>
      </c>
      <c r="D121" s="29"/>
      <c r="E121" s="147">
        <f t="shared" si="8"/>
        <v>60.071112220073616</v>
      </c>
      <c r="F121" s="147">
        <f t="shared" si="9"/>
        <v>71.484623541887601</v>
      </c>
      <c r="G121" s="148">
        <f t="shared" si="10"/>
        <v>351.70434782608697</v>
      </c>
    </row>
    <row r="122" spans="1:7" x14ac:dyDescent="0.25">
      <c r="A122" s="29" t="s">
        <v>328</v>
      </c>
      <c r="B122" s="29">
        <v>463</v>
      </c>
      <c r="C122" s="146">
        <f t="shared" si="7"/>
        <v>430.7913043478261</v>
      </c>
      <c r="D122" s="29"/>
      <c r="E122" s="147">
        <f t="shared" si="8"/>
        <v>73.57916655527535</v>
      </c>
      <c r="F122" s="147">
        <f t="shared" si="9"/>
        <v>87.559208200777661</v>
      </c>
      <c r="G122" s="148">
        <f t="shared" si="10"/>
        <v>430.7913043478261</v>
      </c>
    </row>
    <row r="123" spans="1:7" x14ac:dyDescent="0.25">
      <c r="A123" s="29" t="s">
        <v>330</v>
      </c>
      <c r="B123" s="29">
        <v>314</v>
      </c>
      <c r="C123" s="146">
        <f t="shared" si="7"/>
        <v>292.15652173913043</v>
      </c>
      <c r="D123" s="29"/>
      <c r="E123" s="147">
        <f t="shared" si="8"/>
        <v>49.90034189709818</v>
      </c>
      <c r="F123" s="147">
        <f t="shared" si="9"/>
        <v>59.381406857546835</v>
      </c>
      <c r="G123" s="148">
        <f t="shared" si="10"/>
        <v>292.15652173913043</v>
      </c>
    </row>
    <row r="124" spans="1:7" x14ac:dyDescent="0.25">
      <c r="A124" s="76" t="str">
        <f>D124&amp;"-"&amp;E124&amp;IF(F124="","","-"&amp;F124)</f>
        <v>-61.9781316556315-73.7539766702015</v>
      </c>
      <c r="B124" s="29">
        <v>390</v>
      </c>
      <c r="C124" s="146">
        <f>SUM(B124-(B124*8/115))</f>
        <v>362.86956521739131</v>
      </c>
      <c r="D124" s="29"/>
      <c r="E124" s="147">
        <f>SUM(F124-(F124*19/119))</f>
        <v>61.978131655631501</v>
      </c>
      <c r="F124" s="147">
        <f>SUM(C124/4.92)</f>
        <v>73.753976670201482</v>
      </c>
      <c r="G124" s="148">
        <f>SUM(C124)</f>
        <v>362.86956521739131</v>
      </c>
    </row>
    <row r="125" spans="1:7" x14ac:dyDescent="0.25">
      <c r="A125" s="76" t="str">
        <f>D125&amp;"-"&amp;E125&amp;IF(F125="","","-"&amp;F125)</f>
        <v>-38.4582252837508-45.7652880876635</v>
      </c>
      <c r="B125" s="29">
        <v>242</v>
      </c>
      <c r="C125" s="146">
        <f>SUM(B125-(B125*8/115))</f>
        <v>225.16521739130434</v>
      </c>
      <c r="D125" s="29"/>
      <c r="E125" s="147">
        <f>SUM(F125-(F125*19/119))</f>
        <v>38.458225283750828</v>
      </c>
      <c r="F125" s="147">
        <f>SUM(C125/4.92)</f>
        <v>45.765288087663485</v>
      </c>
      <c r="G125" s="148">
        <f>SUM(C125)</f>
        <v>225.16521739130434</v>
      </c>
    </row>
    <row r="126" spans="1:7" x14ac:dyDescent="0.25">
      <c r="A126" s="29"/>
      <c r="B126" s="29"/>
      <c r="C126" s="146">
        <f>SUM(B126-(B126*8/115))</f>
        <v>0</v>
      </c>
      <c r="D126" s="29"/>
      <c r="E126" s="147">
        <f>SUM(F126-(F126*19/119))</f>
        <v>0</v>
      </c>
      <c r="F126" s="147">
        <f>SUM(C126/4.92)</f>
        <v>0</v>
      </c>
      <c r="G126" s="148">
        <f>SUM(C126)</f>
        <v>0</v>
      </c>
    </row>
  </sheetData>
  <dataValidations count="1">
    <dataValidation type="list" allowBlank="1" showInputMessage="1" showErrorMessage="1" sqref="A2:A123 A126" xr:uid="{11DBFAC5-0B65-40EC-8A1F-4E69B7851F68}">
      <formula1>TermekKod_list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39125-4F31-4EA8-B5BB-113F554A3656}">
  <sheetPr codeName="Munka7"/>
  <dimension ref="A1:G143"/>
  <sheetViews>
    <sheetView workbookViewId="0">
      <selection activeCell="B4" sqref="B4"/>
    </sheetView>
  </sheetViews>
  <sheetFormatPr defaultRowHeight="15" x14ac:dyDescent="0.25"/>
  <cols>
    <col min="1" max="1" width="36.7109375" bestFit="1" customWidth="1"/>
    <col min="2" max="3" width="9.140625" customWidth="1"/>
    <col min="6" max="6" width="0" hidden="1" customWidth="1"/>
    <col min="7" max="7" width="23.42578125" hidden="1" customWidth="1"/>
  </cols>
  <sheetData>
    <row r="1" spans="1:7" x14ac:dyDescent="0.25">
      <c r="A1" s="1" t="s">
        <v>2</v>
      </c>
      <c r="B1" t="s">
        <v>13</v>
      </c>
      <c r="C1" s="1" t="s">
        <v>21</v>
      </c>
      <c r="D1" s="1" t="s">
        <v>20</v>
      </c>
    </row>
    <row r="2" spans="1:7" ht="18.75" x14ac:dyDescent="0.3">
      <c r="A2" s="18" t="s">
        <v>222</v>
      </c>
      <c r="B2" s="32" t="e">
        <f t="shared" ref="B2:B65" ca="1" si="0">VLOOKUP($A2,TermekKod_data,9,0)</f>
        <v>#N/A</v>
      </c>
      <c r="C2" s="20" t="s">
        <v>18</v>
      </c>
      <c r="D2" t="e">
        <f t="shared" ref="D2:D65" ca="1" si="1">VLOOKUP(A2,TermekKod_data,3,FALSE)</f>
        <v>#N/A</v>
      </c>
    </row>
    <row r="3" spans="1:7" x14ac:dyDescent="0.25">
      <c r="A3" s="29" t="s">
        <v>221</v>
      </c>
      <c r="B3" s="32" t="e">
        <f t="shared" ca="1" si="0"/>
        <v>#N/A</v>
      </c>
      <c r="C3" s="29" t="s">
        <v>19</v>
      </c>
      <c r="D3" s="25" t="e">
        <f t="shared" ca="1" si="1"/>
        <v>#N/A</v>
      </c>
    </row>
    <row r="4" spans="1:7" ht="18.75" x14ac:dyDescent="0.3">
      <c r="A4" s="18" t="s">
        <v>162</v>
      </c>
      <c r="B4" s="32">
        <f t="shared" ca="1" si="0"/>
        <v>237</v>
      </c>
      <c r="C4" s="20" t="s">
        <v>18</v>
      </c>
      <c r="D4" t="str">
        <f t="shared" ca="1" si="1"/>
        <v>Duplex</v>
      </c>
    </row>
    <row r="5" spans="1:7" ht="18.75" x14ac:dyDescent="0.3">
      <c r="A5" s="18" t="s">
        <v>223</v>
      </c>
      <c r="B5" s="32">
        <f t="shared" ca="1" si="0"/>
        <v>397</v>
      </c>
      <c r="C5" s="20" t="s">
        <v>18</v>
      </c>
      <c r="D5" t="str">
        <f t="shared" ca="1" si="1"/>
        <v>Duplex</v>
      </c>
    </row>
    <row r="6" spans="1:7" ht="18.75" x14ac:dyDescent="0.3">
      <c r="A6" s="18" t="s">
        <v>63</v>
      </c>
      <c r="B6" s="32">
        <f t="shared" ca="1" si="0"/>
        <v>323</v>
      </c>
      <c r="C6" s="20" t="s">
        <v>18</v>
      </c>
      <c r="D6" t="str">
        <f t="shared" ca="1" si="1"/>
        <v>Duplex</v>
      </c>
    </row>
    <row r="7" spans="1:7" ht="18.75" x14ac:dyDescent="0.3">
      <c r="A7" s="18" t="s">
        <v>62</v>
      </c>
      <c r="B7" s="32">
        <f t="shared" ca="1" si="0"/>
        <v>307</v>
      </c>
      <c r="C7" s="20" t="s">
        <v>18</v>
      </c>
      <c r="D7" t="str">
        <f t="shared" ca="1" si="1"/>
        <v>Triplex</v>
      </c>
    </row>
    <row r="8" spans="1:7" ht="18.75" x14ac:dyDescent="0.3">
      <c r="A8" s="18" t="s">
        <v>224</v>
      </c>
      <c r="B8" s="164" t="e">
        <f ca="1">F8-F8*5/100</f>
        <v>#N/A</v>
      </c>
      <c r="C8" s="20" t="s">
        <v>18</v>
      </c>
      <c r="D8" t="e">
        <f t="shared" ca="1" si="1"/>
        <v>#N/A</v>
      </c>
      <c r="F8" s="32" t="e">
        <f ca="1">VLOOKUP($A8,TermekKod_data,9,0)</f>
        <v>#N/A</v>
      </c>
      <c r="G8" t="s">
        <v>376</v>
      </c>
    </row>
    <row r="9" spans="1:7" ht="18.75" x14ac:dyDescent="0.3">
      <c r="A9" s="18" t="s">
        <v>226</v>
      </c>
      <c r="B9" s="32">
        <f t="shared" ca="1" si="0"/>
        <v>265</v>
      </c>
      <c r="C9" s="20" t="s">
        <v>18</v>
      </c>
      <c r="D9" t="str">
        <f t="shared" ca="1" si="1"/>
        <v>Duplex</v>
      </c>
    </row>
    <row r="10" spans="1:7" ht="15.75" x14ac:dyDescent="0.25">
      <c r="A10" s="19" t="s">
        <v>227</v>
      </c>
      <c r="B10" s="32">
        <f t="shared" ca="1" si="0"/>
        <v>235</v>
      </c>
      <c r="C10" s="20" t="s">
        <v>18</v>
      </c>
      <c r="D10" t="str">
        <f t="shared" ca="1" si="1"/>
        <v>Duplex</v>
      </c>
    </row>
    <row r="11" spans="1:7" ht="15.75" x14ac:dyDescent="0.25">
      <c r="A11" s="19" t="s">
        <v>228</v>
      </c>
      <c r="B11" s="32">
        <f t="shared" ca="1" si="0"/>
        <v>287</v>
      </c>
      <c r="C11" s="20" t="s">
        <v>18</v>
      </c>
      <c r="D11" t="str">
        <f t="shared" ca="1" si="1"/>
        <v>Duplex</v>
      </c>
    </row>
    <row r="12" spans="1:7" ht="15.75" x14ac:dyDescent="0.25">
      <c r="A12" s="19" t="s">
        <v>229</v>
      </c>
      <c r="B12" s="32">
        <f t="shared" ca="1" si="0"/>
        <v>265</v>
      </c>
      <c r="C12" s="20" t="s">
        <v>18</v>
      </c>
      <c r="D12" t="str">
        <f t="shared" ca="1" si="1"/>
        <v>Duplex</v>
      </c>
    </row>
    <row r="13" spans="1:7" ht="18.75" x14ac:dyDescent="0.3">
      <c r="A13" s="18" t="s">
        <v>230</v>
      </c>
      <c r="B13" s="32">
        <f t="shared" ca="1" si="0"/>
        <v>442</v>
      </c>
      <c r="C13" s="20" t="s">
        <v>18</v>
      </c>
      <c r="D13" t="str">
        <f t="shared" ca="1" si="1"/>
        <v>Duplex</v>
      </c>
    </row>
    <row r="14" spans="1:7" ht="18.75" x14ac:dyDescent="0.3">
      <c r="A14" s="18" t="s">
        <v>65</v>
      </c>
      <c r="B14" s="164">
        <f ca="1">F14-F14*5/100-1</f>
        <v>295.39999999999998</v>
      </c>
      <c r="C14" s="20" t="s">
        <v>18</v>
      </c>
      <c r="D14" t="str">
        <f t="shared" ca="1" si="1"/>
        <v>Triplex</v>
      </c>
      <c r="F14" s="32">
        <f ca="1">VLOOKUP($A14,TermekKod_data,9,0)</f>
        <v>312</v>
      </c>
    </row>
    <row r="15" spans="1:7" ht="18.75" x14ac:dyDescent="0.3">
      <c r="A15" s="18" t="s">
        <v>224</v>
      </c>
      <c r="B15" s="32" t="e">
        <f t="shared" ca="1" si="0"/>
        <v>#N/A</v>
      </c>
      <c r="C15" s="20" t="s">
        <v>18</v>
      </c>
      <c r="D15" t="e">
        <f t="shared" ca="1" si="1"/>
        <v>#N/A</v>
      </c>
    </row>
    <row r="16" spans="1:7" ht="18.75" x14ac:dyDescent="0.3">
      <c r="A16" s="18" t="s">
        <v>66</v>
      </c>
      <c r="B16" s="32">
        <f t="shared" ca="1" si="0"/>
        <v>456</v>
      </c>
      <c r="C16" s="20" t="s">
        <v>18</v>
      </c>
      <c r="D16" t="str">
        <f t="shared" ca="1" si="1"/>
        <v>Triplex</v>
      </c>
    </row>
    <row r="17" spans="1:4" ht="18.75" x14ac:dyDescent="0.3">
      <c r="A17" s="18" t="s">
        <v>67</v>
      </c>
      <c r="B17" s="32">
        <f t="shared" ca="1" si="0"/>
        <v>454</v>
      </c>
      <c r="C17" s="20" t="s">
        <v>18</v>
      </c>
      <c r="D17" t="str">
        <f t="shared" ca="1" si="1"/>
        <v>Triplex</v>
      </c>
    </row>
    <row r="18" spans="1:4" ht="18.75" x14ac:dyDescent="0.3">
      <c r="A18" s="18" t="s">
        <v>68</v>
      </c>
      <c r="B18" s="32">
        <f t="shared" ca="1" si="0"/>
        <v>175</v>
      </c>
      <c r="C18" s="20" t="s">
        <v>18</v>
      </c>
      <c r="D18" t="str">
        <f t="shared" ca="1" si="1"/>
        <v>Duplex</v>
      </c>
    </row>
    <row r="19" spans="1:4" ht="18.75" x14ac:dyDescent="0.3">
      <c r="A19" s="18" t="s">
        <v>231</v>
      </c>
      <c r="B19" s="32">
        <f t="shared" ca="1" si="0"/>
        <v>351</v>
      </c>
      <c r="C19" s="20" t="s">
        <v>18</v>
      </c>
      <c r="D19" t="str">
        <f t="shared" ca="1" si="1"/>
        <v>Triplex</v>
      </c>
    </row>
    <row r="20" spans="1:4" ht="18.75" x14ac:dyDescent="0.3">
      <c r="A20" s="18" t="s">
        <v>64</v>
      </c>
      <c r="B20" s="32">
        <f t="shared" ca="1" si="0"/>
        <v>218</v>
      </c>
      <c r="C20" s="20" t="s">
        <v>18</v>
      </c>
      <c r="D20" t="str">
        <f t="shared" ca="1" si="1"/>
        <v>Duplex</v>
      </c>
    </row>
    <row r="21" spans="1:4" ht="18.75" x14ac:dyDescent="0.3">
      <c r="A21" s="18" t="s">
        <v>232</v>
      </c>
      <c r="B21" s="32">
        <f t="shared" ca="1" si="0"/>
        <v>335</v>
      </c>
      <c r="C21" s="20" t="s">
        <v>18</v>
      </c>
      <c r="D21" t="str">
        <f t="shared" ca="1" si="1"/>
        <v>Triplex</v>
      </c>
    </row>
    <row r="22" spans="1:4" ht="18.75" x14ac:dyDescent="0.3">
      <c r="A22" s="28" t="s">
        <v>225</v>
      </c>
      <c r="B22" s="32">
        <f t="shared" ca="1" si="0"/>
        <v>397</v>
      </c>
      <c r="C22" s="29" t="s">
        <v>19</v>
      </c>
      <c r="D22" s="25" t="str">
        <f t="shared" ca="1" si="1"/>
        <v>Triplex</v>
      </c>
    </row>
    <row r="23" spans="1:4" x14ac:dyDescent="0.25">
      <c r="A23" s="29" t="s">
        <v>117</v>
      </c>
      <c r="B23" s="32">
        <f t="shared" ca="1" si="0"/>
        <v>203</v>
      </c>
      <c r="C23" s="29" t="s">
        <v>19</v>
      </c>
      <c r="D23" s="25" t="str">
        <f t="shared" ca="1" si="1"/>
        <v>Duplex</v>
      </c>
    </row>
    <row r="24" spans="1:4" x14ac:dyDescent="0.25">
      <c r="A24" s="29" t="s">
        <v>118</v>
      </c>
      <c r="B24" s="32">
        <f t="shared" ca="1" si="0"/>
        <v>451</v>
      </c>
      <c r="C24" s="29" t="s">
        <v>19</v>
      </c>
      <c r="D24" s="25" t="str">
        <f t="shared" ca="1" si="1"/>
        <v>Duplex</v>
      </c>
    </row>
    <row r="25" spans="1:4" x14ac:dyDescent="0.25">
      <c r="A25" s="29" t="s">
        <v>85</v>
      </c>
      <c r="B25" s="32">
        <f t="shared" ca="1" si="0"/>
        <v>575</v>
      </c>
      <c r="C25" s="29" t="s">
        <v>19</v>
      </c>
      <c r="D25" s="25" t="str">
        <f t="shared" ca="1" si="1"/>
        <v>Triplex</v>
      </c>
    </row>
    <row r="26" spans="1:4" x14ac:dyDescent="0.25">
      <c r="A26" s="29" t="s">
        <v>90</v>
      </c>
      <c r="B26" s="32">
        <f t="shared" ca="1" si="0"/>
        <v>441</v>
      </c>
      <c r="C26" s="29" t="s">
        <v>19</v>
      </c>
      <c r="D26" s="25" t="str">
        <f t="shared" ca="1" si="1"/>
        <v>Triplex</v>
      </c>
    </row>
    <row r="27" spans="1:4" x14ac:dyDescent="0.25">
      <c r="A27" s="29" t="s">
        <v>119</v>
      </c>
      <c r="B27" s="32">
        <f t="shared" ca="1" si="0"/>
        <v>218</v>
      </c>
      <c r="C27" s="29" t="s">
        <v>19</v>
      </c>
      <c r="D27" s="25" t="str">
        <f t="shared" ca="1" si="1"/>
        <v>Duplex</v>
      </c>
    </row>
    <row r="28" spans="1:4" x14ac:dyDescent="0.25">
      <c r="A28" s="29" t="s">
        <v>120</v>
      </c>
      <c r="B28" s="32">
        <f t="shared" ca="1" si="0"/>
        <v>441</v>
      </c>
      <c r="C28" s="29" t="s">
        <v>19</v>
      </c>
      <c r="D28" s="25" t="str">
        <f t="shared" ca="1" si="1"/>
        <v>Triplex</v>
      </c>
    </row>
    <row r="29" spans="1:4" x14ac:dyDescent="0.25">
      <c r="A29" s="29" t="s">
        <v>121</v>
      </c>
      <c r="B29" s="32">
        <f t="shared" ca="1" si="0"/>
        <v>308</v>
      </c>
      <c r="C29" s="29" t="s">
        <v>19</v>
      </c>
      <c r="D29" s="25" t="str">
        <f t="shared" ca="1" si="1"/>
        <v>Duplex</v>
      </c>
    </row>
    <row r="30" spans="1:4" x14ac:dyDescent="0.25">
      <c r="A30" s="29" t="s">
        <v>122</v>
      </c>
      <c r="B30" s="32">
        <f t="shared" ca="1" si="0"/>
        <v>308</v>
      </c>
      <c r="C30" s="29" t="s">
        <v>19</v>
      </c>
      <c r="D30" s="25" t="str">
        <f t="shared" ca="1" si="1"/>
        <v>Duplex</v>
      </c>
    </row>
    <row r="31" spans="1:4" x14ac:dyDescent="0.25">
      <c r="A31" s="29" t="s">
        <v>123</v>
      </c>
      <c r="B31" s="32">
        <f t="shared" ca="1" si="0"/>
        <v>218</v>
      </c>
      <c r="C31" s="29" t="s">
        <v>19</v>
      </c>
      <c r="D31" s="25" t="str">
        <f t="shared" ca="1" si="1"/>
        <v>Duplex</v>
      </c>
    </row>
    <row r="32" spans="1:4" x14ac:dyDescent="0.25">
      <c r="A32" s="29" t="s">
        <v>124</v>
      </c>
      <c r="B32" s="32">
        <f t="shared" ca="1" si="0"/>
        <v>419</v>
      </c>
      <c r="C32" s="29" t="s">
        <v>19</v>
      </c>
      <c r="D32" s="25" t="str">
        <f t="shared" ca="1" si="1"/>
        <v>Duplex</v>
      </c>
    </row>
    <row r="33" spans="1:4" x14ac:dyDescent="0.25">
      <c r="A33" s="29" t="s">
        <v>125</v>
      </c>
      <c r="B33" s="32">
        <f t="shared" ca="1" si="0"/>
        <v>340</v>
      </c>
      <c r="C33" s="29" t="s">
        <v>19</v>
      </c>
      <c r="D33" s="25" t="str">
        <f t="shared" ca="1" si="1"/>
        <v>Duplex</v>
      </c>
    </row>
    <row r="34" spans="1:4" x14ac:dyDescent="0.25">
      <c r="A34" s="29" t="s">
        <v>91</v>
      </c>
      <c r="B34" s="32">
        <f t="shared" ca="1" si="0"/>
        <v>251</v>
      </c>
      <c r="C34" s="29" t="s">
        <v>19</v>
      </c>
      <c r="D34" s="25" t="str">
        <f t="shared" ca="1" si="1"/>
        <v>Duplex</v>
      </c>
    </row>
    <row r="35" spans="1:4" x14ac:dyDescent="0.25">
      <c r="A35" s="29" t="s">
        <v>126</v>
      </c>
      <c r="B35" s="32">
        <f t="shared" ca="1" si="0"/>
        <v>247</v>
      </c>
      <c r="C35" s="29" t="s">
        <v>19</v>
      </c>
      <c r="D35" s="25" t="str">
        <f t="shared" ca="1" si="1"/>
        <v>Duplex</v>
      </c>
    </row>
    <row r="36" spans="1:4" x14ac:dyDescent="0.25">
      <c r="A36" s="29" t="s">
        <v>127</v>
      </c>
      <c r="B36" s="32">
        <f t="shared" ca="1" si="0"/>
        <v>203</v>
      </c>
      <c r="C36" s="29" t="s">
        <v>19</v>
      </c>
      <c r="D36" s="25" t="str">
        <f t="shared" ca="1" si="1"/>
        <v>Duplex</v>
      </c>
    </row>
    <row r="37" spans="1:4" x14ac:dyDescent="0.25">
      <c r="A37" s="29" t="s">
        <v>92</v>
      </c>
      <c r="B37" s="32">
        <f t="shared" ca="1" si="0"/>
        <v>369</v>
      </c>
      <c r="C37" s="29" t="s">
        <v>19</v>
      </c>
      <c r="D37" s="25" t="str">
        <f t="shared" ca="1" si="1"/>
        <v>Triplex</v>
      </c>
    </row>
    <row r="38" spans="1:4" x14ac:dyDescent="0.25">
      <c r="A38" s="29" t="s">
        <v>128</v>
      </c>
      <c r="B38" s="32">
        <f t="shared" ca="1" si="0"/>
        <v>377</v>
      </c>
      <c r="C38" s="29" t="s">
        <v>19</v>
      </c>
      <c r="D38" s="25" t="str">
        <f t="shared" ca="1" si="1"/>
        <v>Triplex</v>
      </c>
    </row>
    <row r="39" spans="1:4" x14ac:dyDescent="0.25">
      <c r="A39" s="29" t="s">
        <v>129</v>
      </c>
      <c r="B39" s="32">
        <f t="shared" ca="1" si="0"/>
        <v>203</v>
      </c>
      <c r="C39" s="29" t="s">
        <v>19</v>
      </c>
      <c r="D39" s="25" t="str">
        <f t="shared" ca="1" si="1"/>
        <v>Duplex</v>
      </c>
    </row>
    <row r="40" spans="1:4" x14ac:dyDescent="0.25">
      <c r="A40" s="29" t="s">
        <v>130</v>
      </c>
      <c r="B40" s="32">
        <f t="shared" ca="1" si="0"/>
        <v>250</v>
      </c>
      <c r="C40" s="29" t="s">
        <v>19</v>
      </c>
      <c r="D40" s="25" t="str">
        <f t="shared" ca="1" si="1"/>
        <v>Duplex</v>
      </c>
    </row>
    <row r="41" spans="1:4" x14ac:dyDescent="0.25">
      <c r="A41" s="29" t="s">
        <v>131</v>
      </c>
      <c r="B41" s="32">
        <f t="shared" ca="1" si="0"/>
        <v>218</v>
      </c>
      <c r="C41" s="29" t="s">
        <v>19</v>
      </c>
      <c r="D41" s="25" t="str">
        <f t="shared" ca="1" si="1"/>
        <v>Duplex</v>
      </c>
    </row>
    <row r="42" spans="1:4" x14ac:dyDescent="0.25">
      <c r="A42" s="29" t="s">
        <v>93</v>
      </c>
      <c r="B42" s="32">
        <f t="shared" ca="1" si="0"/>
        <v>529</v>
      </c>
      <c r="C42" s="29" t="s">
        <v>19</v>
      </c>
      <c r="D42" s="25" t="str">
        <f t="shared" ca="1" si="1"/>
        <v>Triplex</v>
      </c>
    </row>
    <row r="43" spans="1:4" x14ac:dyDescent="0.25">
      <c r="A43" s="29" t="s">
        <v>132</v>
      </c>
      <c r="B43" s="32">
        <f t="shared" ca="1" si="0"/>
        <v>301</v>
      </c>
      <c r="C43" s="29" t="s">
        <v>19</v>
      </c>
      <c r="D43" s="25" t="str">
        <f t="shared" ca="1" si="1"/>
        <v>Duplex</v>
      </c>
    </row>
    <row r="44" spans="1:4" x14ac:dyDescent="0.25">
      <c r="A44" s="29" t="s">
        <v>133</v>
      </c>
      <c r="B44" s="32">
        <f t="shared" ca="1" si="0"/>
        <v>308</v>
      </c>
      <c r="C44" s="29" t="s">
        <v>19</v>
      </c>
      <c r="D44" s="25" t="str">
        <f t="shared" ca="1" si="1"/>
        <v>Duplex</v>
      </c>
    </row>
    <row r="45" spans="1:4" x14ac:dyDescent="0.25">
      <c r="A45" s="29" t="s">
        <v>134</v>
      </c>
      <c r="B45" s="32">
        <f t="shared" ca="1" si="0"/>
        <v>335</v>
      </c>
      <c r="C45" s="29" t="s">
        <v>19</v>
      </c>
      <c r="D45" s="25" t="str">
        <f t="shared" ca="1" si="1"/>
        <v>Triplex</v>
      </c>
    </row>
    <row r="46" spans="1:4" x14ac:dyDescent="0.25">
      <c r="A46" s="29" t="s">
        <v>135</v>
      </c>
      <c r="B46" s="32">
        <f t="shared" ca="1" si="0"/>
        <v>382</v>
      </c>
      <c r="C46" s="29" t="s">
        <v>19</v>
      </c>
      <c r="D46" s="25" t="str">
        <f t="shared" ca="1" si="1"/>
        <v>Triplex</v>
      </c>
    </row>
    <row r="47" spans="1:4" x14ac:dyDescent="0.25">
      <c r="A47" s="29" t="s">
        <v>136</v>
      </c>
      <c r="B47" s="32">
        <f t="shared" ca="1" si="0"/>
        <v>340</v>
      </c>
      <c r="C47" s="29" t="s">
        <v>19</v>
      </c>
      <c r="D47" s="25" t="str">
        <f t="shared" ca="1" si="1"/>
        <v>Duplex</v>
      </c>
    </row>
    <row r="48" spans="1:4" x14ac:dyDescent="0.25">
      <c r="A48" s="29" t="s">
        <v>137</v>
      </c>
      <c r="B48" s="32">
        <f t="shared" ca="1" si="0"/>
        <v>301</v>
      </c>
      <c r="C48" s="29" t="s">
        <v>19</v>
      </c>
      <c r="D48" s="25" t="str">
        <f t="shared" ca="1" si="1"/>
        <v>Duplex</v>
      </c>
    </row>
    <row r="49" spans="1:4" x14ac:dyDescent="0.25">
      <c r="A49" s="29" t="s">
        <v>94</v>
      </c>
      <c r="B49" s="32">
        <f t="shared" ca="1" si="0"/>
        <v>426</v>
      </c>
      <c r="C49" s="29" t="s">
        <v>19</v>
      </c>
      <c r="D49" s="25" t="str">
        <f t="shared" ca="1" si="1"/>
        <v>Duplex</v>
      </c>
    </row>
    <row r="50" spans="1:4" x14ac:dyDescent="0.25">
      <c r="A50" s="29" t="s">
        <v>138</v>
      </c>
      <c r="B50" s="32">
        <f t="shared" ca="1" si="0"/>
        <v>419</v>
      </c>
      <c r="C50" s="29" t="s">
        <v>19</v>
      </c>
      <c r="D50" s="25" t="str">
        <f t="shared" ca="1" si="1"/>
        <v>Duplex</v>
      </c>
    </row>
    <row r="51" spans="1:4" x14ac:dyDescent="0.25">
      <c r="A51" s="29" t="s">
        <v>139</v>
      </c>
      <c r="B51" s="32">
        <f t="shared" ca="1" si="0"/>
        <v>516</v>
      </c>
      <c r="C51" s="29" t="s">
        <v>19</v>
      </c>
      <c r="D51" s="25" t="str">
        <f t="shared" ca="1" si="1"/>
        <v>Duplex</v>
      </c>
    </row>
    <row r="52" spans="1:4" x14ac:dyDescent="0.25">
      <c r="A52" s="29" t="s">
        <v>140</v>
      </c>
      <c r="B52" s="32">
        <f t="shared" ca="1" si="0"/>
        <v>353</v>
      </c>
      <c r="C52" s="29" t="s">
        <v>19</v>
      </c>
      <c r="D52" s="25" t="str">
        <f t="shared" ca="1" si="1"/>
        <v>Duplex</v>
      </c>
    </row>
    <row r="53" spans="1:4" x14ac:dyDescent="0.25">
      <c r="A53" s="29" t="s">
        <v>141</v>
      </c>
      <c r="B53" s="32">
        <f t="shared" ca="1" si="0"/>
        <v>395</v>
      </c>
      <c r="C53" s="29" t="s">
        <v>19</v>
      </c>
      <c r="D53" s="25" t="str">
        <f t="shared" ca="1" si="1"/>
        <v>Triplex</v>
      </c>
    </row>
    <row r="54" spans="1:4" x14ac:dyDescent="0.25">
      <c r="A54" s="29" t="s">
        <v>96</v>
      </c>
      <c r="B54" s="32">
        <f t="shared" ca="1" si="0"/>
        <v>221</v>
      </c>
      <c r="C54" s="29" t="s">
        <v>19</v>
      </c>
      <c r="D54" s="25" t="str">
        <f t="shared" ca="1" si="1"/>
        <v>Duplex</v>
      </c>
    </row>
    <row r="55" spans="1:4" x14ac:dyDescent="0.25">
      <c r="A55" s="29" t="s">
        <v>97</v>
      </c>
      <c r="B55" s="32">
        <f t="shared" ca="1" si="0"/>
        <v>381</v>
      </c>
      <c r="C55" s="29" t="s">
        <v>19</v>
      </c>
      <c r="D55" s="25" t="str">
        <f t="shared" ca="1" si="1"/>
        <v>Duplex</v>
      </c>
    </row>
    <row r="56" spans="1:4" x14ac:dyDescent="0.25">
      <c r="A56" s="29" t="s">
        <v>142</v>
      </c>
      <c r="B56" s="32">
        <f t="shared" ca="1" si="0"/>
        <v>260</v>
      </c>
      <c r="C56" s="29" t="s">
        <v>19</v>
      </c>
      <c r="D56" s="25" t="str">
        <f t="shared" ca="1" si="1"/>
        <v>Duplex</v>
      </c>
    </row>
    <row r="57" spans="1:4" x14ac:dyDescent="0.25">
      <c r="A57" s="29" t="s">
        <v>143</v>
      </c>
      <c r="B57" s="32">
        <f t="shared" ca="1" si="0"/>
        <v>286</v>
      </c>
      <c r="C57" s="29" t="s">
        <v>19</v>
      </c>
      <c r="D57" s="25" t="str">
        <f t="shared" ca="1" si="1"/>
        <v>Duplex</v>
      </c>
    </row>
    <row r="58" spans="1:4" x14ac:dyDescent="0.25">
      <c r="A58" s="29" t="s">
        <v>144</v>
      </c>
      <c r="B58" s="32">
        <f t="shared" ca="1" si="0"/>
        <v>325</v>
      </c>
      <c r="C58" s="29" t="s">
        <v>19</v>
      </c>
      <c r="D58" s="25" t="str">
        <f t="shared" ca="1" si="1"/>
        <v>Duplex</v>
      </c>
    </row>
    <row r="59" spans="1:4" x14ac:dyDescent="0.25">
      <c r="A59" s="29" t="s">
        <v>145</v>
      </c>
      <c r="B59" s="32">
        <f t="shared" ca="1" si="0"/>
        <v>340</v>
      </c>
      <c r="C59" s="29" t="s">
        <v>19</v>
      </c>
      <c r="D59" s="25" t="str">
        <f t="shared" ca="1" si="1"/>
        <v>Duplex</v>
      </c>
    </row>
    <row r="60" spans="1:4" x14ac:dyDescent="0.25">
      <c r="A60" s="29" t="s">
        <v>146</v>
      </c>
      <c r="B60" s="32">
        <f t="shared" ca="1" si="0"/>
        <v>500</v>
      </c>
      <c r="C60" s="29" t="s">
        <v>19</v>
      </c>
      <c r="D60" s="25" t="str">
        <f t="shared" ca="1" si="1"/>
        <v>Triplex</v>
      </c>
    </row>
    <row r="61" spans="1:4" x14ac:dyDescent="0.25">
      <c r="A61" s="29" t="s">
        <v>147</v>
      </c>
      <c r="B61" s="32">
        <f t="shared" ca="1" si="0"/>
        <v>352</v>
      </c>
      <c r="C61" s="29" t="s">
        <v>19</v>
      </c>
      <c r="D61" s="25" t="str">
        <f t="shared" ca="1" si="1"/>
        <v>Triplex</v>
      </c>
    </row>
    <row r="62" spans="1:4" x14ac:dyDescent="0.25">
      <c r="A62" s="29" t="s">
        <v>148</v>
      </c>
      <c r="B62" s="32">
        <f t="shared" ca="1" si="0"/>
        <v>262</v>
      </c>
      <c r="C62" s="29" t="s">
        <v>19</v>
      </c>
      <c r="D62" s="25" t="str">
        <f t="shared" ca="1" si="1"/>
        <v>Duplex</v>
      </c>
    </row>
    <row r="63" spans="1:4" x14ac:dyDescent="0.25">
      <c r="A63" s="29" t="s">
        <v>149</v>
      </c>
      <c r="B63" s="32">
        <f t="shared" ca="1" si="0"/>
        <v>348</v>
      </c>
      <c r="C63" s="29" t="s">
        <v>19</v>
      </c>
      <c r="D63" s="25" t="str">
        <f t="shared" ca="1" si="1"/>
        <v>Triplex</v>
      </c>
    </row>
    <row r="64" spans="1:4" x14ac:dyDescent="0.25">
      <c r="A64" s="29" t="s">
        <v>98</v>
      </c>
      <c r="B64" s="32">
        <f t="shared" ca="1" si="0"/>
        <v>339</v>
      </c>
      <c r="C64" s="29" t="s">
        <v>19</v>
      </c>
      <c r="D64" s="25" t="str">
        <f t="shared" ca="1" si="1"/>
        <v>Triplex</v>
      </c>
    </row>
    <row r="65" spans="1:4" x14ac:dyDescent="0.25">
      <c r="A65" s="29" t="s">
        <v>150</v>
      </c>
      <c r="B65" s="32">
        <f t="shared" ca="1" si="0"/>
        <v>293</v>
      </c>
      <c r="C65" s="29" t="s">
        <v>19</v>
      </c>
      <c r="D65" s="25" t="str">
        <f t="shared" ca="1" si="1"/>
        <v>Duplex</v>
      </c>
    </row>
    <row r="66" spans="1:4" x14ac:dyDescent="0.25">
      <c r="A66" s="29" t="s">
        <v>151</v>
      </c>
      <c r="B66" s="32">
        <f t="shared" ref="B66:B129" ca="1" si="2">VLOOKUP($A66,TermekKod_data,9,0)</f>
        <v>431</v>
      </c>
      <c r="C66" s="29" t="s">
        <v>19</v>
      </c>
      <c r="D66" s="25" t="str">
        <f t="shared" ref="D66:D124" ca="1" si="3">VLOOKUP(A66,TermekKod_data,3,FALSE)</f>
        <v>Triplex</v>
      </c>
    </row>
    <row r="67" spans="1:4" x14ac:dyDescent="0.25">
      <c r="A67" s="29" t="s">
        <v>99</v>
      </c>
      <c r="B67" s="32">
        <f t="shared" ca="1" si="2"/>
        <v>514</v>
      </c>
      <c r="C67" s="29" t="s">
        <v>19</v>
      </c>
      <c r="D67" s="25" t="str">
        <f t="shared" ca="1" si="3"/>
        <v>Triplex</v>
      </c>
    </row>
    <row r="68" spans="1:4" x14ac:dyDescent="0.25">
      <c r="A68" s="29" t="s">
        <v>100</v>
      </c>
      <c r="B68" s="32">
        <f t="shared" ca="1" si="2"/>
        <v>354</v>
      </c>
      <c r="C68" s="29" t="s">
        <v>19</v>
      </c>
      <c r="D68" s="25" t="str">
        <f t="shared" ca="1" si="3"/>
        <v>Triplex</v>
      </c>
    </row>
    <row r="69" spans="1:4" x14ac:dyDescent="0.25">
      <c r="A69" s="29" t="s">
        <v>101</v>
      </c>
      <c r="B69" s="32">
        <f t="shared" ca="1" si="2"/>
        <v>454</v>
      </c>
      <c r="C69" s="29" t="s">
        <v>19</v>
      </c>
      <c r="D69" s="25" t="str">
        <f t="shared" ca="1" si="3"/>
        <v>Triplex</v>
      </c>
    </row>
    <row r="70" spans="1:4" x14ac:dyDescent="0.25">
      <c r="A70" s="29" t="s">
        <v>152</v>
      </c>
      <c r="B70" s="32">
        <f t="shared" ca="1" si="2"/>
        <v>419</v>
      </c>
      <c r="C70" s="29" t="s">
        <v>19</v>
      </c>
      <c r="D70" s="25" t="str">
        <f t="shared" ca="1" si="3"/>
        <v>Triplex</v>
      </c>
    </row>
    <row r="71" spans="1:4" x14ac:dyDescent="0.25">
      <c r="A71" s="29" t="s">
        <v>153</v>
      </c>
      <c r="B71" s="32">
        <f t="shared" ca="1" si="2"/>
        <v>419</v>
      </c>
      <c r="C71" s="29" t="s">
        <v>19</v>
      </c>
      <c r="D71" s="25" t="str">
        <f t="shared" ca="1" si="3"/>
        <v>Duplex</v>
      </c>
    </row>
    <row r="72" spans="1:4" x14ac:dyDescent="0.25">
      <c r="A72" s="29" t="s">
        <v>154</v>
      </c>
      <c r="B72" s="32">
        <f t="shared" ca="1" si="2"/>
        <v>293</v>
      </c>
      <c r="C72" s="29" t="s">
        <v>19</v>
      </c>
      <c r="D72" s="25" t="str">
        <f t="shared" ca="1" si="3"/>
        <v>Duplex</v>
      </c>
    </row>
    <row r="73" spans="1:4" x14ac:dyDescent="0.25">
      <c r="A73" s="29" t="s">
        <v>156</v>
      </c>
      <c r="B73" s="32">
        <f t="shared" ca="1" si="2"/>
        <v>434</v>
      </c>
      <c r="C73" s="29" t="s">
        <v>19</v>
      </c>
      <c r="D73" s="25" t="str">
        <f t="shared" ca="1" si="3"/>
        <v>Triplex</v>
      </c>
    </row>
    <row r="74" spans="1:4" x14ac:dyDescent="0.25">
      <c r="A74" s="29" t="s">
        <v>157</v>
      </c>
      <c r="B74" s="32">
        <f t="shared" ca="1" si="2"/>
        <v>438</v>
      </c>
      <c r="C74" s="29" t="s">
        <v>19</v>
      </c>
      <c r="D74" s="25" t="str">
        <f t="shared" ca="1" si="3"/>
        <v>Triplex</v>
      </c>
    </row>
    <row r="75" spans="1:4" x14ac:dyDescent="0.25">
      <c r="A75" s="29" t="s">
        <v>158</v>
      </c>
      <c r="B75" s="32">
        <f t="shared" ca="1" si="2"/>
        <v>286</v>
      </c>
      <c r="C75" s="29" t="s">
        <v>19</v>
      </c>
      <c r="D75" s="25" t="str">
        <f t="shared" ca="1" si="3"/>
        <v>Duplex</v>
      </c>
    </row>
    <row r="76" spans="1:4" x14ac:dyDescent="0.25">
      <c r="A76" s="29" t="s">
        <v>159</v>
      </c>
      <c r="B76" s="32">
        <f t="shared" ca="1" si="2"/>
        <v>458</v>
      </c>
      <c r="C76" s="29" t="s">
        <v>19</v>
      </c>
      <c r="D76" s="25" t="str">
        <f t="shared" ca="1" si="3"/>
        <v>Triplex</v>
      </c>
    </row>
    <row r="77" spans="1:4" x14ac:dyDescent="0.25">
      <c r="A77" s="29" t="s">
        <v>163</v>
      </c>
      <c r="B77" s="32">
        <f t="shared" ca="1" si="2"/>
        <v>417</v>
      </c>
      <c r="C77" s="29" t="s">
        <v>19</v>
      </c>
      <c r="D77" s="25" t="str">
        <f t="shared" ca="1" si="3"/>
        <v>Triplex</v>
      </c>
    </row>
    <row r="78" spans="1:4" x14ac:dyDescent="0.25">
      <c r="A78" s="29" t="s">
        <v>164</v>
      </c>
      <c r="B78" s="32">
        <f t="shared" ca="1" si="2"/>
        <v>434</v>
      </c>
      <c r="C78" s="29" t="s">
        <v>19</v>
      </c>
      <c r="D78" s="25" t="str">
        <f t="shared" ca="1" si="3"/>
        <v>Triplex</v>
      </c>
    </row>
    <row r="79" spans="1:4" x14ac:dyDescent="0.25">
      <c r="A79" s="29" t="s">
        <v>165</v>
      </c>
      <c r="B79" s="32">
        <f t="shared" ca="1" si="2"/>
        <v>351</v>
      </c>
      <c r="C79" s="29" t="s">
        <v>19</v>
      </c>
      <c r="D79" s="25" t="str">
        <f t="shared" ca="1" si="3"/>
        <v>Triplex</v>
      </c>
    </row>
    <row r="80" spans="1:4" x14ac:dyDescent="0.25">
      <c r="A80" s="29" t="s">
        <v>166</v>
      </c>
      <c r="B80" s="32">
        <f t="shared" ca="1" si="2"/>
        <v>425</v>
      </c>
      <c r="C80" s="29" t="s">
        <v>19</v>
      </c>
      <c r="D80" s="25" t="str">
        <f t="shared" ca="1" si="3"/>
        <v>Triplex</v>
      </c>
    </row>
    <row r="81" spans="1:4" x14ac:dyDescent="0.25">
      <c r="A81" s="29" t="s">
        <v>167</v>
      </c>
      <c r="B81" s="32">
        <f t="shared" ca="1" si="2"/>
        <v>392</v>
      </c>
      <c r="C81" s="29" t="s">
        <v>19</v>
      </c>
      <c r="D81" s="25" t="str">
        <f t="shared" ca="1" si="3"/>
        <v>Triplex</v>
      </c>
    </row>
    <row r="82" spans="1:4" x14ac:dyDescent="0.25">
      <c r="A82" s="29" t="s">
        <v>170</v>
      </c>
      <c r="B82" s="32">
        <f t="shared" ca="1" si="2"/>
        <v>370</v>
      </c>
      <c r="C82" s="29" t="s">
        <v>19</v>
      </c>
      <c r="D82" s="25" t="str">
        <f t="shared" ca="1" si="3"/>
        <v>Duplex</v>
      </c>
    </row>
    <row r="83" spans="1:4" x14ac:dyDescent="0.25">
      <c r="A83" s="29" t="s">
        <v>169</v>
      </c>
      <c r="B83" s="32">
        <f t="shared" ca="1" si="2"/>
        <v>368</v>
      </c>
      <c r="C83" s="29" t="s">
        <v>19</v>
      </c>
      <c r="D83" s="25" t="str">
        <f t="shared" ca="1" si="3"/>
        <v>Duplex</v>
      </c>
    </row>
    <row r="84" spans="1:4" x14ac:dyDescent="0.25">
      <c r="A84" s="29" t="s">
        <v>168</v>
      </c>
      <c r="B84" s="32">
        <f t="shared" ca="1" si="2"/>
        <v>412</v>
      </c>
      <c r="C84" s="29" t="s">
        <v>19</v>
      </c>
      <c r="D84" s="25" t="str">
        <f t="shared" ca="1" si="3"/>
        <v>Duplex</v>
      </c>
    </row>
    <row r="85" spans="1:4" x14ac:dyDescent="0.25">
      <c r="A85" s="29" t="s">
        <v>171</v>
      </c>
      <c r="B85" s="32">
        <f t="shared" ca="1" si="2"/>
        <v>397</v>
      </c>
      <c r="C85" s="29" t="s">
        <v>19</v>
      </c>
      <c r="D85" s="25" t="str">
        <f t="shared" ca="1" si="3"/>
        <v>Duplex</v>
      </c>
    </row>
    <row r="86" spans="1:4" x14ac:dyDescent="0.25">
      <c r="A86" s="29" t="s">
        <v>172</v>
      </c>
      <c r="B86" s="32">
        <f t="shared" ca="1" si="2"/>
        <v>272</v>
      </c>
      <c r="C86" s="29" t="s">
        <v>19</v>
      </c>
      <c r="D86" s="25" t="str">
        <f t="shared" ca="1" si="3"/>
        <v>Duplex</v>
      </c>
    </row>
    <row r="87" spans="1:4" x14ac:dyDescent="0.25">
      <c r="A87" s="29" t="s">
        <v>173</v>
      </c>
      <c r="B87" s="32">
        <f t="shared" ca="1" si="2"/>
        <v>458</v>
      </c>
      <c r="C87" s="29" t="s">
        <v>19</v>
      </c>
      <c r="D87" s="25" t="str">
        <f t="shared" ca="1" si="3"/>
        <v>Triplex</v>
      </c>
    </row>
    <row r="88" spans="1:4" x14ac:dyDescent="0.25">
      <c r="A88" s="29" t="s">
        <v>174</v>
      </c>
      <c r="B88" s="32">
        <f t="shared" ca="1" si="2"/>
        <v>484</v>
      </c>
      <c r="C88" s="29" t="s">
        <v>19</v>
      </c>
      <c r="D88" s="25" t="str">
        <f t="shared" ca="1" si="3"/>
        <v>Duplex</v>
      </c>
    </row>
    <row r="89" spans="1:4" x14ac:dyDescent="0.25">
      <c r="A89" s="29" t="s">
        <v>175</v>
      </c>
      <c r="B89" s="32">
        <f t="shared" ca="1" si="2"/>
        <v>309</v>
      </c>
      <c r="C89" s="29" t="s">
        <v>19</v>
      </c>
      <c r="D89" s="25" t="str">
        <f t="shared" ca="1" si="3"/>
        <v>Duplex</v>
      </c>
    </row>
    <row r="90" spans="1:4" x14ac:dyDescent="0.25">
      <c r="A90" s="29" t="s">
        <v>176</v>
      </c>
      <c r="B90" s="32">
        <f t="shared" ca="1" si="2"/>
        <v>329</v>
      </c>
      <c r="C90" s="29" t="s">
        <v>19</v>
      </c>
      <c r="D90" s="25" t="str">
        <f t="shared" ca="1" si="3"/>
        <v>Duplex</v>
      </c>
    </row>
    <row r="91" spans="1:4" x14ac:dyDescent="0.25">
      <c r="A91" s="29" t="s">
        <v>177</v>
      </c>
      <c r="B91" s="32">
        <f t="shared" ca="1" si="2"/>
        <v>558</v>
      </c>
      <c r="C91" s="29" t="s">
        <v>19</v>
      </c>
      <c r="D91" s="25" t="str">
        <f t="shared" ca="1" si="3"/>
        <v>Triplex</v>
      </c>
    </row>
    <row r="92" spans="1:4" x14ac:dyDescent="0.25">
      <c r="A92" s="29" t="s">
        <v>178</v>
      </c>
      <c r="B92" s="32">
        <f t="shared" ca="1" si="2"/>
        <v>473</v>
      </c>
      <c r="C92" s="29" t="s">
        <v>19</v>
      </c>
      <c r="D92" s="25" t="str">
        <f t="shared" ca="1" si="3"/>
        <v>Triplex</v>
      </c>
    </row>
    <row r="93" spans="1:4" x14ac:dyDescent="0.25">
      <c r="A93" s="29" t="s">
        <v>179</v>
      </c>
      <c r="B93" s="32">
        <f t="shared" ca="1" si="2"/>
        <v>348</v>
      </c>
      <c r="C93" s="29" t="s">
        <v>19</v>
      </c>
      <c r="D93" s="25" t="str">
        <f t="shared" ca="1" si="3"/>
        <v>Triplex</v>
      </c>
    </row>
    <row r="94" spans="1:4" x14ac:dyDescent="0.25">
      <c r="A94" s="29" t="s">
        <v>180</v>
      </c>
      <c r="B94" s="32">
        <f t="shared" ca="1" si="2"/>
        <v>340</v>
      </c>
      <c r="C94" s="29" t="s">
        <v>19</v>
      </c>
      <c r="D94" s="25" t="str">
        <f t="shared" ca="1" si="3"/>
        <v>Duplex</v>
      </c>
    </row>
    <row r="95" spans="1:4" x14ac:dyDescent="0.25">
      <c r="A95" s="29" t="s">
        <v>181</v>
      </c>
      <c r="B95" s="32">
        <f t="shared" ca="1" si="2"/>
        <v>434</v>
      </c>
      <c r="C95" s="29" t="s">
        <v>19</v>
      </c>
      <c r="D95" s="25" t="str">
        <f t="shared" ca="1" si="3"/>
        <v>Triplex</v>
      </c>
    </row>
    <row r="96" spans="1:4" x14ac:dyDescent="0.25">
      <c r="A96" s="29" t="s">
        <v>182</v>
      </c>
      <c r="B96" s="32">
        <f t="shared" ca="1" si="2"/>
        <v>441</v>
      </c>
      <c r="C96" s="29" t="s">
        <v>19</v>
      </c>
      <c r="D96" s="25" t="str">
        <f t="shared" ca="1" si="3"/>
        <v>Triplex</v>
      </c>
    </row>
    <row r="97" spans="1:4" x14ac:dyDescent="0.25">
      <c r="A97" s="29" t="s">
        <v>183</v>
      </c>
      <c r="B97" s="32">
        <f t="shared" ca="1" si="2"/>
        <v>390</v>
      </c>
      <c r="C97" s="29" t="s">
        <v>19</v>
      </c>
      <c r="D97" s="25" t="str">
        <f t="shared" ca="1" si="3"/>
        <v>Triplex</v>
      </c>
    </row>
    <row r="98" spans="1:4" x14ac:dyDescent="0.25">
      <c r="A98" s="29" t="s">
        <v>184</v>
      </c>
      <c r="B98" s="32">
        <f t="shared" ca="1" si="2"/>
        <v>321</v>
      </c>
      <c r="C98" s="29" t="s">
        <v>19</v>
      </c>
      <c r="D98" s="25" t="str">
        <f t="shared" ca="1" si="3"/>
        <v>Duplex</v>
      </c>
    </row>
    <row r="99" spans="1:4" x14ac:dyDescent="0.25">
      <c r="A99" s="29" t="s">
        <v>185</v>
      </c>
      <c r="B99" s="32">
        <f t="shared" ca="1" si="2"/>
        <v>340</v>
      </c>
      <c r="C99" s="29" t="s">
        <v>19</v>
      </c>
      <c r="D99" s="25" t="str">
        <f t="shared" ca="1" si="3"/>
        <v>Duplex</v>
      </c>
    </row>
    <row r="100" spans="1:4" x14ac:dyDescent="0.25">
      <c r="A100" s="29" t="s">
        <v>186</v>
      </c>
      <c r="B100" s="32">
        <f t="shared" ca="1" si="2"/>
        <v>441</v>
      </c>
      <c r="C100" s="29" t="s">
        <v>19</v>
      </c>
      <c r="D100" s="25" t="str">
        <f t="shared" ca="1" si="3"/>
        <v>Duplex</v>
      </c>
    </row>
    <row r="101" spans="1:4" x14ac:dyDescent="0.25">
      <c r="A101" s="29" t="s">
        <v>187</v>
      </c>
      <c r="B101" s="32">
        <f t="shared" ca="1" si="2"/>
        <v>389</v>
      </c>
      <c r="C101" s="29" t="s">
        <v>19</v>
      </c>
      <c r="D101" s="25" t="str">
        <f t="shared" ca="1" si="3"/>
        <v>Triplex</v>
      </c>
    </row>
    <row r="102" spans="1:4" x14ac:dyDescent="0.25">
      <c r="A102" s="29" t="s">
        <v>188</v>
      </c>
      <c r="B102" s="32">
        <f t="shared" ca="1" si="2"/>
        <v>351</v>
      </c>
      <c r="C102" s="29" t="s">
        <v>19</v>
      </c>
      <c r="D102" s="25" t="str">
        <f t="shared" ca="1" si="3"/>
        <v>Triplex</v>
      </c>
    </row>
    <row r="103" spans="1:4" x14ac:dyDescent="0.25">
      <c r="A103" s="29" t="s">
        <v>189</v>
      </c>
      <c r="B103" s="32">
        <f t="shared" ca="1" si="2"/>
        <v>301</v>
      </c>
      <c r="C103" s="29" t="s">
        <v>19</v>
      </c>
      <c r="D103" s="25" t="str">
        <f t="shared" ca="1" si="3"/>
        <v>Duplex</v>
      </c>
    </row>
    <row r="104" spans="1:4" x14ac:dyDescent="0.25">
      <c r="A104" s="29" t="s">
        <v>190</v>
      </c>
      <c r="B104" s="32">
        <f t="shared" ca="1" si="2"/>
        <v>253</v>
      </c>
      <c r="C104" s="29" t="s">
        <v>19</v>
      </c>
      <c r="D104" s="25" t="str">
        <f t="shared" ca="1" si="3"/>
        <v>Duplex</v>
      </c>
    </row>
    <row r="105" spans="1:4" x14ac:dyDescent="0.25">
      <c r="A105" s="29" t="s">
        <v>191</v>
      </c>
      <c r="B105" s="32">
        <f t="shared" ca="1" si="2"/>
        <v>425</v>
      </c>
      <c r="C105" s="29" t="s">
        <v>19</v>
      </c>
      <c r="D105" s="25" t="str">
        <f t="shared" ca="1" si="3"/>
        <v>Triplex</v>
      </c>
    </row>
    <row r="106" spans="1:4" x14ac:dyDescent="0.25">
      <c r="A106" s="29" t="s">
        <v>192</v>
      </c>
      <c r="B106" s="32">
        <f t="shared" ca="1" si="2"/>
        <v>244</v>
      </c>
      <c r="C106" s="29" t="s">
        <v>19</v>
      </c>
      <c r="D106" s="25" t="str">
        <f t="shared" ca="1" si="3"/>
        <v>Duplex</v>
      </c>
    </row>
    <row r="107" spans="1:4" x14ac:dyDescent="0.25">
      <c r="A107" s="29" t="s">
        <v>195</v>
      </c>
      <c r="B107" s="32">
        <f t="shared" ca="1" si="2"/>
        <v>318</v>
      </c>
      <c r="C107" s="29" t="s">
        <v>19</v>
      </c>
      <c r="D107" s="25" t="str">
        <f t="shared" ca="1" si="3"/>
        <v>Duplex</v>
      </c>
    </row>
    <row r="108" spans="1:4" x14ac:dyDescent="0.25">
      <c r="A108" s="29" t="s">
        <v>196</v>
      </c>
      <c r="B108" s="32">
        <f t="shared" ca="1" si="2"/>
        <v>397</v>
      </c>
      <c r="C108" s="29" t="s">
        <v>19</v>
      </c>
      <c r="D108" s="25" t="str">
        <f t="shared" ca="1" si="3"/>
        <v>Triplex</v>
      </c>
    </row>
    <row r="109" spans="1:4" x14ac:dyDescent="0.25">
      <c r="A109" s="29" t="s">
        <v>197</v>
      </c>
      <c r="B109" s="32">
        <f t="shared" ca="1" si="2"/>
        <v>203</v>
      </c>
      <c r="C109" s="29" t="s">
        <v>19</v>
      </c>
      <c r="D109" s="25" t="str">
        <f t="shared" ca="1" si="3"/>
        <v>Duplex</v>
      </c>
    </row>
    <row r="110" spans="1:4" x14ac:dyDescent="0.25">
      <c r="A110" s="29" t="s">
        <v>198</v>
      </c>
      <c r="B110" s="32">
        <f t="shared" ca="1" si="2"/>
        <v>603</v>
      </c>
      <c r="C110" s="29" t="s">
        <v>19</v>
      </c>
      <c r="D110" s="25" t="str">
        <f t="shared" ca="1" si="3"/>
        <v>Triplex</v>
      </c>
    </row>
    <row r="111" spans="1:4" x14ac:dyDescent="0.25">
      <c r="A111" s="29" t="s">
        <v>199</v>
      </c>
      <c r="B111" s="32">
        <f t="shared" ca="1" si="2"/>
        <v>478</v>
      </c>
      <c r="C111" s="29" t="s">
        <v>19</v>
      </c>
      <c r="D111" s="25" t="str">
        <f t="shared" ca="1" si="3"/>
        <v>Duplex</v>
      </c>
    </row>
    <row r="112" spans="1:4" x14ac:dyDescent="0.25">
      <c r="A112" s="29" t="s">
        <v>200</v>
      </c>
      <c r="B112" s="32">
        <f t="shared" ca="1" si="2"/>
        <v>573</v>
      </c>
      <c r="C112" s="29" t="s">
        <v>19</v>
      </c>
      <c r="D112" s="25" t="str">
        <f t="shared" ca="1" si="3"/>
        <v>Triplex</v>
      </c>
    </row>
    <row r="113" spans="1:4" x14ac:dyDescent="0.25">
      <c r="A113" s="29" t="s">
        <v>201</v>
      </c>
      <c r="B113" s="32">
        <f t="shared" ca="1" si="2"/>
        <v>382</v>
      </c>
      <c r="C113" s="29" t="s">
        <v>19</v>
      </c>
      <c r="D113" s="25" t="str">
        <f t="shared" ca="1" si="3"/>
        <v>Triplex</v>
      </c>
    </row>
    <row r="114" spans="1:4" x14ac:dyDescent="0.25">
      <c r="A114" s="29" t="s">
        <v>202</v>
      </c>
      <c r="B114" s="32">
        <f t="shared" ca="1" si="2"/>
        <v>392</v>
      </c>
      <c r="C114" s="29" t="s">
        <v>19</v>
      </c>
      <c r="D114" s="25" t="str">
        <f t="shared" ca="1" si="3"/>
        <v>Triplex</v>
      </c>
    </row>
    <row r="115" spans="1:4" x14ac:dyDescent="0.25">
      <c r="A115" s="29" t="s">
        <v>203</v>
      </c>
      <c r="B115" s="32">
        <f t="shared" ca="1" si="2"/>
        <v>375</v>
      </c>
      <c r="C115" s="29" t="s">
        <v>19</v>
      </c>
      <c r="D115" s="25" t="str">
        <f t="shared" ca="1" si="3"/>
        <v>Duplex</v>
      </c>
    </row>
    <row r="116" spans="1:4" x14ac:dyDescent="0.25">
      <c r="A116" s="29" t="s">
        <v>204</v>
      </c>
      <c r="B116" s="32">
        <f t="shared" ca="1" si="2"/>
        <v>404</v>
      </c>
      <c r="C116" s="29" t="s">
        <v>19</v>
      </c>
      <c r="D116" s="25" t="str">
        <f t="shared" ca="1" si="3"/>
        <v>Triplex</v>
      </c>
    </row>
    <row r="117" spans="1:4" x14ac:dyDescent="0.25">
      <c r="A117" s="29" t="s">
        <v>205</v>
      </c>
      <c r="B117" s="32">
        <f t="shared" ca="1" si="2"/>
        <v>377</v>
      </c>
      <c r="C117" s="29" t="s">
        <v>19</v>
      </c>
      <c r="D117" s="25" t="str">
        <f t="shared" ca="1" si="3"/>
        <v>Triplex</v>
      </c>
    </row>
    <row r="118" spans="1:4" x14ac:dyDescent="0.25">
      <c r="A118" s="20" t="s">
        <v>352</v>
      </c>
      <c r="B118" s="32">
        <f t="shared" ca="1" si="2"/>
        <v>367</v>
      </c>
      <c r="C118" s="29" t="s">
        <v>19</v>
      </c>
      <c r="D118" s="25" t="str">
        <f t="shared" ca="1" si="3"/>
        <v>Triplex</v>
      </c>
    </row>
    <row r="119" spans="1:4" x14ac:dyDescent="0.25">
      <c r="A119" s="20" t="s">
        <v>322</v>
      </c>
      <c r="B119" s="32">
        <f t="shared" ca="1" si="2"/>
        <v>495</v>
      </c>
      <c r="C119" s="29" t="s">
        <v>19</v>
      </c>
      <c r="D119" s="25" t="str">
        <f t="shared" ca="1" si="3"/>
        <v>Triplex</v>
      </c>
    </row>
    <row r="120" spans="1:4" x14ac:dyDescent="0.25">
      <c r="A120" s="20" t="s">
        <v>353</v>
      </c>
      <c r="B120" s="32">
        <f t="shared" ca="1" si="2"/>
        <v>624</v>
      </c>
      <c r="C120" s="29" t="s">
        <v>19</v>
      </c>
      <c r="D120" s="25" t="str">
        <f t="shared" ca="1" si="3"/>
        <v>Triplex</v>
      </c>
    </row>
    <row r="121" spans="1:4" x14ac:dyDescent="0.25">
      <c r="A121" s="20" t="s">
        <v>350</v>
      </c>
      <c r="B121" s="32">
        <f t="shared" ca="1" si="2"/>
        <v>300</v>
      </c>
      <c r="C121" s="29" t="s">
        <v>19</v>
      </c>
      <c r="D121" s="25" t="str">
        <f t="shared" ca="1" si="3"/>
        <v>Duplex</v>
      </c>
    </row>
    <row r="122" spans="1:4" x14ac:dyDescent="0.25">
      <c r="A122" s="20" t="s">
        <v>195</v>
      </c>
      <c r="B122" s="32">
        <f t="shared" ca="1" si="2"/>
        <v>318</v>
      </c>
      <c r="C122" s="29" t="s">
        <v>19</v>
      </c>
      <c r="D122" s="25" t="str">
        <f t="shared" ca="1" si="3"/>
        <v>Duplex</v>
      </c>
    </row>
    <row r="123" spans="1:4" x14ac:dyDescent="0.25">
      <c r="A123" s="20" t="s">
        <v>354</v>
      </c>
      <c r="B123" s="32">
        <f t="shared" ca="1" si="2"/>
        <v>2063</v>
      </c>
      <c r="C123" s="29" t="s">
        <v>19</v>
      </c>
      <c r="D123" s="25" t="str">
        <f t="shared" ca="1" si="3"/>
        <v>Duplex</v>
      </c>
    </row>
    <row r="124" spans="1:4" x14ac:dyDescent="0.25">
      <c r="A124" s="20" t="s">
        <v>355</v>
      </c>
      <c r="B124" s="32">
        <f t="shared" ca="1" si="2"/>
        <v>2153</v>
      </c>
      <c r="C124" s="29" t="s">
        <v>19</v>
      </c>
      <c r="D124" s="25" t="str">
        <f t="shared" ca="1" si="3"/>
        <v>Duplex</v>
      </c>
    </row>
    <row r="125" spans="1:4" x14ac:dyDescent="0.25">
      <c r="A125" s="20" t="s">
        <v>351</v>
      </c>
      <c r="B125" s="32">
        <f t="shared" ca="1" si="2"/>
        <v>405</v>
      </c>
      <c r="C125" s="29" t="s">
        <v>19</v>
      </c>
      <c r="D125" s="25" t="str">
        <f ca="1">VLOOKUP(A125,TermekKod_data,3,FALSE)</f>
        <v>Duplex</v>
      </c>
    </row>
    <row r="126" spans="1:4" x14ac:dyDescent="0.25">
      <c r="A126" s="20" t="s">
        <v>203</v>
      </c>
      <c r="B126" s="32">
        <f t="shared" ca="1" si="2"/>
        <v>375</v>
      </c>
      <c r="C126" s="29" t="s">
        <v>19</v>
      </c>
      <c r="D126" s="25" t="str">
        <f ca="1">VLOOKUP(A126,TermekKod_data,3,FALSE)</f>
        <v>Duplex</v>
      </c>
    </row>
    <row r="127" spans="1:4" x14ac:dyDescent="0.25">
      <c r="A127" s="20" t="s">
        <v>337</v>
      </c>
      <c r="B127" s="32">
        <f t="shared" ca="1" si="2"/>
        <v>390</v>
      </c>
      <c r="C127" s="29" t="s">
        <v>19</v>
      </c>
      <c r="D127" s="25" t="str">
        <f ca="1">VLOOKUP(A127,TermekKod_data,3,FALSE)</f>
        <v>Triplex</v>
      </c>
    </row>
    <row r="128" spans="1:4" x14ac:dyDescent="0.25">
      <c r="A128" s="20" t="s">
        <v>336</v>
      </c>
      <c r="B128" s="32">
        <f t="shared" ca="1" si="2"/>
        <v>617</v>
      </c>
      <c r="C128" s="29" t="s">
        <v>19</v>
      </c>
      <c r="D128" s="25" t="str">
        <f ca="1">VLOOKUP(A128,TermekKod_data,3,FALSE)</f>
        <v>Triplex</v>
      </c>
    </row>
    <row r="129" spans="1:4" x14ac:dyDescent="0.25">
      <c r="A129" s="20" t="s">
        <v>338</v>
      </c>
      <c r="B129" s="32">
        <f t="shared" ca="1" si="2"/>
        <v>221</v>
      </c>
      <c r="C129" s="29" t="s">
        <v>19</v>
      </c>
      <c r="D129" s="25" t="str">
        <f ca="1">VLOOKUP(A129,TermekKod_data,3,FALSE)</f>
        <v>Duplex</v>
      </c>
    </row>
    <row r="130" spans="1:4" x14ac:dyDescent="0.25">
      <c r="A130" s="20" t="s">
        <v>341</v>
      </c>
      <c r="B130" s="32">
        <f t="shared" ref="B130:B143" ca="1" si="4">VLOOKUP($A130,TermekKod_data,9,0)</f>
        <v>580</v>
      </c>
      <c r="C130" s="29" t="s">
        <v>19</v>
      </c>
      <c r="D130" s="25" t="str">
        <f t="shared" ref="D130:D143" ca="1" si="5">VLOOKUP(A130,TermekKod_data,3,FALSE)</f>
        <v>Duplex</v>
      </c>
    </row>
    <row r="131" spans="1:4" x14ac:dyDescent="0.25">
      <c r="A131" s="20" t="s">
        <v>342</v>
      </c>
      <c r="B131" s="32">
        <f t="shared" ca="1" si="4"/>
        <v>611</v>
      </c>
      <c r="C131" s="29" t="s">
        <v>19</v>
      </c>
      <c r="D131" s="25" t="str">
        <f t="shared" ca="1" si="5"/>
        <v>Duplex</v>
      </c>
    </row>
    <row r="132" spans="1:4" x14ac:dyDescent="0.25">
      <c r="A132" s="20" t="s">
        <v>361</v>
      </c>
      <c r="B132" s="32">
        <f t="shared" ca="1" si="4"/>
        <v>420</v>
      </c>
      <c r="C132" s="29" t="s">
        <v>19</v>
      </c>
      <c r="D132" s="25" t="str">
        <f t="shared" ca="1" si="5"/>
        <v>Triplex</v>
      </c>
    </row>
    <row r="133" spans="1:4" x14ac:dyDescent="0.25">
      <c r="A133" s="20" t="s">
        <v>362</v>
      </c>
      <c r="B133" s="32">
        <f t="shared" ca="1" si="4"/>
        <v>244</v>
      </c>
      <c r="C133" s="29" t="s">
        <v>19</v>
      </c>
      <c r="D133" s="25" t="str">
        <f t="shared" ca="1" si="5"/>
        <v>Duplex</v>
      </c>
    </row>
    <row r="134" spans="1:4" x14ac:dyDescent="0.25">
      <c r="A134" s="20" t="s">
        <v>363</v>
      </c>
      <c r="B134" s="32">
        <f t="shared" ca="1" si="4"/>
        <v>451</v>
      </c>
      <c r="C134" s="29" t="s">
        <v>19</v>
      </c>
      <c r="D134" s="25" t="str">
        <f t="shared" ca="1" si="5"/>
        <v>Triplex</v>
      </c>
    </row>
    <row r="135" spans="1:4" x14ac:dyDescent="0.25">
      <c r="A135" s="20" t="s">
        <v>364</v>
      </c>
      <c r="B135" s="32">
        <f t="shared" ca="1" si="4"/>
        <v>370</v>
      </c>
      <c r="C135" s="29" t="s">
        <v>19</v>
      </c>
      <c r="D135" s="25" t="str">
        <f t="shared" ca="1" si="5"/>
        <v>Duplex</v>
      </c>
    </row>
    <row r="136" spans="1:4" x14ac:dyDescent="0.25">
      <c r="A136" s="20" t="s">
        <v>145</v>
      </c>
      <c r="B136" s="32">
        <f t="shared" ca="1" si="4"/>
        <v>340</v>
      </c>
      <c r="C136" s="29" t="s">
        <v>19</v>
      </c>
      <c r="D136" s="25" t="str">
        <f t="shared" ca="1" si="5"/>
        <v>Duplex</v>
      </c>
    </row>
    <row r="137" spans="1:4" x14ac:dyDescent="0.25">
      <c r="A137" s="20" t="s">
        <v>365</v>
      </c>
      <c r="B137" s="32">
        <f t="shared" ca="1" si="4"/>
        <v>611</v>
      </c>
      <c r="C137" s="29" t="s">
        <v>19</v>
      </c>
      <c r="D137" s="25" t="str">
        <f t="shared" ca="1" si="5"/>
        <v>Triplex</v>
      </c>
    </row>
    <row r="138" spans="1:4" x14ac:dyDescent="0.25">
      <c r="A138" s="20" t="s">
        <v>366</v>
      </c>
      <c r="B138" s="32">
        <f t="shared" ca="1" si="4"/>
        <v>419</v>
      </c>
      <c r="C138" s="29" t="s">
        <v>19</v>
      </c>
      <c r="D138" s="25" t="str">
        <f t="shared" ca="1" si="5"/>
        <v>Triplex</v>
      </c>
    </row>
    <row r="139" spans="1:4" x14ac:dyDescent="0.25">
      <c r="A139" s="20" t="s">
        <v>367</v>
      </c>
      <c r="B139" s="32">
        <f t="shared" ca="1" si="4"/>
        <v>1056</v>
      </c>
      <c r="C139" s="29" t="s">
        <v>19</v>
      </c>
      <c r="D139" s="25" t="str">
        <f t="shared" ca="1" si="5"/>
        <v>Triplex</v>
      </c>
    </row>
    <row r="140" spans="1:4" x14ac:dyDescent="0.25">
      <c r="A140" s="20" t="s">
        <v>373</v>
      </c>
      <c r="B140" s="32">
        <f t="shared" ca="1" si="4"/>
        <v>432</v>
      </c>
      <c r="C140" s="29" t="s">
        <v>19</v>
      </c>
      <c r="D140" s="25" t="str">
        <f t="shared" ca="1" si="5"/>
        <v>Triplex</v>
      </c>
    </row>
    <row r="141" spans="1:4" x14ac:dyDescent="0.25">
      <c r="A141" s="20" t="s">
        <v>337</v>
      </c>
      <c r="B141" s="32">
        <f t="shared" ca="1" si="4"/>
        <v>390</v>
      </c>
      <c r="C141" s="29" t="s">
        <v>19</v>
      </c>
      <c r="D141" s="25" t="str">
        <f t="shared" ca="1" si="5"/>
        <v>Triplex</v>
      </c>
    </row>
    <row r="142" spans="1:4" x14ac:dyDescent="0.25">
      <c r="A142" s="20" t="s">
        <v>374</v>
      </c>
      <c r="B142" s="32">
        <f t="shared" ca="1" si="4"/>
        <v>697</v>
      </c>
      <c r="C142" s="29" t="s">
        <v>19</v>
      </c>
      <c r="D142" s="25" t="str">
        <f t="shared" ca="1" si="5"/>
        <v>Triplex</v>
      </c>
    </row>
    <row r="143" spans="1:4" x14ac:dyDescent="0.25">
      <c r="A143" s="20" t="s">
        <v>375</v>
      </c>
      <c r="B143" s="32">
        <f t="shared" ca="1" si="4"/>
        <v>287</v>
      </c>
      <c r="C143" s="29" t="s">
        <v>19</v>
      </c>
      <c r="D143" s="25" t="str">
        <f t="shared" ca="1" si="5"/>
        <v>Duplex</v>
      </c>
    </row>
  </sheetData>
  <dataValidations disablePrompts="1" count="1">
    <dataValidation type="list" allowBlank="1" showInputMessage="1" showErrorMessage="1" sqref="A2:A143" xr:uid="{49975B27-9FB5-4682-B0D5-208C0F1A7914}">
      <formula1>TermekKod_list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AE2A-D645-4D23-AD51-2CDB086AF06A}">
  <sheetPr codeName="Sheet1"/>
  <dimension ref="A1:L199"/>
  <sheetViews>
    <sheetView topLeftCell="A165" workbookViewId="0">
      <selection activeCell="C173" sqref="C173"/>
    </sheetView>
  </sheetViews>
  <sheetFormatPr defaultRowHeight="18" customHeight="1" outlineLevelCol="1" x14ac:dyDescent="0.2"/>
  <cols>
    <col min="1" max="1" width="24.28515625" style="26" bestFit="1" customWidth="1"/>
    <col min="2" max="2" width="41.42578125" style="26" customWidth="1" outlineLevel="1"/>
    <col min="3" max="3" width="10.5703125" style="2" customWidth="1" outlineLevel="1"/>
    <col min="4" max="6" width="10.85546875" style="66" customWidth="1"/>
    <col min="7" max="7" width="10" style="2" customWidth="1"/>
    <col min="8" max="8" width="10.140625" style="79" bestFit="1" customWidth="1"/>
    <col min="9" max="9" width="11" style="79" bestFit="1" customWidth="1"/>
    <col min="10" max="10" width="9.7109375" style="73" customWidth="1"/>
    <col min="11" max="11" width="9.5703125" style="2" customWidth="1"/>
    <col min="12" max="16384" width="9.140625" style="2"/>
  </cols>
  <sheetData>
    <row r="1" spans="1:12" s="1" customFormat="1" ht="22.5" x14ac:dyDescent="0.2">
      <c r="A1" s="7" t="s">
        <v>16</v>
      </c>
      <c r="B1" s="7" t="s">
        <v>17</v>
      </c>
      <c r="C1" s="1" t="s">
        <v>20</v>
      </c>
      <c r="D1" s="74" t="s">
        <v>36</v>
      </c>
      <c r="E1" s="74" t="s">
        <v>37</v>
      </c>
      <c r="F1" s="74" t="s">
        <v>38</v>
      </c>
      <c r="G1" s="1" t="s">
        <v>39</v>
      </c>
      <c r="H1" s="75" t="s">
        <v>15</v>
      </c>
      <c r="I1" s="75" t="s">
        <v>13</v>
      </c>
      <c r="J1" s="74" t="s">
        <v>88</v>
      </c>
      <c r="K1" s="1" t="s">
        <v>89</v>
      </c>
      <c r="L1" s="1" t="s">
        <v>233</v>
      </c>
    </row>
    <row r="2" spans="1:12" s="26" customFormat="1" ht="16.5" customHeight="1" x14ac:dyDescent="0.2">
      <c r="A2" s="76" t="str">
        <f t="shared" ref="A2:A33" si="0">D2&amp;"-"&amp;E2&amp;IF(F2="","","-"&amp;F2)</f>
        <v>F4-F4</v>
      </c>
      <c r="B2" s="76" t="str">
        <f t="shared" ref="B2:B33" ca="1" si="1">VLOOKUP(D2,EgyediTermekKod_data,2,0)&amp;"-"&amp;VLOOKUP(E2,EgyediTermekKod_data,2,0)&amp;IF(F2="","","-"&amp;VLOOKUP(F2,EgyediTermekKod_data,2,0)) &amp;" termó"</f>
        <v>Float 4mm-Float 4mm termó</v>
      </c>
      <c r="C2" s="77" t="str">
        <f t="shared" ref="C2:C33" si="2">IF(F2="",IF(E2="","SIMMA UVEG!","Duplex"),"Triplex")</f>
        <v>Duplex</v>
      </c>
      <c r="D2" s="64" t="s">
        <v>28</v>
      </c>
      <c r="E2" s="64" t="s">
        <v>28</v>
      </c>
      <c r="F2" s="64"/>
      <c r="G2" s="77">
        <f t="shared" ref="G2:G33" ca="1" si="3">VLOOKUP(C2,Termositas_data,2,0)</f>
        <v>53</v>
      </c>
      <c r="H2" s="78">
        <f t="shared" ref="H2:H33" ca="1" si="4">ROUND(J2+G2+VLOOKUP(D2,EgyediTermekKod_data,3,0)+VLOOKUP(E2,EgyediTermekKod_data,3,0)+IF(C2="Triplex",VLOOKUP(F2,EgyediTermekKod_data,3,0),0),0)</f>
        <v>211</v>
      </c>
      <c r="I2" s="78">
        <f t="shared" ref="I2:I33" ca="1" si="5">ROUNDUP(H2-H2*15/100,0)</f>
        <v>180</v>
      </c>
      <c r="J2" s="68">
        <v>-12</v>
      </c>
      <c r="K2" s="45">
        <f t="shared" ref="K2:K33" si="6">ROUNDUP(J2-J2*15/100,0)</f>
        <v>-11</v>
      </c>
      <c r="L2" s="26">
        <v>1</v>
      </c>
    </row>
    <row r="3" spans="1:12" ht="18" customHeight="1" x14ac:dyDescent="0.2">
      <c r="A3" s="76" t="str">
        <f t="shared" si="0"/>
        <v>F4-Low-e4</v>
      </c>
      <c r="B3" s="76" t="str">
        <f t="shared" ca="1" si="1"/>
        <v>Float 4mm-Low-e 4mm termó</v>
      </c>
      <c r="C3" s="77" t="str">
        <f t="shared" si="2"/>
        <v>Duplex</v>
      </c>
      <c r="D3" s="65" t="s">
        <v>28</v>
      </c>
      <c r="E3" s="65" t="s">
        <v>72</v>
      </c>
      <c r="F3" s="65"/>
      <c r="G3" s="77">
        <f t="shared" ca="1" si="3"/>
        <v>53</v>
      </c>
      <c r="H3" s="78">
        <f t="shared" ca="1" si="4"/>
        <v>226</v>
      </c>
      <c r="I3" s="78">
        <f t="shared" ca="1" si="5"/>
        <v>193</v>
      </c>
      <c r="J3" s="69">
        <v>-15</v>
      </c>
      <c r="K3" s="46">
        <f t="shared" si="6"/>
        <v>-13</v>
      </c>
      <c r="L3" s="2">
        <v>2</v>
      </c>
    </row>
    <row r="4" spans="1:12" ht="18" customHeight="1" x14ac:dyDescent="0.2">
      <c r="A4" s="76" t="str">
        <f t="shared" si="0"/>
        <v>4s-Low-e4</v>
      </c>
      <c r="B4" s="76" t="str">
        <f t="shared" ca="1" si="1"/>
        <v>4 evszakos-Low-e 4mm termó</v>
      </c>
      <c r="C4" s="77" t="str">
        <f t="shared" si="2"/>
        <v>Duplex</v>
      </c>
      <c r="D4" s="65" t="s">
        <v>86</v>
      </c>
      <c r="E4" s="65" t="s">
        <v>72</v>
      </c>
      <c r="F4" s="65"/>
      <c r="G4" s="77">
        <f t="shared" ca="1" si="3"/>
        <v>53</v>
      </c>
      <c r="H4" s="78">
        <f t="shared" ca="1" si="4"/>
        <v>256</v>
      </c>
      <c r="I4" s="78">
        <f t="shared" ca="1" si="5"/>
        <v>218</v>
      </c>
      <c r="J4" s="69"/>
      <c r="K4" s="46">
        <f t="shared" si="6"/>
        <v>0</v>
      </c>
    </row>
    <row r="5" spans="1:12" ht="18" customHeight="1" x14ac:dyDescent="0.2">
      <c r="A5" s="76" t="str">
        <f t="shared" si="0"/>
        <v>F6-Low-e4</v>
      </c>
      <c r="B5" s="76" t="str">
        <f t="shared" ca="1" si="1"/>
        <v>Float 6mm-Low-e 4mm termó</v>
      </c>
      <c r="C5" s="77" t="str">
        <f t="shared" si="2"/>
        <v>Duplex</v>
      </c>
      <c r="D5" s="65" t="s">
        <v>29</v>
      </c>
      <c r="E5" s="65" t="s">
        <v>72</v>
      </c>
      <c r="F5" s="65"/>
      <c r="G5" s="77">
        <f t="shared" ca="1" si="3"/>
        <v>53</v>
      </c>
      <c r="H5" s="78">
        <f t="shared" ca="1" si="4"/>
        <v>278</v>
      </c>
      <c r="I5" s="78">
        <f t="shared" ca="1" si="5"/>
        <v>237</v>
      </c>
      <c r="J5" s="69"/>
      <c r="K5" s="46">
        <f t="shared" si="6"/>
        <v>0</v>
      </c>
    </row>
    <row r="6" spans="1:12" ht="11.25" x14ac:dyDescent="0.2">
      <c r="A6" s="76" t="str">
        <f t="shared" si="0"/>
        <v>Fehér fatörzs-Low-e4</v>
      </c>
      <c r="B6" s="76" t="str">
        <f t="shared" ca="1" si="1"/>
        <v>Mintas uveg feher fatorzs-Low-e 4mm termó</v>
      </c>
      <c r="C6" s="77" t="str">
        <f t="shared" si="2"/>
        <v>Duplex</v>
      </c>
      <c r="D6" s="65" t="s">
        <v>103</v>
      </c>
      <c r="E6" s="65" t="s">
        <v>72</v>
      </c>
      <c r="F6" s="65"/>
      <c r="G6" s="77">
        <f t="shared" ca="1" si="3"/>
        <v>53</v>
      </c>
      <c r="H6" s="78">
        <f t="shared" ca="1" si="4"/>
        <v>256</v>
      </c>
      <c r="I6" s="78">
        <f t="shared" ca="1" si="5"/>
        <v>218</v>
      </c>
      <c r="J6" s="69"/>
      <c r="K6" s="46">
        <f t="shared" si="6"/>
        <v>0</v>
      </c>
    </row>
    <row r="7" spans="1:12" ht="11.25" x14ac:dyDescent="0.2">
      <c r="A7" s="76" t="str">
        <f t="shared" si="0"/>
        <v>Duplakockás-Low-e4</v>
      </c>
      <c r="B7" s="76" t="str">
        <f t="shared" ca="1" si="1"/>
        <v>Duplakockas-Low-e 4mm termó</v>
      </c>
      <c r="C7" s="77" t="str">
        <f t="shared" si="2"/>
        <v>Duplex</v>
      </c>
      <c r="D7" s="65" t="s">
        <v>105</v>
      </c>
      <c r="E7" s="65" t="s">
        <v>72</v>
      </c>
      <c r="F7" s="65"/>
      <c r="G7" s="77">
        <f t="shared" ca="1" si="3"/>
        <v>53</v>
      </c>
      <c r="H7" s="78">
        <f t="shared" ca="1" si="4"/>
        <v>276</v>
      </c>
      <c r="I7" s="78">
        <f t="shared" ca="1" si="5"/>
        <v>235</v>
      </c>
      <c r="J7" s="69"/>
      <c r="K7" s="46">
        <f t="shared" si="6"/>
        <v>0</v>
      </c>
    </row>
    <row r="8" spans="1:12" ht="22.5" x14ac:dyDescent="0.2">
      <c r="A8" s="76" t="str">
        <f t="shared" si="0"/>
        <v>Fehér csincsilla-Low-e4</v>
      </c>
      <c r="B8" s="76" t="str">
        <f t="shared" ca="1" si="1"/>
        <v>Feher csincsilla-Low-e 4mm termó</v>
      </c>
      <c r="C8" s="77" t="str">
        <f t="shared" si="2"/>
        <v>Duplex</v>
      </c>
      <c r="D8" s="65" t="s">
        <v>106</v>
      </c>
      <c r="E8" s="65" t="s">
        <v>72</v>
      </c>
      <c r="F8" s="65"/>
      <c r="G8" s="77">
        <f t="shared" ca="1" si="3"/>
        <v>53</v>
      </c>
      <c r="H8" s="78">
        <f t="shared" ca="1" si="4"/>
        <v>305</v>
      </c>
      <c r="I8" s="78">
        <f t="shared" ca="1" si="5"/>
        <v>260</v>
      </c>
      <c r="J8" s="69"/>
      <c r="K8" s="46">
        <f t="shared" si="6"/>
        <v>0</v>
      </c>
    </row>
    <row r="9" spans="1:12" ht="11.25" x14ac:dyDescent="0.2">
      <c r="A9" s="76" t="str">
        <f t="shared" si="0"/>
        <v>Barna delta2-Low-e4</v>
      </c>
      <c r="B9" s="76" t="str">
        <f t="shared" ca="1" si="1"/>
        <v>Barna delta 2-Low-e 4mm termó</v>
      </c>
      <c r="C9" s="77" t="str">
        <f t="shared" si="2"/>
        <v>Duplex</v>
      </c>
      <c r="D9" s="65" t="s">
        <v>109</v>
      </c>
      <c r="E9" s="65" t="s">
        <v>72</v>
      </c>
      <c r="F9" s="65"/>
      <c r="G9" s="77">
        <f t="shared" ca="1" si="3"/>
        <v>53</v>
      </c>
      <c r="H9" s="78">
        <f t="shared" ca="1" si="4"/>
        <v>362</v>
      </c>
      <c r="I9" s="78">
        <f t="shared" ca="1" si="5"/>
        <v>308</v>
      </c>
      <c r="J9" s="69"/>
      <c r="K9" s="46">
        <f t="shared" si="6"/>
        <v>0</v>
      </c>
    </row>
    <row r="10" spans="1:12" ht="11.25" x14ac:dyDescent="0.2">
      <c r="A10" s="76" t="str">
        <f t="shared" si="0"/>
        <v>Fehér tüskés-Low-e4</v>
      </c>
      <c r="B10" s="76" t="str">
        <f t="shared" ca="1" si="1"/>
        <v>Savmarta feher tuskes-Low-e 4mm termó</v>
      </c>
      <c r="C10" s="77" t="str">
        <f t="shared" si="2"/>
        <v>Duplex</v>
      </c>
      <c r="D10" s="65" t="s">
        <v>110</v>
      </c>
      <c r="E10" s="65" t="s">
        <v>72</v>
      </c>
      <c r="F10" s="65"/>
      <c r="G10" s="77">
        <f t="shared" ca="1" si="3"/>
        <v>53</v>
      </c>
      <c r="H10" s="78">
        <f t="shared" ca="1" si="4"/>
        <v>354</v>
      </c>
      <c r="I10" s="78">
        <f t="shared" ca="1" si="5"/>
        <v>301</v>
      </c>
      <c r="J10" s="69"/>
      <c r="K10" s="46">
        <f t="shared" si="6"/>
        <v>0</v>
      </c>
    </row>
    <row r="11" spans="1:12" ht="11.25" x14ac:dyDescent="0.2">
      <c r="A11" s="76" t="str">
        <f t="shared" si="0"/>
        <v>Barna tüskés-Low-e4</v>
      </c>
      <c r="B11" s="76" t="str">
        <f t="shared" ca="1" si="1"/>
        <v>Savmarta barna tuskes-Low-e 4mm termó</v>
      </c>
      <c r="C11" s="77" t="str">
        <f t="shared" si="2"/>
        <v>Duplex</v>
      </c>
      <c r="D11" s="65" t="s">
        <v>112</v>
      </c>
      <c r="E11" s="65" t="s">
        <v>72</v>
      </c>
      <c r="F11" s="65"/>
      <c r="G11" s="77">
        <f t="shared" ca="1" si="3"/>
        <v>53</v>
      </c>
      <c r="H11" s="78">
        <f t="shared" ca="1" si="4"/>
        <v>400</v>
      </c>
      <c r="I11" s="78">
        <f t="shared" ca="1" si="5"/>
        <v>340</v>
      </c>
      <c r="J11" s="69"/>
      <c r="K11" s="46">
        <f t="shared" si="6"/>
        <v>0</v>
      </c>
    </row>
    <row r="12" spans="1:12" ht="11.25" x14ac:dyDescent="0.2">
      <c r="A12" s="76" t="str">
        <f t="shared" si="0"/>
        <v>Homokolt matt-Low-e4</v>
      </c>
      <c r="B12" s="76" t="str">
        <f t="shared" ca="1" si="1"/>
        <v>Homokfujt 4mm-Low-e 4mm termó</v>
      </c>
      <c r="C12" s="77" t="str">
        <f t="shared" si="2"/>
        <v>Duplex</v>
      </c>
      <c r="D12" s="65" t="s">
        <v>116</v>
      </c>
      <c r="E12" s="65" t="s">
        <v>72</v>
      </c>
      <c r="F12" s="65"/>
      <c r="G12" s="77">
        <f t="shared" ca="1" si="3"/>
        <v>53</v>
      </c>
      <c r="H12" s="78">
        <f t="shared" ca="1" si="4"/>
        <v>311</v>
      </c>
      <c r="I12" s="78">
        <f t="shared" ca="1" si="5"/>
        <v>265</v>
      </c>
      <c r="J12" s="69"/>
      <c r="K12" s="46">
        <f t="shared" si="6"/>
        <v>0</v>
      </c>
    </row>
    <row r="13" spans="1:12" ht="18" customHeight="1" x14ac:dyDescent="0.2">
      <c r="A13" s="76" t="str">
        <f t="shared" si="0"/>
        <v>Satin bronz-Low-e4</v>
      </c>
      <c r="B13" s="76" t="str">
        <f t="shared" ca="1" si="1"/>
        <v>Satin bronz-Low-e 4mm termó</v>
      </c>
      <c r="C13" s="77" t="str">
        <f t="shared" si="2"/>
        <v>Duplex</v>
      </c>
      <c r="D13" s="65" t="s">
        <v>57</v>
      </c>
      <c r="E13" s="65" t="s">
        <v>72</v>
      </c>
      <c r="F13" s="65"/>
      <c r="G13" s="77">
        <f t="shared" ca="1" si="3"/>
        <v>53</v>
      </c>
      <c r="H13" s="78">
        <f t="shared" ca="1" si="4"/>
        <v>337</v>
      </c>
      <c r="I13" s="78">
        <f t="shared" ca="1" si="5"/>
        <v>287</v>
      </c>
      <c r="J13" s="69"/>
      <c r="K13" s="46">
        <f t="shared" si="6"/>
        <v>0</v>
      </c>
    </row>
    <row r="14" spans="1:12" ht="18" customHeight="1" x14ac:dyDescent="0.2">
      <c r="A14" s="76" t="str">
        <f t="shared" si="0"/>
        <v>Fust4-Low-e4</v>
      </c>
      <c r="B14" s="76" t="str">
        <f t="shared" ca="1" si="1"/>
        <v>Fustos 4mm-Low-e 4mm termó</v>
      </c>
      <c r="C14" s="77" t="str">
        <f t="shared" si="2"/>
        <v>Duplex</v>
      </c>
      <c r="D14" s="65" t="s">
        <v>58</v>
      </c>
      <c r="E14" s="65" t="s">
        <v>72</v>
      </c>
      <c r="F14" s="65"/>
      <c r="G14" s="77">
        <f t="shared" ca="1" si="3"/>
        <v>53</v>
      </c>
      <c r="H14" s="78">
        <f t="shared" ca="1" si="4"/>
        <v>311</v>
      </c>
      <c r="I14" s="78">
        <f t="shared" ca="1" si="5"/>
        <v>265</v>
      </c>
      <c r="J14" s="69"/>
      <c r="K14" s="46">
        <f t="shared" si="6"/>
        <v>0</v>
      </c>
    </row>
    <row r="15" spans="1:12" ht="18" customHeight="1" x14ac:dyDescent="0.2">
      <c r="A15" s="76" t="str">
        <f t="shared" si="0"/>
        <v>Dx7-Low-e4</v>
      </c>
      <c r="B15" s="76" t="str">
        <f t="shared" ca="1" si="1"/>
        <v>Duplex 3.1.3.-Low-e 4mm termó</v>
      </c>
      <c r="C15" s="77" t="str">
        <f t="shared" si="2"/>
        <v>Duplex</v>
      </c>
      <c r="D15" s="65" t="s">
        <v>74</v>
      </c>
      <c r="E15" s="65" t="s">
        <v>72</v>
      </c>
      <c r="F15" s="65"/>
      <c r="G15" s="77">
        <f t="shared" ca="1" si="3"/>
        <v>53</v>
      </c>
      <c r="H15" s="78">
        <f t="shared" ca="1" si="4"/>
        <v>380</v>
      </c>
      <c r="I15" s="78">
        <f t="shared" ca="1" si="5"/>
        <v>323</v>
      </c>
      <c r="J15" s="69"/>
      <c r="K15" s="46">
        <f t="shared" si="6"/>
        <v>0</v>
      </c>
    </row>
    <row r="16" spans="1:12" ht="18" customHeight="1" x14ac:dyDescent="0.2">
      <c r="A16" s="76" t="str">
        <f t="shared" si="0"/>
        <v>Refl4-Low-e4</v>
      </c>
      <c r="B16" s="76" t="str">
        <f t="shared" ca="1" si="1"/>
        <v>Reflexios 4mm-Low-e 4mm termó</v>
      </c>
      <c r="C16" s="77" t="str">
        <f t="shared" si="2"/>
        <v>Duplex</v>
      </c>
      <c r="D16" s="65" t="s">
        <v>76</v>
      </c>
      <c r="E16" s="65" t="s">
        <v>72</v>
      </c>
      <c r="F16" s="65"/>
      <c r="G16" s="77">
        <f t="shared" ca="1" si="3"/>
        <v>53</v>
      </c>
      <c r="H16" s="78">
        <f t="shared" ca="1" si="4"/>
        <v>466</v>
      </c>
      <c r="I16" s="78">
        <f t="shared" ca="1" si="5"/>
        <v>397</v>
      </c>
      <c r="J16" s="69"/>
      <c r="K16" s="46">
        <f t="shared" si="6"/>
        <v>0</v>
      </c>
    </row>
    <row r="17" spans="1:11" ht="18" customHeight="1" x14ac:dyDescent="0.2">
      <c r="A17" s="76" t="str">
        <f t="shared" si="0"/>
        <v>Tukor-Tukor</v>
      </c>
      <c r="B17" s="76" t="str">
        <f t="shared" ca="1" si="1"/>
        <v>Tukor 4mm-Tukor 4mm termó</v>
      </c>
      <c r="C17" s="77" t="str">
        <f t="shared" si="2"/>
        <v>Duplex</v>
      </c>
      <c r="D17" s="65" t="s">
        <v>71</v>
      </c>
      <c r="E17" s="65" t="s">
        <v>71</v>
      </c>
      <c r="F17" s="65"/>
      <c r="G17" s="77">
        <f t="shared" ca="1" si="3"/>
        <v>53</v>
      </c>
      <c r="H17" s="78">
        <f t="shared" ca="1" si="4"/>
        <v>519</v>
      </c>
      <c r="I17" s="78">
        <f t="shared" ca="1" si="5"/>
        <v>442</v>
      </c>
      <c r="J17" s="69"/>
      <c r="K17" s="46">
        <f t="shared" si="6"/>
        <v>0</v>
      </c>
    </row>
    <row r="18" spans="1:11" ht="18" customHeight="1" x14ac:dyDescent="0.2">
      <c r="A18" s="76" t="str">
        <f t="shared" si="0"/>
        <v>F4-f4-f4</v>
      </c>
      <c r="B18" s="76" t="str">
        <f t="shared" ca="1" si="1"/>
        <v>Float 4mm-Float 4mm-Float 4mm termó</v>
      </c>
      <c r="C18" s="77" t="str">
        <f t="shared" si="2"/>
        <v>Triplex</v>
      </c>
      <c r="D18" s="65" t="s">
        <v>28</v>
      </c>
      <c r="E18" s="65" t="s">
        <v>160</v>
      </c>
      <c r="F18" s="65" t="s">
        <v>160</v>
      </c>
      <c r="G18" s="77">
        <f t="shared" ca="1" si="3"/>
        <v>106</v>
      </c>
      <c r="H18" s="78">
        <f t="shared" ca="1" si="4"/>
        <v>361</v>
      </c>
      <c r="I18" s="78">
        <f t="shared" ca="1" si="5"/>
        <v>307</v>
      </c>
      <c r="J18" s="69"/>
      <c r="K18" s="46">
        <f t="shared" si="6"/>
        <v>0</v>
      </c>
    </row>
    <row r="19" spans="1:11" ht="18" customHeight="1" x14ac:dyDescent="0.2">
      <c r="A19" s="76" t="str">
        <f t="shared" si="0"/>
        <v>f4-f4-Low-e4</v>
      </c>
      <c r="B19" s="76" t="str">
        <f t="shared" ca="1" si="1"/>
        <v>Float 4mm-Float 4mm-Low-e 4mm termó</v>
      </c>
      <c r="C19" s="77" t="str">
        <f t="shared" si="2"/>
        <v>Triplex</v>
      </c>
      <c r="D19" s="65" t="s">
        <v>160</v>
      </c>
      <c r="E19" s="65" t="s">
        <v>160</v>
      </c>
      <c r="F19" s="65" t="s">
        <v>72</v>
      </c>
      <c r="G19" s="77">
        <f t="shared" ca="1" si="3"/>
        <v>106</v>
      </c>
      <c r="H19" s="78">
        <f t="shared" ca="1" si="4"/>
        <v>366</v>
      </c>
      <c r="I19" s="78">
        <f t="shared" ca="1" si="5"/>
        <v>312</v>
      </c>
      <c r="J19" s="69">
        <v>-13</v>
      </c>
      <c r="K19" s="46">
        <f t="shared" si="6"/>
        <v>-12</v>
      </c>
    </row>
    <row r="20" spans="1:11" ht="18" customHeight="1" x14ac:dyDescent="0.2">
      <c r="A20" s="76" t="str">
        <f t="shared" si="0"/>
        <v>Low-e4-F4-Low-e4</v>
      </c>
      <c r="B20" s="76" t="str">
        <f t="shared" ca="1" si="1"/>
        <v>Low-e 4mm-Float 4mm-Low-e 4mm termó</v>
      </c>
      <c r="C20" s="77" t="str">
        <f t="shared" si="2"/>
        <v>Triplex</v>
      </c>
      <c r="D20" s="65" t="s">
        <v>72</v>
      </c>
      <c r="E20" s="65" t="s">
        <v>28</v>
      </c>
      <c r="F20" s="65" t="s">
        <v>72</v>
      </c>
      <c r="G20" s="77">
        <f t="shared" ca="1" si="3"/>
        <v>106</v>
      </c>
      <c r="H20" s="78">
        <f t="shared" ca="1" si="4"/>
        <v>374</v>
      </c>
      <c r="I20" s="78">
        <f t="shared" ca="1" si="5"/>
        <v>318</v>
      </c>
      <c r="J20" s="69">
        <v>-23</v>
      </c>
      <c r="K20" s="46">
        <f t="shared" si="6"/>
        <v>-20</v>
      </c>
    </row>
    <row r="21" spans="1:11" ht="18" customHeight="1" x14ac:dyDescent="0.2">
      <c r="A21" s="76" t="str">
        <f t="shared" si="0"/>
        <v>Dx7-Low-e4-Low-e4</v>
      </c>
      <c r="B21" s="76" t="str">
        <f t="shared" ca="1" si="1"/>
        <v>Duplex 3.1.3.-Low-e 4mm-Low-e 4mm termó</v>
      </c>
      <c r="C21" s="77" t="str">
        <f t="shared" si="2"/>
        <v>Triplex</v>
      </c>
      <c r="D21" s="65" t="s">
        <v>74</v>
      </c>
      <c r="E21" s="65" t="s">
        <v>72</v>
      </c>
      <c r="F21" s="65" t="s">
        <v>72</v>
      </c>
      <c r="G21" s="77">
        <f t="shared" ca="1" si="3"/>
        <v>106</v>
      </c>
      <c r="H21" s="78">
        <f t="shared" ca="1" si="4"/>
        <v>536</v>
      </c>
      <c r="I21" s="78">
        <f t="shared" ca="1" si="5"/>
        <v>456</v>
      </c>
      <c r="J21" s="69"/>
      <c r="K21" s="46">
        <f t="shared" si="6"/>
        <v>0</v>
      </c>
    </row>
    <row r="22" spans="1:11" ht="18" customHeight="1" x14ac:dyDescent="0.2">
      <c r="A22" s="76" t="str">
        <f t="shared" si="0"/>
        <v>Dx7-4s-Low-e4</v>
      </c>
      <c r="B22" s="76" t="str">
        <f t="shared" ca="1" si="1"/>
        <v>Duplex 3.1.3.-4 evszakos-Low-e 4mm termó</v>
      </c>
      <c r="C22" s="77" t="str">
        <f t="shared" si="2"/>
        <v>Triplex</v>
      </c>
      <c r="D22" s="65" t="s">
        <v>74</v>
      </c>
      <c r="E22" s="65" t="s">
        <v>86</v>
      </c>
      <c r="F22" s="65" t="s">
        <v>72</v>
      </c>
      <c r="G22" s="77">
        <f t="shared" ca="1" si="3"/>
        <v>106</v>
      </c>
      <c r="H22" s="78">
        <f t="shared" ca="1" si="4"/>
        <v>533</v>
      </c>
      <c r="I22" s="78">
        <f t="shared" ca="1" si="5"/>
        <v>454</v>
      </c>
      <c r="J22" s="69"/>
      <c r="K22" s="46">
        <f t="shared" si="6"/>
        <v>0</v>
      </c>
    </row>
    <row r="23" spans="1:11" ht="18" customHeight="1" x14ac:dyDescent="0.2">
      <c r="A23" s="76" t="str">
        <f t="shared" si="0"/>
        <v>f3-f3</v>
      </c>
      <c r="B23" s="76" t="str">
        <f t="shared" ca="1" si="1"/>
        <v>Float 3mm-Float 3mm termó</v>
      </c>
      <c r="C23" s="77" t="str">
        <f t="shared" si="2"/>
        <v>Duplex</v>
      </c>
      <c r="D23" s="65" t="s">
        <v>161</v>
      </c>
      <c r="E23" s="65" t="s">
        <v>161</v>
      </c>
      <c r="F23" s="65"/>
      <c r="G23" s="77">
        <f t="shared" ca="1" si="3"/>
        <v>53</v>
      </c>
      <c r="H23" s="78">
        <f t="shared" ca="1" si="4"/>
        <v>205</v>
      </c>
      <c r="I23" s="78">
        <f t="shared" ca="1" si="5"/>
        <v>175</v>
      </c>
      <c r="J23" s="69"/>
      <c r="K23" s="46">
        <f t="shared" si="6"/>
        <v>0</v>
      </c>
    </row>
    <row r="24" spans="1:11" ht="11.25" x14ac:dyDescent="0.2">
      <c r="A24" s="76" t="str">
        <f t="shared" si="0"/>
        <v>Homokolt matt-Low-e4-Low-e4</v>
      </c>
      <c r="B24" s="76" t="str">
        <f t="shared" ca="1" si="1"/>
        <v>Homokfujt 4mm-Low-e 4mm-Low-e 4mm termó</v>
      </c>
      <c r="C24" s="77" t="str">
        <f t="shared" si="2"/>
        <v>Triplex</v>
      </c>
      <c r="D24" s="65" t="s">
        <v>116</v>
      </c>
      <c r="E24" s="65" t="s">
        <v>72</v>
      </c>
      <c r="F24" s="65" t="s">
        <v>72</v>
      </c>
      <c r="G24" s="77">
        <f t="shared" ca="1" si="3"/>
        <v>106</v>
      </c>
      <c r="H24" s="78">
        <f t="shared" ca="1" si="4"/>
        <v>467</v>
      </c>
      <c r="I24" s="78">
        <f t="shared" ca="1" si="5"/>
        <v>397</v>
      </c>
      <c r="J24" s="69"/>
      <c r="K24" s="46">
        <f t="shared" si="6"/>
        <v>0</v>
      </c>
    </row>
    <row r="25" spans="1:11" ht="18" customHeight="1" x14ac:dyDescent="0.2">
      <c r="A25" s="76" t="str">
        <f t="shared" si="0"/>
        <v>4s-Low-e4-Low-e4</v>
      </c>
      <c r="B25" s="76" t="str">
        <f t="shared" ca="1" si="1"/>
        <v>4 evszakos-Low-e 4mm-Low-e 4mm termó</v>
      </c>
      <c r="C25" s="77" t="str">
        <f t="shared" si="2"/>
        <v>Triplex</v>
      </c>
      <c r="D25" s="65" t="s">
        <v>86</v>
      </c>
      <c r="E25" s="65" t="s">
        <v>72</v>
      </c>
      <c r="F25" s="65" t="s">
        <v>72</v>
      </c>
      <c r="G25" s="77">
        <f t="shared" ca="1" si="3"/>
        <v>106</v>
      </c>
      <c r="H25" s="78">
        <f t="shared" ca="1" si="4"/>
        <v>412</v>
      </c>
      <c r="I25" s="78">
        <f t="shared" ca="1" si="5"/>
        <v>351</v>
      </c>
      <c r="J25" s="69"/>
      <c r="K25" s="46">
        <f t="shared" si="6"/>
        <v>0</v>
      </c>
    </row>
    <row r="26" spans="1:11" s="26" customFormat="1" ht="18" customHeight="1" x14ac:dyDescent="0.2">
      <c r="A26" s="76" t="str">
        <f t="shared" si="0"/>
        <v>4s-F4-Low-e4</v>
      </c>
      <c r="B26" s="76" t="str">
        <f t="shared" ca="1" si="1"/>
        <v>4 evszakos-Float 4mm-Low-e 4mm termó</v>
      </c>
      <c r="C26" s="77" t="str">
        <f t="shared" si="2"/>
        <v>Triplex</v>
      </c>
      <c r="D26" s="65" t="s">
        <v>86</v>
      </c>
      <c r="E26" s="65" t="s">
        <v>28</v>
      </c>
      <c r="F26" s="65" t="s">
        <v>72</v>
      </c>
      <c r="G26" s="77">
        <f t="shared" ca="1" si="3"/>
        <v>106</v>
      </c>
      <c r="H26" s="78">
        <f t="shared" ca="1" si="4"/>
        <v>394</v>
      </c>
      <c r="I26" s="78">
        <f t="shared" ca="1" si="5"/>
        <v>335</v>
      </c>
      <c r="J26" s="69"/>
      <c r="K26" s="46">
        <f t="shared" si="6"/>
        <v>0</v>
      </c>
    </row>
    <row r="27" spans="1:11" s="26" customFormat="1" ht="18" customHeight="1" x14ac:dyDescent="0.2">
      <c r="A27" s="76" t="str">
        <f t="shared" si="0"/>
        <v>Aprokockás-F4</v>
      </c>
      <c r="B27" s="76" t="str">
        <f t="shared" ca="1" si="1"/>
        <v>Mintas uveg aprokockas-Float 4mm termó</v>
      </c>
      <c r="C27" s="77" t="str">
        <f t="shared" si="2"/>
        <v>Duplex</v>
      </c>
      <c r="D27" s="65" t="s">
        <v>102</v>
      </c>
      <c r="E27" s="65" t="s">
        <v>28</v>
      </c>
      <c r="F27" s="65"/>
      <c r="G27" s="77">
        <f t="shared" ca="1" si="3"/>
        <v>53</v>
      </c>
      <c r="H27" s="78">
        <f t="shared" ca="1" si="4"/>
        <v>238</v>
      </c>
      <c r="I27" s="78">
        <f t="shared" ca="1" si="5"/>
        <v>203</v>
      </c>
      <c r="J27" s="69"/>
      <c r="K27" s="46">
        <f t="shared" si="6"/>
        <v>0</v>
      </c>
    </row>
    <row r="28" spans="1:11" s="26" customFormat="1" ht="11.25" x14ac:dyDescent="0.2">
      <c r="A28" s="76" t="str">
        <f t="shared" si="0"/>
        <v>Tukor-Barna tüskés</v>
      </c>
      <c r="B28" s="76" t="str">
        <f t="shared" ca="1" si="1"/>
        <v>Tukor 4mm-Savmarta barna tuskes termó</v>
      </c>
      <c r="C28" s="77" t="str">
        <f t="shared" si="2"/>
        <v>Duplex</v>
      </c>
      <c r="D28" s="65" t="s">
        <v>71</v>
      </c>
      <c r="E28" s="65" t="s">
        <v>112</v>
      </c>
      <c r="F28" s="65"/>
      <c r="G28" s="77">
        <f t="shared" ca="1" si="3"/>
        <v>53</v>
      </c>
      <c r="H28" s="78">
        <f t="shared" ca="1" si="4"/>
        <v>530</v>
      </c>
      <c r="I28" s="78">
        <f t="shared" ca="1" si="5"/>
        <v>451</v>
      </c>
      <c r="J28" s="69"/>
      <c r="K28" s="46">
        <f t="shared" si="6"/>
        <v>0</v>
      </c>
    </row>
    <row r="29" spans="1:11" s="26" customFormat="1" ht="18" customHeight="1" x14ac:dyDescent="0.2">
      <c r="A29" s="76" t="str">
        <f t="shared" si="0"/>
        <v>Dx7-Dx7-F6</v>
      </c>
      <c r="B29" s="76" t="str">
        <f t="shared" ca="1" si="1"/>
        <v>Duplex 3.1.3.-Duplex 3.1.3.-Float 6mm termó</v>
      </c>
      <c r="C29" s="77" t="str">
        <f t="shared" si="2"/>
        <v>Triplex</v>
      </c>
      <c r="D29" s="65" t="s">
        <v>74</v>
      </c>
      <c r="E29" s="65" t="s">
        <v>74</v>
      </c>
      <c r="F29" s="65" t="s">
        <v>29</v>
      </c>
      <c r="G29" s="77">
        <f t="shared" ca="1" si="3"/>
        <v>106</v>
      </c>
      <c r="H29" s="78">
        <f t="shared" ca="1" si="4"/>
        <v>676</v>
      </c>
      <c r="I29" s="78">
        <f t="shared" ca="1" si="5"/>
        <v>575</v>
      </c>
      <c r="J29" s="69"/>
      <c r="K29" s="46">
        <f t="shared" si="6"/>
        <v>0</v>
      </c>
    </row>
    <row r="30" spans="1:11" s="26" customFormat="1" ht="18" customHeight="1" x14ac:dyDescent="0.2">
      <c r="A30" s="76" t="str">
        <f t="shared" si="0"/>
        <v>Dx7-F4-Low-e4</v>
      </c>
      <c r="B30" s="76" t="str">
        <f t="shared" ca="1" si="1"/>
        <v>Duplex 3.1.3.-Float 4mm-Low-e 4mm termó</v>
      </c>
      <c r="C30" s="77" t="str">
        <f t="shared" si="2"/>
        <v>Triplex</v>
      </c>
      <c r="D30" s="65" t="s">
        <v>74</v>
      </c>
      <c r="E30" s="65" t="s">
        <v>28</v>
      </c>
      <c r="F30" s="65" t="s">
        <v>72</v>
      </c>
      <c r="G30" s="77">
        <f t="shared" ca="1" si="3"/>
        <v>106</v>
      </c>
      <c r="H30" s="78">
        <f t="shared" ca="1" si="4"/>
        <v>518</v>
      </c>
      <c r="I30" s="78">
        <f t="shared" ca="1" si="5"/>
        <v>441</v>
      </c>
      <c r="J30" s="69"/>
      <c r="K30" s="46">
        <f t="shared" si="6"/>
        <v>0</v>
      </c>
    </row>
    <row r="31" spans="1:11" s="26" customFormat="1" ht="11.25" x14ac:dyDescent="0.2">
      <c r="A31" s="76" t="str">
        <f t="shared" si="0"/>
        <v>Fehér delta2-Low-e4</v>
      </c>
      <c r="B31" s="76" t="str">
        <f t="shared" ca="1" si="1"/>
        <v>Mintas uveg delta 2-Low-e 4mm termó</v>
      </c>
      <c r="C31" s="77" t="str">
        <f t="shared" si="2"/>
        <v>Duplex</v>
      </c>
      <c r="D31" s="65" t="s">
        <v>104</v>
      </c>
      <c r="E31" s="65" t="s">
        <v>72</v>
      </c>
      <c r="F31" s="65"/>
      <c r="G31" s="77">
        <f t="shared" ca="1" si="3"/>
        <v>53</v>
      </c>
      <c r="H31" s="78">
        <f t="shared" ca="1" si="4"/>
        <v>256</v>
      </c>
      <c r="I31" s="78">
        <f t="shared" ca="1" si="5"/>
        <v>218</v>
      </c>
      <c r="J31" s="69"/>
      <c r="K31" s="46">
        <f t="shared" si="6"/>
        <v>0</v>
      </c>
    </row>
    <row r="32" spans="1:11" s="26" customFormat="1" ht="22.5" x14ac:dyDescent="0.2">
      <c r="A32" s="76" t="str">
        <f t="shared" si="0"/>
        <v>Barna csincsilla-Low-e4-Low-e4</v>
      </c>
      <c r="B32" s="76" t="str">
        <f t="shared" ca="1" si="1"/>
        <v>Barna csincsilla-Low-e 4mm-Low-e 4mm termó</v>
      </c>
      <c r="C32" s="77" t="str">
        <f t="shared" si="2"/>
        <v>Triplex</v>
      </c>
      <c r="D32" s="65" t="s">
        <v>49</v>
      </c>
      <c r="E32" s="65" t="s">
        <v>72</v>
      </c>
      <c r="F32" s="65" t="s">
        <v>72</v>
      </c>
      <c r="G32" s="77">
        <f t="shared" ca="1" si="3"/>
        <v>106</v>
      </c>
      <c r="H32" s="78">
        <f t="shared" ca="1" si="4"/>
        <v>518</v>
      </c>
      <c r="I32" s="78">
        <f t="shared" ca="1" si="5"/>
        <v>441</v>
      </c>
      <c r="J32" s="69"/>
      <c r="K32" s="46">
        <f t="shared" si="6"/>
        <v>0</v>
      </c>
    </row>
    <row r="33" spans="1:11" s="26" customFormat="1" ht="11.25" x14ac:dyDescent="0.2">
      <c r="A33" s="76" t="str">
        <f t="shared" si="0"/>
        <v>Barna fatörzs-Low-e4</v>
      </c>
      <c r="B33" s="76" t="str">
        <f t="shared" ca="1" si="1"/>
        <v>Barna fatorzs-Low-e 4mm termó</v>
      </c>
      <c r="C33" s="77" t="str">
        <f t="shared" si="2"/>
        <v>Duplex</v>
      </c>
      <c r="D33" s="65" t="s">
        <v>108</v>
      </c>
      <c r="E33" s="65" t="s">
        <v>72</v>
      </c>
      <c r="F33" s="65"/>
      <c r="G33" s="77">
        <f t="shared" ca="1" si="3"/>
        <v>53</v>
      </c>
      <c r="H33" s="78">
        <f t="shared" ca="1" si="4"/>
        <v>362</v>
      </c>
      <c r="I33" s="78">
        <f t="shared" ca="1" si="5"/>
        <v>308</v>
      </c>
      <c r="J33" s="69"/>
      <c r="K33" s="46">
        <f t="shared" si="6"/>
        <v>0</v>
      </c>
    </row>
    <row r="34" spans="1:11" s="26" customFormat="1" ht="22.5" x14ac:dyDescent="0.2">
      <c r="A34" s="76" t="str">
        <f t="shared" ref="A34:A65" si="7">D34&amp;"-"&amp;E34&amp;IF(F34="","","-"&amp;F34)</f>
        <v>Tukor-Barna csincsilla</v>
      </c>
      <c r="B34" s="76" t="str">
        <f t="shared" ref="B34:B65" ca="1" si="8">VLOOKUP(D34,EgyediTermekKod_data,2,0)&amp;"-"&amp;VLOOKUP(E34,EgyediTermekKod_data,2,0)&amp;IF(F34="","","-"&amp;VLOOKUP(F34,EgyediTermekKod_data,2,0)) &amp;" termó"</f>
        <v>Tukor 4mm-Barna csincsilla termó</v>
      </c>
      <c r="C34" s="77" t="str">
        <f t="shared" ref="C34:C65" si="9">IF(F34="",IF(E34="","SIMMA UVEG!","Duplex"),"Triplex")</f>
        <v>Duplex</v>
      </c>
      <c r="D34" s="65" t="s">
        <v>71</v>
      </c>
      <c r="E34" s="65" t="s">
        <v>49</v>
      </c>
      <c r="F34" s="65"/>
      <c r="G34" s="77">
        <f t="shared" ref="G34:G65" ca="1" si="10">VLOOKUP(C34,Termositas_data,2,0)</f>
        <v>53</v>
      </c>
      <c r="H34" s="78">
        <f t="shared" ref="H34:H65" ca="1" si="11">ROUND(J34+G34+VLOOKUP(D34,EgyediTermekKod_data,3,0)+VLOOKUP(E34,EgyediTermekKod_data,3,0)+IF(C34="Triplex",VLOOKUP(F34,EgyediTermekKod_data,3,0),0),0)</f>
        <v>492</v>
      </c>
      <c r="I34" s="78">
        <f t="shared" ref="I34:I65" ca="1" si="12">ROUNDUP(H34-H34*15/100,0)</f>
        <v>419</v>
      </c>
      <c r="J34" s="69"/>
      <c r="K34" s="46">
        <f t="shared" ref="K34:K65" si="13">ROUNDUP(J34-J34*15/100,0)</f>
        <v>0</v>
      </c>
    </row>
    <row r="35" spans="1:11" s="26" customFormat="1" ht="18" customHeight="1" x14ac:dyDescent="0.2">
      <c r="A35" s="76" t="str">
        <f t="shared" si="7"/>
        <v>F8-Low-e4</v>
      </c>
      <c r="B35" s="76" t="str">
        <f t="shared" ca="1" si="8"/>
        <v>Float 8mm-Low-e 4mm termó</v>
      </c>
      <c r="C35" s="77" t="str">
        <f t="shared" si="9"/>
        <v>Duplex</v>
      </c>
      <c r="D35" s="65" t="s">
        <v>30</v>
      </c>
      <c r="E35" s="65" t="s">
        <v>72</v>
      </c>
      <c r="F35" s="65"/>
      <c r="G35" s="77">
        <f t="shared" ca="1" si="10"/>
        <v>53</v>
      </c>
      <c r="H35" s="78">
        <f t="shared" ca="1" si="11"/>
        <v>295</v>
      </c>
      <c r="I35" s="78">
        <f t="shared" ca="1" si="12"/>
        <v>251</v>
      </c>
      <c r="J35" s="69"/>
      <c r="K35" s="46">
        <f t="shared" si="13"/>
        <v>0</v>
      </c>
    </row>
    <row r="36" spans="1:11" s="26" customFormat="1" ht="11.25" x14ac:dyDescent="0.2">
      <c r="A36" s="76" t="str">
        <f t="shared" si="7"/>
        <v>Fehér screen-Low-e4</v>
      </c>
      <c r="B36" s="76" t="str">
        <f t="shared" ca="1" si="8"/>
        <v>Feher screen-Low-e 4mm termó</v>
      </c>
      <c r="C36" s="77" t="str">
        <f t="shared" si="9"/>
        <v>Duplex</v>
      </c>
      <c r="D36" s="65" t="s">
        <v>107</v>
      </c>
      <c r="E36" s="65" t="s">
        <v>72</v>
      </c>
      <c r="F36" s="65"/>
      <c r="G36" s="77">
        <f t="shared" ca="1" si="10"/>
        <v>53</v>
      </c>
      <c r="H36" s="78">
        <f t="shared" ca="1" si="11"/>
        <v>290</v>
      </c>
      <c r="I36" s="78">
        <f t="shared" ca="1" si="12"/>
        <v>247</v>
      </c>
      <c r="J36" s="69">
        <v>-15</v>
      </c>
      <c r="K36" s="46">
        <f t="shared" si="13"/>
        <v>-13</v>
      </c>
    </row>
    <row r="37" spans="1:11" s="26" customFormat="1" ht="11.25" x14ac:dyDescent="0.2">
      <c r="A37" s="76" t="str">
        <f t="shared" si="7"/>
        <v>Fehér delta2-F4</v>
      </c>
      <c r="B37" s="76" t="str">
        <f t="shared" ca="1" si="8"/>
        <v>Mintas uveg delta 2-Float 4mm termó</v>
      </c>
      <c r="C37" s="77" t="str">
        <f t="shared" si="9"/>
        <v>Duplex</v>
      </c>
      <c r="D37" s="65" t="s">
        <v>104</v>
      </c>
      <c r="E37" s="65" t="s">
        <v>28</v>
      </c>
      <c r="F37" s="65"/>
      <c r="G37" s="77">
        <f t="shared" ca="1" si="10"/>
        <v>53</v>
      </c>
      <c r="H37" s="78">
        <f t="shared" ca="1" si="11"/>
        <v>238</v>
      </c>
      <c r="I37" s="78">
        <f t="shared" ca="1" si="12"/>
        <v>203</v>
      </c>
      <c r="J37" s="69"/>
      <c r="K37" s="46">
        <f t="shared" si="13"/>
        <v>0</v>
      </c>
    </row>
    <row r="38" spans="1:11" s="26" customFormat="1" ht="18" customHeight="1" x14ac:dyDescent="0.2">
      <c r="A38" s="76" t="str">
        <f t="shared" si="7"/>
        <v>F6-Low-e4-Low-e4</v>
      </c>
      <c r="B38" s="76" t="str">
        <f t="shared" ca="1" si="8"/>
        <v>Float 6mm-Low-e 4mm-Low-e 4mm termó</v>
      </c>
      <c r="C38" s="77" t="str">
        <f t="shared" si="9"/>
        <v>Triplex</v>
      </c>
      <c r="D38" s="65" t="s">
        <v>29</v>
      </c>
      <c r="E38" s="65" t="s">
        <v>72</v>
      </c>
      <c r="F38" s="65" t="s">
        <v>72</v>
      </c>
      <c r="G38" s="77">
        <f t="shared" ca="1" si="10"/>
        <v>106</v>
      </c>
      <c r="H38" s="78">
        <f t="shared" ca="1" si="11"/>
        <v>434</v>
      </c>
      <c r="I38" s="78">
        <f t="shared" ca="1" si="12"/>
        <v>369</v>
      </c>
      <c r="J38" s="69"/>
      <c r="K38" s="46">
        <f t="shared" si="13"/>
        <v>0</v>
      </c>
    </row>
    <row r="39" spans="1:11" s="26" customFormat="1" ht="11.25" x14ac:dyDescent="0.2">
      <c r="A39" s="76" t="str">
        <f t="shared" si="7"/>
        <v>Fehér screen-F4-Low-e4</v>
      </c>
      <c r="B39" s="76" t="str">
        <f t="shared" ca="1" si="8"/>
        <v>Feher screen-Float 4mm-Low-e 4mm termó</v>
      </c>
      <c r="C39" s="77" t="str">
        <f t="shared" si="9"/>
        <v>Triplex</v>
      </c>
      <c r="D39" s="65" t="s">
        <v>107</v>
      </c>
      <c r="E39" s="65" t="s">
        <v>28</v>
      </c>
      <c r="F39" s="65" t="s">
        <v>72</v>
      </c>
      <c r="G39" s="77">
        <f t="shared" ca="1" si="10"/>
        <v>106</v>
      </c>
      <c r="H39" s="78">
        <f t="shared" ca="1" si="11"/>
        <v>443</v>
      </c>
      <c r="I39" s="78">
        <f t="shared" ca="1" si="12"/>
        <v>377</v>
      </c>
      <c r="J39" s="69"/>
      <c r="K39" s="46">
        <f t="shared" si="13"/>
        <v>0</v>
      </c>
    </row>
    <row r="40" spans="1:11" s="26" customFormat="1" ht="11.25" x14ac:dyDescent="0.2">
      <c r="A40" s="76" t="str">
        <f t="shared" si="7"/>
        <v>Fehér fatörzs-F4</v>
      </c>
      <c r="B40" s="76" t="str">
        <f t="shared" ca="1" si="8"/>
        <v>Mintas uveg feher fatorzs-Float 4mm termó</v>
      </c>
      <c r="C40" s="77" t="str">
        <f t="shared" si="9"/>
        <v>Duplex</v>
      </c>
      <c r="D40" s="65" t="s">
        <v>103</v>
      </c>
      <c r="E40" s="65" t="s">
        <v>28</v>
      </c>
      <c r="F40" s="65"/>
      <c r="G40" s="77">
        <f t="shared" ca="1" si="10"/>
        <v>53</v>
      </c>
      <c r="H40" s="78">
        <f t="shared" ca="1" si="11"/>
        <v>238</v>
      </c>
      <c r="I40" s="78">
        <f t="shared" ca="1" si="12"/>
        <v>203</v>
      </c>
      <c r="J40" s="69"/>
      <c r="K40" s="46">
        <f t="shared" si="13"/>
        <v>0</v>
      </c>
    </row>
    <row r="41" spans="1:11" s="26" customFormat="1" ht="11.25" x14ac:dyDescent="0.2">
      <c r="A41" s="76" t="str">
        <f t="shared" si="7"/>
        <v>Homokolt matt-F4</v>
      </c>
      <c r="B41" s="76" t="str">
        <f t="shared" ca="1" si="8"/>
        <v>Homokfujt 4mm-Float 4mm termó</v>
      </c>
      <c r="C41" s="77" t="str">
        <f t="shared" si="9"/>
        <v>Duplex</v>
      </c>
      <c r="D41" s="65" t="s">
        <v>116</v>
      </c>
      <c r="E41" s="65" t="s">
        <v>28</v>
      </c>
      <c r="F41" s="65"/>
      <c r="G41" s="77">
        <f t="shared" ca="1" si="10"/>
        <v>53</v>
      </c>
      <c r="H41" s="78">
        <f t="shared" ca="1" si="11"/>
        <v>293</v>
      </c>
      <c r="I41" s="78">
        <f t="shared" ca="1" si="12"/>
        <v>250</v>
      </c>
      <c r="J41" s="69"/>
      <c r="K41" s="46">
        <f t="shared" si="13"/>
        <v>0</v>
      </c>
    </row>
    <row r="42" spans="1:11" s="26" customFormat="1" ht="11.25" x14ac:dyDescent="0.2">
      <c r="A42" s="76" t="str">
        <f t="shared" si="7"/>
        <v>Aprokockás-Low-e4</v>
      </c>
      <c r="B42" s="76" t="str">
        <f t="shared" ca="1" si="8"/>
        <v>Mintas uveg aprokockas-Low-e 4mm termó</v>
      </c>
      <c r="C42" s="77" t="str">
        <f t="shared" si="9"/>
        <v>Duplex</v>
      </c>
      <c r="D42" s="65" t="s">
        <v>102</v>
      </c>
      <c r="E42" s="65" t="s">
        <v>72</v>
      </c>
      <c r="F42" s="65"/>
      <c r="G42" s="77">
        <f t="shared" ca="1" si="10"/>
        <v>53</v>
      </c>
      <c r="H42" s="78">
        <f t="shared" ca="1" si="11"/>
        <v>256</v>
      </c>
      <c r="I42" s="78">
        <f t="shared" ca="1" si="12"/>
        <v>218</v>
      </c>
      <c r="J42" s="69"/>
      <c r="K42" s="46">
        <f t="shared" si="13"/>
        <v>0</v>
      </c>
    </row>
    <row r="43" spans="1:11" s="26" customFormat="1" ht="18" customHeight="1" x14ac:dyDescent="0.2">
      <c r="A43" s="76" t="str">
        <f t="shared" si="7"/>
        <v>Refl4-Low-e4-Low-e4</v>
      </c>
      <c r="B43" s="76" t="str">
        <f t="shared" ca="1" si="8"/>
        <v>Reflexios 4mm-Low-e 4mm-Low-e 4mm termó</v>
      </c>
      <c r="C43" s="77" t="str">
        <f t="shared" si="9"/>
        <v>Triplex</v>
      </c>
      <c r="D43" s="65" t="s">
        <v>76</v>
      </c>
      <c r="E43" s="65" t="s">
        <v>72</v>
      </c>
      <c r="F43" s="65" t="s">
        <v>72</v>
      </c>
      <c r="G43" s="77">
        <f t="shared" ca="1" si="10"/>
        <v>106</v>
      </c>
      <c r="H43" s="78">
        <f t="shared" ca="1" si="11"/>
        <v>622</v>
      </c>
      <c r="I43" s="78">
        <f t="shared" ca="1" si="12"/>
        <v>529</v>
      </c>
      <c r="J43" s="69"/>
      <c r="K43" s="46">
        <f t="shared" si="13"/>
        <v>0</v>
      </c>
    </row>
    <row r="44" spans="1:11" s="26" customFormat="1" ht="22.5" x14ac:dyDescent="0.2">
      <c r="A44" s="76" t="str">
        <f t="shared" si="7"/>
        <v>Barna csincsilla-Low-e4</v>
      </c>
      <c r="B44" s="76" t="str">
        <f t="shared" ca="1" si="8"/>
        <v>Barna csincsilla-Low-e 4mm termó</v>
      </c>
      <c r="C44" s="77" t="str">
        <f t="shared" si="9"/>
        <v>Duplex</v>
      </c>
      <c r="D44" s="65" t="s">
        <v>49</v>
      </c>
      <c r="E44" s="65" t="s">
        <v>72</v>
      </c>
      <c r="F44" s="65"/>
      <c r="G44" s="77">
        <f t="shared" ca="1" si="10"/>
        <v>53</v>
      </c>
      <c r="H44" s="78">
        <f t="shared" ca="1" si="11"/>
        <v>362</v>
      </c>
      <c r="I44" s="78">
        <f t="shared" ca="1" si="12"/>
        <v>308</v>
      </c>
      <c r="J44" s="69"/>
      <c r="K44" s="46">
        <f t="shared" si="13"/>
        <v>0</v>
      </c>
    </row>
    <row r="45" spans="1:11" s="26" customFormat="1" ht="11.25" x14ac:dyDescent="0.2">
      <c r="A45" s="76" t="str">
        <f t="shared" si="7"/>
        <v>Aprokockás-F4-Low-e4</v>
      </c>
      <c r="B45" s="76" t="str">
        <f t="shared" ca="1" si="8"/>
        <v>Mintas uveg aprokockas-Float 4mm-Low-e 4mm termó</v>
      </c>
      <c r="C45" s="77" t="str">
        <f t="shared" si="9"/>
        <v>Triplex</v>
      </c>
      <c r="D45" s="65" t="s">
        <v>102</v>
      </c>
      <c r="E45" s="65" t="s">
        <v>28</v>
      </c>
      <c r="F45" s="65" t="s">
        <v>72</v>
      </c>
      <c r="G45" s="77">
        <f t="shared" ca="1" si="10"/>
        <v>106</v>
      </c>
      <c r="H45" s="78">
        <f t="shared" ca="1" si="11"/>
        <v>394</v>
      </c>
      <c r="I45" s="78">
        <f t="shared" ca="1" si="12"/>
        <v>335</v>
      </c>
      <c r="J45" s="69"/>
      <c r="K45" s="46">
        <f t="shared" si="13"/>
        <v>0</v>
      </c>
    </row>
    <row r="46" spans="1:11" s="26" customFormat="1" ht="11.25" x14ac:dyDescent="0.2">
      <c r="A46" s="76" t="str">
        <f t="shared" si="7"/>
        <v>Homokolt matt-F4-Low-e4</v>
      </c>
      <c r="B46" s="76" t="str">
        <f t="shared" ca="1" si="8"/>
        <v>Homokfujt 4mm-Float 4mm-Low-e 4mm termó</v>
      </c>
      <c r="C46" s="77" t="str">
        <f t="shared" si="9"/>
        <v>Triplex</v>
      </c>
      <c r="D46" s="65" t="s">
        <v>116</v>
      </c>
      <c r="E46" s="65" t="s">
        <v>28</v>
      </c>
      <c r="F46" s="65" t="s">
        <v>72</v>
      </c>
      <c r="G46" s="77">
        <f t="shared" ca="1" si="10"/>
        <v>106</v>
      </c>
      <c r="H46" s="78">
        <f t="shared" ca="1" si="11"/>
        <v>449</v>
      </c>
      <c r="I46" s="78">
        <f t="shared" ca="1" si="12"/>
        <v>382</v>
      </c>
      <c r="J46" s="69"/>
      <c r="K46" s="46">
        <f t="shared" si="13"/>
        <v>0</v>
      </c>
    </row>
    <row r="47" spans="1:11" s="26" customFormat="1" ht="18" customHeight="1" x14ac:dyDescent="0.2">
      <c r="A47" s="76" t="str">
        <f t="shared" si="7"/>
        <v>Barna tégla-Low-e4</v>
      </c>
      <c r="B47" s="76" t="str">
        <f t="shared" ca="1" si="8"/>
        <v>Savamarta barna tegla-Low-e 4mm termó</v>
      </c>
      <c r="C47" s="77" t="str">
        <f t="shared" si="9"/>
        <v>Duplex</v>
      </c>
      <c r="D47" s="65" t="s">
        <v>114</v>
      </c>
      <c r="E47" s="65" t="s">
        <v>72</v>
      </c>
      <c r="F47" s="65"/>
      <c r="G47" s="77">
        <f t="shared" ca="1" si="10"/>
        <v>53</v>
      </c>
      <c r="H47" s="78">
        <f t="shared" ca="1" si="11"/>
        <v>400</v>
      </c>
      <c r="I47" s="78">
        <f t="shared" ca="1" si="12"/>
        <v>340</v>
      </c>
      <c r="J47" s="69"/>
      <c r="K47" s="46">
        <f t="shared" si="13"/>
        <v>0</v>
      </c>
    </row>
    <row r="48" spans="1:11" s="26" customFormat="1" ht="18" customHeight="1" x14ac:dyDescent="0.2">
      <c r="A48" s="76" t="str">
        <f t="shared" si="7"/>
        <v>Fehér tégla-Low-e4</v>
      </c>
      <c r="B48" s="76" t="str">
        <f t="shared" ca="1" si="8"/>
        <v>Savmarta feher Tegla-Low-e 4mm termó</v>
      </c>
      <c r="C48" s="77" t="str">
        <f t="shared" si="9"/>
        <v>Duplex</v>
      </c>
      <c r="D48" s="65" t="s">
        <v>111</v>
      </c>
      <c r="E48" s="65" t="s">
        <v>72</v>
      </c>
      <c r="F48" s="65"/>
      <c r="G48" s="77">
        <f t="shared" ca="1" si="10"/>
        <v>53</v>
      </c>
      <c r="H48" s="78">
        <f t="shared" ca="1" si="11"/>
        <v>354</v>
      </c>
      <c r="I48" s="78">
        <f t="shared" ca="1" si="12"/>
        <v>301</v>
      </c>
      <c r="J48" s="69"/>
      <c r="K48" s="46">
        <f t="shared" si="13"/>
        <v>0</v>
      </c>
    </row>
    <row r="49" spans="1:11" s="26" customFormat="1" ht="18" customHeight="1" x14ac:dyDescent="0.2">
      <c r="A49" s="76" t="str">
        <f t="shared" si="7"/>
        <v>Dx7-Dx7</v>
      </c>
      <c r="B49" s="76" t="str">
        <f t="shared" ca="1" si="8"/>
        <v>Duplex 3.1.3.-Duplex 3.1.3. termó</v>
      </c>
      <c r="C49" s="77" t="str">
        <f t="shared" si="9"/>
        <v>Duplex</v>
      </c>
      <c r="D49" s="65" t="s">
        <v>74</v>
      </c>
      <c r="E49" s="65" t="s">
        <v>74</v>
      </c>
      <c r="F49" s="65"/>
      <c r="G49" s="77">
        <f t="shared" ca="1" si="10"/>
        <v>53</v>
      </c>
      <c r="H49" s="78">
        <f t="shared" ca="1" si="11"/>
        <v>501</v>
      </c>
      <c r="I49" s="78">
        <f t="shared" ca="1" si="12"/>
        <v>426</v>
      </c>
      <c r="J49" s="69"/>
      <c r="K49" s="46">
        <f t="shared" si="13"/>
        <v>0</v>
      </c>
    </row>
    <row r="50" spans="1:11" s="26" customFormat="1" ht="18.75" customHeight="1" x14ac:dyDescent="0.2">
      <c r="A50" s="76" t="str">
        <f t="shared" si="7"/>
        <v>Barna delta2-Tukor</v>
      </c>
      <c r="B50" s="76" t="str">
        <f t="shared" ca="1" si="8"/>
        <v>Barna delta 2-Tukor 4mm termó</v>
      </c>
      <c r="C50" s="77" t="str">
        <f t="shared" si="9"/>
        <v>Duplex</v>
      </c>
      <c r="D50" s="65" t="s">
        <v>109</v>
      </c>
      <c r="E50" s="65" t="s">
        <v>71</v>
      </c>
      <c r="F50" s="65"/>
      <c r="G50" s="77">
        <f t="shared" ca="1" si="10"/>
        <v>53</v>
      </c>
      <c r="H50" s="78">
        <f t="shared" ca="1" si="11"/>
        <v>492</v>
      </c>
      <c r="I50" s="78">
        <f t="shared" ca="1" si="12"/>
        <v>419</v>
      </c>
      <c r="J50" s="69"/>
      <c r="K50" s="46">
        <f t="shared" si="13"/>
        <v>0</v>
      </c>
    </row>
    <row r="51" spans="1:11" s="26" customFormat="1" ht="18.75" customHeight="1" x14ac:dyDescent="0.2">
      <c r="A51" s="76" t="str">
        <f t="shared" si="7"/>
        <v>Refl4-Barna tüskés</v>
      </c>
      <c r="B51" s="76" t="str">
        <f t="shared" ca="1" si="8"/>
        <v>Reflexios 4mm-Savmarta barna tuskes termó</v>
      </c>
      <c r="C51" s="77" t="str">
        <f t="shared" si="9"/>
        <v>Duplex</v>
      </c>
      <c r="D51" s="65" t="s">
        <v>76</v>
      </c>
      <c r="E51" s="65" t="s">
        <v>112</v>
      </c>
      <c r="F51" s="65"/>
      <c r="G51" s="77">
        <f t="shared" ca="1" si="10"/>
        <v>53</v>
      </c>
      <c r="H51" s="78">
        <f t="shared" ca="1" si="11"/>
        <v>607</v>
      </c>
      <c r="I51" s="78">
        <f t="shared" ca="1" si="12"/>
        <v>516</v>
      </c>
      <c r="J51" s="69"/>
      <c r="K51" s="46">
        <f t="shared" si="13"/>
        <v>0</v>
      </c>
    </row>
    <row r="52" spans="1:11" s="26" customFormat="1" ht="18.75" customHeight="1" x14ac:dyDescent="0.2">
      <c r="A52" s="76" t="str">
        <f t="shared" si="7"/>
        <v>Satin bronz-Satin bronz</v>
      </c>
      <c r="B52" s="76" t="str">
        <f t="shared" ca="1" si="8"/>
        <v>Satin bronz-Satin bronz termó</v>
      </c>
      <c r="C52" s="77" t="str">
        <f t="shared" si="9"/>
        <v>Duplex</v>
      </c>
      <c r="D52" s="65" t="s">
        <v>57</v>
      </c>
      <c r="E52" s="65" t="s">
        <v>57</v>
      </c>
      <c r="F52" s="65"/>
      <c r="G52" s="77">
        <f t="shared" ca="1" si="10"/>
        <v>53</v>
      </c>
      <c r="H52" s="78">
        <f t="shared" ca="1" si="11"/>
        <v>415</v>
      </c>
      <c r="I52" s="78">
        <f t="shared" ca="1" si="12"/>
        <v>353</v>
      </c>
      <c r="J52" s="69"/>
      <c r="K52" s="46">
        <f t="shared" si="13"/>
        <v>0</v>
      </c>
    </row>
    <row r="53" spans="1:11" s="44" customFormat="1" ht="18.75" customHeight="1" x14ac:dyDescent="0.2">
      <c r="A53" s="76" t="str">
        <f t="shared" si="7"/>
        <v>4s-Homokolt matt-Low-e4</v>
      </c>
      <c r="B53" s="76" t="str">
        <f t="shared" ca="1" si="8"/>
        <v>4 evszakos-Homokfujt 4mm-Low-e 4mm termó</v>
      </c>
      <c r="C53" s="77" t="str">
        <f t="shared" si="9"/>
        <v>Triplex</v>
      </c>
      <c r="D53" s="65" t="s">
        <v>86</v>
      </c>
      <c r="E53" s="65" t="s">
        <v>116</v>
      </c>
      <c r="F53" s="65" t="s">
        <v>72</v>
      </c>
      <c r="G53" s="77">
        <f t="shared" ca="1" si="10"/>
        <v>106</v>
      </c>
      <c r="H53" s="78">
        <f t="shared" ca="1" si="11"/>
        <v>464</v>
      </c>
      <c r="I53" s="78">
        <f t="shared" ca="1" si="12"/>
        <v>395</v>
      </c>
      <c r="J53" s="69"/>
      <c r="K53" s="46">
        <f t="shared" si="13"/>
        <v>0</v>
      </c>
    </row>
    <row r="54" spans="1:11" s="44" customFormat="1" ht="18.75" customHeight="1" x14ac:dyDescent="0.2">
      <c r="A54" s="76" t="str">
        <f t="shared" si="7"/>
        <v>F6-F4</v>
      </c>
      <c r="B54" s="76" t="str">
        <f t="shared" ca="1" si="8"/>
        <v>Float 6mm-Float 4mm termó</v>
      </c>
      <c r="C54" s="77" t="str">
        <f t="shared" si="9"/>
        <v>Duplex</v>
      </c>
      <c r="D54" s="65" t="s">
        <v>29</v>
      </c>
      <c r="E54" s="65" t="s">
        <v>28</v>
      </c>
      <c r="F54" s="65"/>
      <c r="G54" s="77">
        <f t="shared" ca="1" si="10"/>
        <v>53</v>
      </c>
      <c r="H54" s="78">
        <f t="shared" ca="1" si="11"/>
        <v>260</v>
      </c>
      <c r="I54" s="78">
        <f t="shared" ca="1" si="12"/>
        <v>221</v>
      </c>
      <c r="J54" s="69"/>
      <c r="K54" s="46">
        <f t="shared" si="13"/>
        <v>0</v>
      </c>
    </row>
    <row r="55" spans="1:11" s="44" customFormat="1" ht="18.75" customHeight="1" x14ac:dyDescent="0.2">
      <c r="A55" s="76" t="str">
        <f t="shared" si="7"/>
        <v>Refl4-F4</v>
      </c>
      <c r="B55" s="76" t="str">
        <f t="shared" ca="1" si="8"/>
        <v>Reflexios 4mm-Float 4mm termó</v>
      </c>
      <c r="C55" s="77" t="str">
        <f t="shared" si="9"/>
        <v>Duplex</v>
      </c>
      <c r="D55" s="65" t="s">
        <v>76</v>
      </c>
      <c r="E55" s="65" t="s">
        <v>28</v>
      </c>
      <c r="F55" s="65"/>
      <c r="G55" s="77">
        <f t="shared" ca="1" si="10"/>
        <v>53</v>
      </c>
      <c r="H55" s="78">
        <f t="shared" ca="1" si="11"/>
        <v>448</v>
      </c>
      <c r="I55" s="78">
        <f t="shared" ca="1" si="12"/>
        <v>381</v>
      </c>
      <c r="J55" s="69"/>
      <c r="K55" s="46">
        <f t="shared" si="13"/>
        <v>0</v>
      </c>
    </row>
    <row r="56" spans="1:11" s="44" customFormat="1" ht="11.25" x14ac:dyDescent="0.2">
      <c r="A56" s="76" t="str">
        <f t="shared" si="7"/>
        <v>Fehér tüskés-F4</v>
      </c>
      <c r="B56" s="76" t="str">
        <f t="shared" ca="1" si="8"/>
        <v>Savmarta feher tuskes-Float 4mm termó</v>
      </c>
      <c r="C56" s="77" t="str">
        <f t="shared" si="9"/>
        <v>Duplex</v>
      </c>
      <c r="D56" s="65" t="s">
        <v>110</v>
      </c>
      <c r="E56" s="65" t="s">
        <v>28</v>
      </c>
      <c r="F56" s="65"/>
      <c r="G56" s="77">
        <f t="shared" ca="1" si="10"/>
        <v>53</v>
      </c>
      <c r="H56" s="78">
        <f t="shared" ca="1" si="11"/>
        <v>336</v>
      </c>
      <c r="I56" s="78">
        <f t="shared" ca="1" si="12"/>
        <v>286</v>
      </c>
      <c r="J56" s="69"/>
      <c r="K56" s="46">
        <f t="shared" si="13"/>
        <v>0</v>
      </c>
    </row>
    <row r="57" spans="1:11" s="44" customFormat="1" ht="11.25" x14ac:dyDescent="0.2">
      <c r="A57" s="76" t="str">
        <f t="shared" si="7"/>
        <v>Barna tüskés-F4</v>
      </c>
      <c r="B57" s="76" t="str">
        <f t="shared" ca="1" si="8"/>
        <v>Savmarta barna tuskes-Float 4mm termó</v>
      </c>
      <c r="C57" s="77" t="str">
        <f t="shared" si="9"/>
        <v>Duplex</v>
      </c>
      <c r="D57" s="65" t="s">
        <v>112</v>
      </c>
      <c r="E57" s="65" t="s">
        <v>28</v>
      </c>
      <c r="F57" s="65"/>
      <c r="G57" s="77">
        <f t="shared" ca="1" si="10"/>
        <v>53</v>
      </c>
      <c r="H57" s="78">
        <f t="shared" ca="1" si="11"/>
        <v>382</v>
      </c>
      <c r="I57" s="78">
        <f t="shared" ca="1" si="12"/>
        <v>325</v>
      </c>
      <c r="J57" s="69"/>
      <c r="K57" s="46">
        <f t="shared" si="13"/>
        <v>0</v>
      </c>
    </row>
    <row r="58" spans="1:11" s="44" customFormat="1" ht="11.25" x14ac:dyDescent="0.2">
      <c r="A58" s="76" t="str">
        <f t="shared" si="7"/>
        <v>Barna hóvirág-Low-e4</v>
      </c>
      <c r="B58" s="76" t="str">
        <f t="shared" ca="1" si="8"/>
        <v>Savmarta barna hovirag-Low-e 4mm termó</v>
      </c>
      <c r="C58" s="77" t="str">
        <f t="shared" si="9"/>
        <v>Duplex</v>
      </c>
      <c r="D58" s="65" t="s">
        <v>115</v>
      </c>
      <c r="E58" s="65" t="s">
        <v>72</v>
      </c>
      <c r="F58" s="65"/>
      <c r="G58" s="77">
        <f t="shared" ca="1" si="10"/>
        <v>53</v>
      </c>
      <c r="H58" s="78">
        <f t="shared" ca="1" si="11"/>
        <v>400</v>
      </c>
      <c r="I58" s="78">
        <f t="shared" ca="1" si="12"/>
        <v>340</v>
      </c>
      <c r="J58" s="69"/>
      <c r="K58" s="46">
        <f t="shared" si="13"/>
        <v>0</v>
      </c>
    </row>
    <row r="59" spans="1:11" s="44" customFormat="1" ht="11.25" x14ac:dyDescent="0.2">
      <c r="A59" s="76" t="str">
        <f t="shared" si="7"/>
        <v>Dx7-Homokolt matt-Low-e4</v>
      </c>
      <c r="B59" s="76" t="str">
        <f t="shared" ca="1" si="8"/>
        <v>Duplex 3.1.3.-Homokfujt 4mm-Low-e 4mm termó</v>
      </c>
      <c r="C59" s="77" t="str">
        <f t="shared" si="9"/>
        <v>Triplex</v>
      </c>
      <c r="D59" s="65" t="s">
        <v>74</v>
      </c>
      <c r="E59" s="65" t="s">
        <v>116</v>
      </c>
      <c r="F59" s="65" t="s">
        <v>72</v>
      </c>
      <c r="G59" s="77">
        <f t="shared" ca="1" si="10"/>
        <v>106</v>
      </c>
      <c r="H59" s="78">
        <f t="shared" ca="1" si="11"/>
        <v>588</v>
      </c>
      <c r="I59" s="78">
        <f t="shared" ca="1" si="12"/>
        <v>500</v>
      </c>
      <c r="J59" s="69"/>
      <c r="K59" s="46">
        <f t="shared" si="13"/>
        <v>0</v>
      </c>
    </row>
    <row r="60" spans="1:11" s="44" customFormat="1" ht="11.25" x14ac:dyDescent="0.2">
      <c r="A60" s="76" t="str">
        <f t="shared" si="7"/>
        <v>Duplakockás-F4-Low-e4</v>
      </c>
      <c r="B60" s="76" t="str">
        <f t="shared" ca="1" si="8"/>
        <v>Duplakockas-Float 4mm-Low-e 4mm termó</v>
      </c>
      <c r="C60" s="77" t="str">
        <f t="shared" si="9"/>
        <v>Triplex</v>
      </c>
      <c r="D60" s="65" t="s">
        <v>105</v>
      </c>
      <c r="E60" s="65" t="s">
        <v>28</v>
      </c>
      <c r="F60" s="65" t="s">
        <v>72</v>
      </c>
      <c r="G60" s="77">
        <f t="shared" ca="1" si="10"/>
        <v>106</v>
      </c>
      <c r="H60" s="78">
        <f t="shared" ca="1" si="11"/>
        <v>414</v>
      </c>
      <c r="I60" s="78">
        <f t="shared" ca="1" si="12"/>
        <v>352</v>
      </c>
      <c r="J60" s="69"/>
      <c r="K60" s="46">
        <f t="shared" si="13"/>
        <v>0</v>
      </c>
    </row>
    <row r="61" spans="1:11" s="44" customFormat="1" ht="11.25" x14ac:dyDescent="0.2">
      <c r="A61" s="76" t="str">
        <f t="shared" si="7"/>
        <v>Fust4-Fehér fatörzs</v>
      </c>
      <c r="B61" s="76" t="str">
        <f t="shared" ca="1" si="8"/>
        <v>Fustos 4mm-Mintas uveg feher fatorzs termó</v>
      </c>
      <c r="C61" s="77" t="str">
        <f t="shared" si="9"/>
        <v>Duplex</v>
      </c>
      <c r="D61" s="65" t="s">
        <v>58</v>
      </c>
      <c r="E61" s="65" t="s">
        <v>103</v>
      </c>
      <c r="F61" s="65"/>
      <c r="G61" s="77">
        <f t="shared" ca="1" si="10"/>
        <v>53</v>
      </c>
      <c r="H61" s="78">
        <f t="shared" ca="1" si="11"/>
        <v>308</v>
      </c>
      <c r="I61" s="78">
        <f t="shared" ca="1" si="12"/>
        <v>262</v>
      </c>
      <c r="J61" s="69"/>
      <c r="K61" s="46">
        <f t="shared" si="13"/>
        <v>0</v>
      </c>
    </row>
    <row r="62" spans="1:11" s="44" customFormat="1" ht="11.25" x14ac:dyDescent="0.2">
      <c r="A62" s="76" t="str">
        <f t="shared" si="7"/>
        <v>4s-Fehér fatörzs-Low-e4</v>
      </c>
      <c r="B62" s="76" t="str">
        <f t="shared" ca="1" si="8"/>
        <v>4 evszakos-Mintas uveg feher fatorzs-Low-e 4mm termó</v>
      </c>
      <c r="C62" s="77" t="str">
        <f t="shared" si="9"/>
        <v>Triplex</v>
      </c>
      <c r="D62" s="65" t="s">
        <v>86</v>
      </c>
      <c r="E62" s="65" t="s">
        <v>103</v>
      </c>
      <c r="F62" s="65" t="s">
        <v>72</v>
      </c>
      <c r="G62" s="77">
        <f t="shared" ca="1" si="10"/>
        <v>106</v>
      </c>
      <c r="H62" s="78">
        <f t="shared" ca="1" si="11"/>
        <v>409</v>
      </c>
      <c r="I62" s="78">
        <f t="shared" ca="1" si="12"/>
        <v>348</v>
      </c>
      <c r="J62" s="69"/>
      <c r="K62" s="46">
        <f t="shared" si="13"/>
        <v>0</v>
      </c>
    </row>
    <row r="63" spans="1:11" s="44" customFormat="1" ht="18.75" customHeight="1" x14ac:dyDescent="0.2">
      <c r="A63" s="76" t="str">
        <f t="shared" si="7"/>
        <v>F6-F4-F4</v>
      </c>
      <c r="B63" s="76" t="str">
        <f t="shared" ca="1" si="8"/>
        <v>Float 6mm-Float 4mm-Float 4mm termó</v>
      </c>
      <c r="C63" s="77" t="str">
        <f t="shared" si="9"/>
        <v>Triplex</v>
      </c>
      <c r="D63" s="66" t="s">
        <v>29</v>
      </c>
      <c r="E63" s="66" t="s">
        <v>28</v>
      </c>
      <c r="F63" s="66" t="s">
        <v>28</v>
      </c>
      <c r="G63" s="77">
        <f t="shared" ca="1" si="10"/>
        <v>106</v>
      </c>
      <c r="H63" s="78">
        <f t="shared" ca="1" si="11"/>
        <v>398</v>
      </c>
      <c r="I63" s="78">
        <f t="shared" ca="1" si="12"/>
        <v>339</v>
      </c>
      <c r="J63" s="70"/>
      <c r="K63" s="47">
        <f t="shared" si="13"/>
        <v>0</v>
      </c>
    </row>
    <row r="64" spans="1:11" s="44" customFormat="1" ht="18.75" customHeight="1" x14ac:dyDescent="0.2">
      <c r="A64" s="76" t="str">
        <f t="shared" si="7"/>
        <v>Barna fatörzs-F4</v>
      </c>
      <c r="B64" s="76" t="str">
        <f t="shared" ca="1" si="8"/>
        <v>Barna fatorzs-Float 4mm termó</v>
      </c>
      <c r="C64" s="77" t="str">
        <f t="shared" si="9"/>
        <v>Duplex</v>
      </c>
      <c r="D64" s="66" t="s">
        <v>108</v>
      </c>
      <c r="E64" s="66" t="s">
        <v>28</v>
      </c>
      <c r="F64" s="66"/>
      <c r="G64" s="77">
        <f t="shared" ca="1" si="10"/>
        <v>53</v>
      </c>
      <c r="H64" s="78">
        <f t="shared" ca="1" si="11"/>
        <v>344</v>
      </c>
      <c r="I64" s="78">
        <f t="shared" ca="1" si="12"/>
        <v>293</v>
      </c>
      <c r="J64" s="71"/>
      <c r="K64" s="48">
        <f t="shared" si="13"/>
        <v>0</v>
      </c>
    </row>
    <row r="65" spans="1:11" s="44" customFormat="1" ht="30" customHeight="1" x14ac:dyDescent="0.2">
      <c r="A65" s="76" t="str">
        <f t="shared" si="7"/>
        <v>4s-Fehér tégla-Low-e4</v>
      </c>
      <c r="B65" s="76" t="str">
        <f t="shared" ca="1" si="8"/>
        <v>4 evszakos-Savmarta feher Tegla-Low-e 4mm termó</v>
      </c>
      <c r="C65" s="77" t="str">
        <f t="shared" si="9"/>
        <v>Triplex</v>
      </c>
      <c r="D65" s="66" t="s">
        <v>86</v>
      </c>
      <c r="E65" s="66" t="s">
        <v>111</v>
      </c>
      <c r="F65" s="66" t="s">
        <v>72</v>
      </c>
      <c r="G65" s="77">
        <f t="shared" ca="1" si="10"/>
        <v>106</v>
      </c>
      <c r="H65" s="78">
        <f t="shared" ca="1" si="11"/>
        <v>507</v>
      </c>
      <c r="I65" s="78">
        <f t="shared" ca="1" si="12"/>
        <v>431</v>
      </c>
      <c r="J65" s="71"/>
      <c r="K65" s="48">
        <f t="shared" si="13"/>
        <v>0</v>
      </c>
    </row>
    <row r="66" spans="1:11" s="44" customFormat="1" ht="18.75" customHeight="1" x14ac:dyDescent="0.2">
      <c r="A66" s="76" t="str">
        <f t="shared" ref="A66:A97" si="14">D66&amp;"-"&amp;E66&amp;IF(F66="","","-"&amp;F66)</f>
        <v>Refl4-F4-Low-e4</v>
      </c>
      <c r="B66" s="76" t="str">
        <f t="shared" ref="B66:B97" ca="1" si="15">VLOOKUP(D66,EgyediTermekKod_data,2,0)&amp;"-"&amp;VLOOKUP(E66,EgyediTermekKod_data,2,0)&amp;IF(F66="","","-"&amp;VLOOKUP(F66,EgyediTermekKod_data,2,0)) &amp;" termó"</f>
        <v>Reflexios 4mm-Float 4mm-Low-e 4mm termó</v>
      </c>
      <c r="C66" s="77" t="str">
        <f t="shared" ref="C66:C97" si="16">IF(F66="",IF(E66="","SIMMA UVEG!","Duplex"),"Triplex")</f>
        <v>Triplex</v>
      </c>
      <c r="D66" s="66" t="s">
        <v>76</v>
      </c>
      <c r="E66" s="66" t="s">
        <v>28</v>
      </c>
      <c r="F66" s="66" t="s">
        <v>72</v>
      </c>
      <c r="G66" s="77">
        <f t="shared" ref="G66:G97" ca="1" si="17">VLOOKUP(C66,Termositas_data,2,0)</f>
        <v>106</v>
      </c>
      <c r="H66" s="78">
        <f t="shared" ref="H66:H97" ca="1" si="18">ROUND(J66+G66+VLOOKUP(D66,EgyediTermekKod_data,3,0)+VLOOKUP(E66,EgyediTermekKod_data,3,0)+IF(C66="Triplex",VLOOKUP(F66,EgyediTermekKod_data,3,0),0),0)</f>
        <v>604</v>
      </c>
      <c r="I66" s="78">
        <f t="shared" ref="I66:I97" ca="1" si="19">ROUNDUP(H66-H66*15/100,0)</f>
        <v>514</v>
      </c>
      <c r="J66" s="71"/>
      <c r="K66" s="48">
        <f t="shared" ref="K66:K97" si="20">ROUNDUP(J66-J66*15/100,0)</f>
        <v>0</v>
      </c>
    </row>
    <row r="67" spans="1:11" s="44" customFormat="1" ht="18.75" customHeight="1" x14ac:dyDescent="0.2">
      <c r="A67" s="76" t="str">
        <f t="shared" si="14"/>
        <v>F6-F4-Low-e4</v>
      </c>
      <c r="B67" s="76" t="str">
        <f t="shared" ca="1" si="15"/>
        <v>Float 6mm-Float 4mm-Low-e 4mm termó</v>
      </c>
      <c r="C67" s="77" t="str">
        <f t="shared" si="16"/>
        <v>Triplex</v>
      </c>
      <c r="D67" s="66" t="s">
        <v>29</v>
      </c>
      <c r="E67" s="66" t="s">
        <v>28</v>
      </c>
      <c r="F67" s="66" t="s">
        <v>72</v>
      </c>
      <c r="G67" s="77">
        <f t="shared" ca="1" si="17"/>
        <v>106</v>
      </c>
      <c r="H67" s="78">
        <f t="shared" ca="1" si="18"/>
        <v>416</v>
      </c>
      <c r="I67" s="78">
        <f t="shared" ca="1" si="19"/>
        <v>354</v>
      </c>
      <c r="J67" s="71"/>
      <c r="K67" s="48">
        <f t="shared" si="20"/>
        <v>0</v>
      </c>
    </row>
    <row r="68" spans="1:11" s="44" customFormat="1" ht="18.75" customHeight="1" x14ac:dyDescent="0.2">
      <c r="A68" s="76" t="str">
        <f t="shared" si="14"/>
        <v>4s-Low-e4-Dx7</v>
      </c>
      <c r="B68" s="76" t="str">
        <f t="shared" ca="1" si="15"/>
        <v>4 evszakos-Low-e 4mm-Duplex 3.1.3. termó</v>
      </c>
      <c r="C68" s="77" t="str">
        <f t="shared" si="16"/>
        <v>Triplex</v>
      </c>
      <c r="D68" s="66" t="s">
        <v>86</v>
      </c>
      <c r="E68" s="66" t="s">
        <v>72</v>
      </c>
      <c r="F68" s="66" t="s">
        <v>74</v>
      </c>
      <c r="G68" s="77">
        <f t="shared" ca="1" si="17"/>
        <v>106</v>
      </c>
      <c r="H68" s="78">
        <f t="shared" ca="1" si="18"/>
        <v>533</v>
      </c>
      <c r="I68" s="78">
        <f t="shared" ca="1" si="19"/>
        <v>454</v>
      </c>
      <c r="J68" s="71"/>
      <c r="K68" s="48">
        <f t="shared" si="20"/>
        <v>0</v>
      </c>
    </row>
    <row r="69" spans="1:11" s="44" customFormat="1" ht="11.25" x14ac:dyDescent="0.2">
      <c r="A69" s="76" t="str">
        <f t="shared" si="14"/>
        <v>Fehér tégla-F4-Low-e4</v>
      </c>
      <c r="B69" s="76" t="str">
        <f t="shared" ca="1" si="15"/>
        <v>Savmarta feher Tegla-Float 4mm-Low-e 4mm termó</v>
      </c>
      <c r="C69" s="77" t="str">
        <f t="shared" si="16"/>
        <v>Triplex</v>
      </c>
      <c r="D69" s="66" t="s">
        <v>111</v>
      </c>
      <c r="E69" s="66" t="s">
        <v>28</v>
      </c>
      <c r="F69" s="66" t="s">
        <v>72</v>
      </c>
      <c r="G69" s="77">
        <f t="shared" ca="1" si="17"/>
        <v>106</v>
      </c>
      <c r="H69" s="78">
        <f t="shared" ca="1" si="18"/>
        <v>492</v>
      </c>
      <c r="I69" s="78">
        <f t="shared" ca="1" si="19"/>
        <v>419</v>
      </c>
      <c r="J69" s="71"/>
      <c r="K69" s="48">
        <f t="shared" si="20"/>
        <v>0</v>
      </c>
    </row>
    <row r="70" spans="1:11" s="44" customFormat="1" ht="11.25" x14ac:dyDescent="0.2">
      <c r="A70" s="76" t="str">
        <f t="shared" si="14"/>
        <v>Tukor-Barna fatörzs</v>
      </c>
      <c r="B70" s="76" t="str">
        <f t="shared" ca="1" si="15"/>
        <v>Tukor 4mm-Barna fatorzs termó</v>
      </c>
      <c r="C70" s="77" t="str">
        <f t="shared" si="16"/>
        <v>Duplex</v>
      </c>
      <c r="D70" s="66" t="s">
        <v>71</v>
      </c>
      <c r="E70" s="66" t="s">
        <v>108</v>
      </c>
      <c r="F70" s="66"/>
      <c r="G70" s="77">
        <f t="shared" ca="1" si="17"/>
        <v>53</v>
      </c>
      <c r="H70" s="78">
        <f t="shared" ca="1" si="18"/>
        <v>492</v>
      </c>
      <c r="I70" s="78">
        <f t="shared" ca="1" si="19"/>
        <v>419</v>
      </c>
      <c r="J70" s="71"/>
      <c r="K70" s="48">
        <f t="shared" si="20"/>
        <v>0</v>
      </c>
    </row>
    <row r="71" spans="1:11" s="44" customFormat="1" ht="22.5" x14ac:dyDescent="0.2">
      <c r="A71" s="76" t="str">
        <f t="shared" si="14"/>
        <v>Barna csincsilla-F4</v>
      </c>
      <c r="B71" s="76" t="str">
        <f t="shared" ca="1" si="15"/>
        <v>Barna csincsilla-Float 4mm termó</v>
      </c>
      <c r="C71" s="77" t="str">
        <f t="shared" si="16"/>
        <v>Duplex</v>
      </c>
      <c r="D71" s="66" t="s">
        <v>49</v>
      </c>
      <c r="E71" s="66" t="s">
        <v>28</v>
      </c>
      <c r="F71" s="66"/>
      <c r="G71" s="77">
        <f t="shared" ca="1" si="17"/>
        <v>53</v>
      </c>
      <c r="H71" s="78">
        <f t="shared" ca="1" si="18"/>
        <v>344</v>
      </c>
      <c r="I71" s="78">
        <f t="shared" ca="1" si="19"/>
        <v>293</v>
      </c>
      <c r="J71" s="71"/>
      <c r="K71" s="48">
        <f t="shared" si="20"/>
        <v>0</v>
      </c>
    </row>
    <row r="72" spans="1:11" s="44" customFormat="1" ht="11.25" x14ac:dyDescent="0.2">
      <c r="A72" s="76" t="str">
        <f t="shared" si="14"/>
        <v>Barna delta2-F4</v>
      </c>
      <c r="B72" s="76" t="str">
        <f t="shared" ca="1" si="15"/>
        <v>Barna delta 2-Float 4mm termó</v>
      </c>
      <c r="C72" s="77" t="str">
        <f t="shared" si="16"/>
        <v>Duplex</v>
      </c>
      <c r="D72" s="66" t="s">
        <v>109</v>
      </c>
      <c r="E72" s="66" t="s">
        <v>28</v>
      </c>
      <c r="F72" s="66"/>
      <c r="G72" s="77">
        <f t="shared" ca="1" si="17"/>
        <v>53</v>
      </c>
      <c r="H72" s="78">
        <f t="shared" ca="1" si="18"/>
        <v>344</v>
      </c>
      <c r="I72" s="78">
        <f t="shared" ca="1" si="19"/>
        <v>293</v>
      </c>
      <c r="J72" s="71"/>
      <c r="K72" s="48">
        <f t="shared" si="20"/>
        <v>0</v>
      </c>
    </row>
    <row r="73" spans="1:11" s="44" customFormat="1" ht="11.25" x14ac:dyDescent="0.2">
      <c r="A73" s="76" t="str">
        <f t="shared" si="14"/>
        <v>Fehér hóvirág-Low-e4-Low-e4</v>
      </c>
      <c r="B73" s="76" t="str">
        <f t="shared" ca="1" si="15"/>
        <v>Fehér hóvirág-Low-e 4mm-Low-e 4mm termó</v>
      </c>
      <c r="C73" s="77" t="str">
        <f t="shared" si="16"/>
        <v>Triplex</v>
      </c>
      <c r="D73" s="66" t="s">
        <v>155</v>
      </c>
      <c r="E73" s="66" t="s">
        <v>72</v>
      </c>
      <c r="F73" s="66" t="s">
        <v>72</v>
      </c>
      <c r="G73" s="77">
        <f t="shared" ca="1" si="17"/>
        <v>106</v>
      </c>
      <c r="H73" s="78">
        <f t="shared" ca="1" si="18"/>
        <v>510</v>
      </c>
      <c r="I73" s="78">
        <f t="shared" ca="1" si="19"/>
        <v>434</v>
      </c>
      <c r="J73" s="71"/>
      <c r="K73" s="48">
        <f t="shared" si="20"/>
        <v>0</v>
      </c>
    </row>
    <row r="74" spans="1:11" s="44" customFormat="1" ht="19.5" customHeight="1" x14ac:dyDescent="0.2">
      <c r="A74" s="76" t="str">
        <f t="shared" si="14"/>
        <v>4s-F4-Dx7</v>
      </c>
      <c r="B74" s="76" t="str">
        <f t="shared" ca="1" si="15"/>
        <v>4 evszakos-Float 4mm-Duplex 3.1.3. termó</v>
      </c>
      <c r="C74" s="77" t="str">
        <f t="shared" si="16"/>
        <v>Triplex</v>
      </c>
      <c r="D74" s="66" t="s">
        <v>86</v>
      </c>
      <c r="E74" s="66" t="s">
        <v>28</v>
      </c>
      <c r="F74" s="66" t="s">
        <v>74</v>
      </c>
      <c r="G74" s="77">
        <f t="shared" ca="1" si="17"/>
        <v>106</v>
      </c>
      <c r="H74" s="78">
        <f t="shared" ca="1" si="18"/>
        <v>515</v>
      </c>
      <c r="I74" s="78">
        <f t="shared" ca="1" si="19"/>
        <v>438</v>
      </c>
      <c r="J74" s="71"/>
      <c r="K74" s="48">
        <f t="shared" si="20"/>
        <v>0</v>
      </c>
    </row>
    <row r="75" spans="1:11" s="44" customFormat="1" ht="19.5" customHeight="1" x14ac:dyDescent="0.2">
      <c r="A75" s="76" t="str">
        <f t="shared" si="14"/>
        <v>Fehér tégla-F4</v>
      </c>
      <c r="B75" s="76" t="str">
        <f t="shared" ca="1" si="15"/>
        <v>Savmarta feher Tegla-Float 4mm termó</v>
      </c>
      <c r="C75" s="77" t="str">
        <f t="shared" si="16"/>
        <v>Duplex</v>
      </c>
      <c r="D75" s="66" t="s">
        <v>111</v>
      </c>
      <c r="E75" s="66" t="s">
        <v>28</v>
      </c>
      <c r="F75" s="66"/>
      <c r="G75" s="77">
        <f t="shared" ca="1" si="17"/>
        <v>53</v>
      </c>
      <c r="H75" s="78">
        <f t="shared" ca="1" si="18"/>
        <v>336</v>
      </c>
      <c r="I75" s="78">
        <f t="shared" ca="1" si="19"/>
        <v>286</v>
      </c>
      <c r="J75" s="71"/>
      <c r="K75" s="48">
        <f t="shared" si="20"/>
        <v>0</v>
      </c>
    </row>
    <row r="76" spans="1:11" s="44" customFormat="1" ht="31.5" customHeight="1" x14ac:dyDescent="0.2">
      <c r="A76" s="76" t="str">
        <f t="shared" si="14"/>
        <v>Barna hóvirág-F4-Low-e4</v>
      </c>
      <c r="B76" s="76" t="str">
        <f t="shared" ca="1" si="15"/>
        <v>Savmarta barna hovirag-Float 4mm-Low-e 4mm termó</v>
      </c>
      <c r="C76" s="77" t="str">
        <f t="shared" si="16"/>
        <v>Triplex</v>
      </c>
      <c r="D76" s="67" t="s">
        <v>115</v>
      </c>
      <c r="E76" s="67" t="s">
        <v>28</v>
      </c>
      <c r="F76" s="67" t="s">
        <v>72</v>
      </c>
      <c r="G76" s="77">
        <f t="shared" ca="1" si="17"/>
        <v>106</v>
      </c>
      <c r="H76" s="78">
        <f t="shared" ca="1" si="18"/>
        <v>538</v>
      </c>
      <c r="I76" s="78">
        <f t="shared" ca="1" si="19"/>
        <v>458</v>
      </c>
      <c r="J76" s="72"/>
      <c r="K76" s="49">
        <f t="shared" si="20"/>
        <v>0</v>
      </c>
    </row>
    <row r="77" spans="1:11" s="44" customFormat="1" ht="31.5" customHeight="1" x14ac:dyDescent="0.2">
      <c r="A77" s="76" t="str">
        <f t="shared" si="14"/>
        <v>4s-Satin bronz-Low-e4</v>
      </c>
      <c r="B77" s="76" t="str">
        <f t="shared" ca="1" si="15"/>
        <v>4 evszakos-Satin bronz-Low-e 4mm termó</v>
      </c>
      <c r="C77" s="77" t="str">
        <f t="shared" si="16"/>
        <v>Triplex</v>
      </c>
      <c r="D77" s="67" t="s">
        <v>86</v>
      </c>
      <c r="E77" s="67" t="s">
        <v>57</v>
      </c>
      <c r="F77" s="67" t="s">
        <v>72</v>
      </c>
      <c r="G77" s="77">
        <f t="shared" ca="1" si="17"/>
        <v>106</v>
      </c>
      <c r="H77" s="78">
        <f t="shared" ca="1" si="18"/>
        <v>490</v>
      </c>
      <c r="I77" s="78">
        <f t="shared" ca="1" si="19"/>
        <v>417</v>
      </c>
      <c r="J77" s="72"/>
      <c r="K77" s="49">
        <f t="shared" si="20"/>
        <v>0</v>
      </c>
    </row>
    <row r="78" spans="1:11" s="44" customFormat="1" ht="31.5" customHeight="1" x14ac:dyDescent="0.2">
      <c r="A78" s="76" t="str">
        <f t="shared" si="14"/>
        <v>Fehér tüskés-Low-e4-Low-e4</v>
      </c>
      <c r="B78" s="76" t="str">
        <f t="shared" ca="1" si="15"/>
        <v>Savmarta feher tuskes-Low-e 4mm-Low-e 4mm termó</v>
      </c>
      <c r="C78" s="77" t="str">
        <f t="shared" si="16"/>
        <v>Triplex</v>
      </c>
      <c r="D78" s="67" t="s">
        <v>110</v>
      </c>
      <c r="E78" s="67" t="s">
        <v>72</v>
      </c>
      <c r="F78" s="67" t="s">
        <v>72</v>
      </c>
      <c r="G78" s="77">
        <f t="shared" ca="1" si="17"/>
        <v>106</v>
      </c>
      <c r="H78" s="78">
        <f t="shared" ca="1" si="18"/>
        <v>510</v>
      </c>
      <c r="I78" s="78">
        <f t="shared" ca="1" si="19"/>
        <v>434</v>
      </c>
      <c r="J78" s="72"/>
      <c r="K78" s="49">
        <f t="shared" si="20"/>
        <v>0</v>
      </c>
    </row>
    <row r="79" spans="1:11" s="44" customFormat="1" ht="31.5" customHeight="1" x14ac:dyDescent="0.2">
      <c r="A79" s="76" t="str">
        <f t="shared" si="14"/>
        <v>Aprokockás-Low-e4-Low-e4</v>
      </c>
      <c r="B79" s="76" t="str">
        <f t="shared" ca="1" si="15"/>
        <v>Mintas uveg aprokockas-Low-e 4mm-Low-e 4mm termó</v>
      </c>
      <c r="C79" s="77" t="str">
        <f t="shared" si="16"/>
        <v>Triplex</v>
      </c>
      <c r="D79" s="67" t="s">
        <v>102</v>
      </c>
      <c r="E79" s="67" t="s">
        <v>72</v>
      </c>
      <c r="F79" s="67" t="s">
        <v>72</v>
      </c>
      <c r="G79" s="77">
        <f t="shared" ca="1" si="17"/>
        <v>106</v>
      </c>
      <c r="H79" s="78">
        <f t="shared" ca="1" si="18"/>
        <v>412</v>
      </c>
      <c r="I79" s="78">
        <f t="shared" ca="1" si="19"/>
        <v>351</v>
      </c>
      <c r="J79" s="72"/>
      <c r="K79" s="49">
        <f t="shared" si="20"/>
        <v>0</v>
      </c>
    </row>
    <row r="80" spans="1:11" s="44" customFormat="1" ht="31.5" customHeight="1" x14ac:dyDescent="0.2">
      <c r="A80" s="76" t="str">
        <f t="shared" si="14"/>
        <v>Barna fatörzs-F4-Low-e4</v>
      </c>
      <c r="B80" s="76" t="str">
        <f t="shared" ca="1" si="15"/>
        <v>Barna fatorzs-Float 4mm-Low-e 4mm termó</v>
      </c>
      <c r="C80" s="77" t="str">
        <f t="shared" si="16"/>
        <v>Triplex</v>
      </c>
      <c r="D80" s="67" t="s">
        <v>108</v>
      </c>
      <c r="E80" s="67" t="s">
        <v>28</v>
      </c>
      <c r="F80" s="67" t="s">
        <v>72</v>
      </c>
      <c r="G80" s="77">
        <f t="shared" ca="1" si="17"/>
        <v>106</v>
      </c>
      <c r="H80" s="78">
        <f t="shared" ca="1" si="18"/>
        <v>500</v>
      </c>
      <c r="I80" s="78">
        <f t="shared" ca="1" si="19"/>
        <v>425</v>
      </c>
      <c r="J80" s="72"/>
      <c r="K80" s="49">
        <f t="shared" si="20"/>
        <v>0</v>
      </c>
    </row>
    <row r="81" spans="1:11" s="44" customFormat="1" ht="31.5" customHeight="1" x14ac:dyDescent="0.2">
      <c r="A81" s="76" t="str">
        <f t="shared" si="14"/>
        <v>Fehér csincsilla-Low-e4-Low-e4</v>
      </c>
      <c r="B81" s="76" t="str">
        <f t="shared" ca="1" si="15"/>
        <v>Feher csincsilla-Low-e 4mm-Low-e 4mm termó</v>
      </c>
      <c r="C81" s="77" t="str">
        <f t="shared" si="16"/>
        <v>Triplex</v>
      </c>
      <c r="D81" s="67" t="s">
        <v>106</v>
      </c>
      <c r="E81" s="67" t="s">
        <v>72</v>
      </c>
      <c r="F81" s="67" t="s">
        <v>72</v>
      </c>
      <c r="G81" s="77">
        <f t="shared" ca="1" si="17"/>
        <v>106</v>
      </c>
      <c r="H81" s="78">
        <f t="shared" ca="1" si="18"/>
        <v>461</v>
      </c>
      <c r="I81" s="78">
        <f t="shared" ca="1" si="19"/>
        <v>392</v>
      </c>
      <c r="J81" s="72"/>
      <c r="K81" s="49">
        <f t="shared" si="20"/>
        <v>0</v>
      </c>
    </row>
    <row r="82" spans="1:11" s="44" customFormat="1" ht="31.5" customHeight="1" x14ac:dyDescent="0.2">
      <c r="A82" s="76" t="str">
        <f t="shared" si="14"/>
        <v>Fehér screen-Tukor</v>
      </c>
      <c r="B82" s="76" t="str">
        <f t="shared" ca="1" si="15"/>
        <v>Feher screen-Tukor 4mm termó</v>
      </c>
      <c r="C82" s="77" t="str">
        <f t="shared" si="16"/>
        <v>Duplex</v>
      </c>
      <c r="D82" s="67" t="s">
        <v>107</v>
      </c>
      <c r="E82" s="67" t="s">
        <v>71</v>
      </c>
      <c r="F82" s="67"/>
      <c r="G82" s="77">
        <f t="shared" ca="1" si="17"/>
        <v>53</v>
      </c>
      <c r="H82" s="78">
        <f t="shared" ca="1" si="18"/>
        <v>435</v>
      </c>
      <c r="I82" s="78">
        <f t="shared" ca="1" si="19"/>
        <v>370</v>
      </c>
      <c r="J82" s="72"/>
      <c r="K82" s="49">
        <f t="shared" si="20"/>
        <v>0</v>
      </c>
    </row>
    <row r="83" spans="1:11" s="44" customFormat="1" ht="31.5" customHeight="1" x14ac:dyDescent="0.2">
      <c r="A83" s="76" t="str">
        <f t="shared" si="14"/>
        <v>Dx7-Homokolt matt</v>
      </c>
      <c r="B83" s="76" t="str">
        <f t="shared" ca="1" si="15"/>
        <v>Duplex 3.1.3.-Homokfujt 4mm termó</v>
      </c>
      <c r="C83" s="77" t="str">
        <f t="shared" si="16"/>
        <v>Duplex</v>
      </c>
      <c r="D83" s="67" t="s">
        <v>74</v>
      </c>
      <c r="E83" s="67" t="s">
        <v>116</v>
      </c>
      <c r="F83" s="67"/>
      <c r="G83" s="77">
        <f t="shared" ca="1" si="17"/>
        <v>53</v>
      </c>
      <c r="H83" s="78">
        <f t="shared" ca="1" si="18"/>
        <v>432</v>
      </c>
      <c r="I83" s="78">
        <f t="shared" ca="1" si="19"/>
        <v>368</v>
      </c>
      <c r="J83" s="72"/>
      <c r="K83" s="49">
        <f t="shared" si="20"/>
        <v>0</v>
      </c>
    </row>
    <row r="84" spans="1:11" s="44" customFormat="1" ht="31.5" customHeight="1" x14ac:dyDescent="0.2">
      <c r="A84" s="76" t="str">
        <f t="shared" si="14"/>
        <v>Tukor-Fehér tüskés</v>
      </c>
      <c r="B84" s="76" t="str">
        <f t="shared" ca="1" si="15"/>
        <v>Tukor 4mm-Savmarta feher tuskes termó</v>
      </c>
      <c r="C84" s="77" t="str">
        <f t="shared" si="16"/>
        <v>Duplex</v>
      </c>
      <c r="D84" s="67" t="s">
        <v>71</v>
      </c>
      <c r="E84" s="67" t="s">
        <v>110</v>
      </c>
      <c r="F84" s="67"/>
      <c r="G84" s="77">
        <f t="shared" ca="1" si="17"/>
        <v>53</v>
      </c>
      <c r="H84" s="78">
        <f t="shared" ca="1" si="18"/>
        <v>484</v>
      </c>
      <c r="I84" s="78">
        <f t="shared" ca="1" si="19"/>
        <v>412</v>
      </c>
      <c r="J84" s="72"/>
      <c r="K84" s="49">
        <f t="shared" si="20"/>
        <v>0</v>
      </c>
    </row>
    <row r="85" spans="1:11" s="44" customFormat="1" ht="31.5" customHeight="1" x14ac:dyDescent="0.2">
      <c r="A85" s="76" t="str">
        <f t="shared" si="14"/>
        <v>Tukor-Satin bronz</v>
      </c>
      <c r="B85" s="76" t="str">
        <f t="shared" ca="1" si="15"/>
        <v>Tukor 4mm-Satin bronz termó</v>
      </c>
      <c r="C85" s="77" t="str">
        <f t="shared" si="16"/>
        <v>Duplex</v>
      </c>
      <c r="D85" s="67" t="s">
        <v>71</v>
      </c>
      <c r="E85" s="67" t="s">
        <v>57</v>
      </c>
      <c r="F85" s="67"/>
      <c r="G85" s="77">
        <f t="shared" ca="1" si="17"/>
        <v>53</v>
      </c>
      <c r="H85" s="78">
        <f t="shared" ca="1" si="18"/>
        <v>467</v>
      </c>
      <c r="I85" s="78">
        <f t="shared" ca="1" si="19"/>
        <v>397</v>
      </c>
      <c r="J85" s="72"/>
      <c r="K85" s="49">
        <f t="shared" si="20"/>
        <v>0</v>
      </c>
    </row>
    <row r="86" spans="1:11" s="44" customFormat="1" ht="31.5" customHeight="1" x14ac:dyDescent="0.2">
      <c r="A86" s="76" t="str">
        <f t="shared" si="14"/>
        <v>F4-Satin bronz</v>
      </c>
      <c r="B86" s="76" t="str">
        <f t="shared" ca="1" si="15"/>
        <v>Float 4mm-Satin bronz termó</v>
      </c>
      <c r="C86" s="77" t="str">
        <f t="shared" si="16"/>
        <v>Duplex</v>
      </c>
      <c r="D86" s="67" t="s">
        <v>28</v>
      </c>
      <c r="E86" s="67" t="s">
        <v>57</v>
      </c>
      <c r="F86" s="67"/>
      <c r="G86" s="77">
        <f t="shared" ca="1" si="17"/>
        <v>53</v>
      </c>
      <c r="H86" s="78">
        <f t="shared" ca="1" si="18"/>
        <v>319</v>
      </c>
      <c r="I86" s="78">
        <f t="shared" ca="1" si="19"/>
        <v>272</v>
      </c>
      <c r="J86" s="72"/>
      <c r="K86" s="49">
        <f t="shared" si="20"/>
        <v>0</v>
      </c>
    </row>
    <row r="87" spans="1:11" s="44" customFormat="1" ht="31.5" customHeight="1" x14ac:dyDescent="0.2">
      <c r="A87" s="76" t="str">
        <f t="shared" si="14"/>
        <v>Barna tégla-F4-Low-e4</v>
      </c>
      <c r="B87" s="76" t="str">
        <f t="shared" ca="1" si="15"/>
        <v>Savamarta barna tegla-Float 4mm-Low-e 4mm termó</v>
      </c>
      <c r="C87" s="77" t="str">
        <f t="shared" si="16"/>
        <v>Triplex</v>
      </c>
      <c r="D87" s="67" t="s">
        <v>114</v>
      </c>
      <c r="E87" s="67" t="s">
        <v>28</v>
      </c>
      <c r="F87" s="67" t="s">
        <v>72</v>
      </c>
      <c r="G87" s="77">
        <f t="shared" ca="1" si="17"/>
        <v>106</v>
      </c>
      <c r="H87" s="78">
        <f t="shared" ca="1" si="18"/>
        <v>538</v>
      </c>
      <c r="I87" s="78">
        <f t="shared" ca="1" si="19"/>
        <v>458</v>
      </c>
      <c r="J87" s="72"/>
      <c r="K87" s="49">
        <f t="shared" si="20"/>
        <v>0</v>
      </c>
    </row>
    <row r="88" spans="1:11" s="44" customFormat="1" ht="31.5" customHeight="1" x14ac:dyDescent="0.2">
      <c r="A88" s="76" t="str">
        <f t="shared" si="14"/>
        <v>Refl4-Barna csincsilla</v>
      </c>
      <c r="B88" s="76" t="str">
        <f t="shared" ca="1" si="15"/>
        <v>Reflexios 4mm-Barna csincsilla termó</v>
      </c>
      <c r="C88" s="77" t="str">
        <f t="shared" si="16"/>
        <v>Duplex</v>
      </c>
      <c r="D88" s="67" t="s">
        <v>76</v>
      </c>
      <c r="E88" s="67" t="s">
        <v>49</v>
      </c>
      <c r="F88" s="67"/>
      <c r="G88" s="77">
        <f t="shared" ca="1" si="17"/>
        <v>53</v>
      </c>
      <c r="H88" s="78">
        <f t="shared" ca="1" si="18"/>
        <v>569</v>
      </c>
      <c r="I88" s="78">
        <f t="shared" ca="1" si="19"/>
        <v>484</v>
      </c>
      <c r="J88" s="72"/>
      <c r="K88" s="49">
        <f t="shared" si="20"/>
        <v>0</v>
      </c>
    </row>
    <row r="89" spans="1:11" s="44" customFormat="1" ht="31.5" customHeight="1" x14ac:dyDescent="0.2">
      <c r="A89" s="76" t="str">
        <f t="shared" si="14"/>
        <v>Homokolt matt-Homokolt matt</v>
      </c>
      <c r="B89" s="76" t="str">
        <f t="shared" ca="1" si="15"/>
        <v>Homokfujt 4mm-Homokfujt 4mm termó</v>
      </c>
      <c r="C89" s="77" t="str">
        <f t="shared" si="16"/>
        <v>Duplex</v>
      </c>
      <c r="D89" s="67" t="s">
        <v>116</v>
      </c>
      <c r="E89" s="67" t="s">
        <v>116</v>
      </c>
      <c r="F89" s="67"/>
      <c r="G89" s="77">
        <f t="shared" ca="1" si="17"/>
        <v>53</v>
      </c>
      <c r="H89" s="78">
        <f t="shared" ca="1" si="18"/>
        <v>363</v>
      </c>
      <c r="I89" s="78">
        <f t="shared" ca="1" si="19"/>
        <v>309</v>
      </c>
      <c r="J89" s="72"/>
      <c r="K89" s="49">
        <f t="shared" si="20"/>
        <v>0</v>
      </c>
    </row>
    <row r="90" spans="1:11" s="44" customFormat="1" ht="31.5" customHeight="1" x14ac:dyDescent="0.2">
      <c r="A90" s="76" t="str">
        <f t="shared" si="14"/>
        <v>Tukor-Fehér fatörzs</v>
      </c>
      <c r="B90" s="76" t="str">
        <f t="shared" ca="1" si="15"/>
        <v>Tukor 4mm-Mintas uveg feher fatorzs termó</v>
      </c>
      <c r="C90" s="77" t="str">
        <f t="shared" si="16"/>
        <v>Duplex</v>
      </c>
      <c r="D90" s="67" t="s">
        <v>71</v>
      </c>
      <c r="E90" s="67" t="s">
        <v>103</v>
      </c>
      <c r="F90" s="67"/>
      <c r="G90" s="77">
        <f t="shared" ca="1" si="17"/>
        <v>53</v>
      </c>
      <c r="H90" s="78">
        <f t="shared" ca="1" si="18"/>
        <v>386</v>
      </c>
      <c r="I90" s="78">
        <f t="shared" ca="1" si="19"/>
        <v>329</v>
      </c>
      <c r="J90" s="72"/>
      <c r="K90" s="49">
        <f t="shared" si="20"/>
        <v>0</v>
      </c>
    </row>
    <row r="91" spans="1:11" s="44" customFormat="1" ht="31.5" customHeight="1" x14ac:dyDescent="0.2">
      <c r="A91" s="76" t="str">
        <f t="shared" si="14"/>
        <v>Refl4-F4-Homokolt matt</v>
      </c>
      <c r="B91" s="76" t="str">
        <f t="shared" ca="1" si="15"/>
        <v>Reflexios 4mm-Float 4mm-Homokfujt 4mm termó</v>
      </c>
      <c r="C91" s="77" t="str">
        <f t="shared" si="16"/>
        <v>Triplex</v>
      </c>
      <c r="D91" s="67" t="s">
        <v>76</v>
      </c>
      <c r="E91" s="67" t="s">
        <v>28</v>
      </c>
      <c r="F91" s="67" t="s">
        <v>116</v>
      </c>
      <c r="G91" s="77">
        <f t="shared" ca="1" si="17"/>
        <v>106</v>
      </c>
      <c r="H91" s="78">
        <f t="shared" ca="1" si="18"/>
        <v>656</v>
      </c>
      <c r="I91" s="78">
        <f t="shared" ca="1" si="19"/>
        <v>558</v>
      </c>
      <c r="J91" s="72"/>
      <c r="K91" s="49">
        <f t="shared" si="20"/>
        <v>0</v>
      </c>
    </row>
    <row r="92" spans="1:11" s="44" customFormat="1" ht="31.5" customHeight="1" x14ac:dyDescent="0.2">
      <c r="A92" s="76" t="str">
        <f t="shared" si="14"/>
        <v>Barna tüskés-Low-e4-Low-e4</v>
      </c>
      <c r="B92" s="76" t="str">
        <f t="shared" ca="1" si="15"/>
        <v>Savmarta barna tuskes-Low-e 4mm-Low-e 4mm termó</v>
      </c>
      <c r="C92" s="77" t="str">
        <f t="shared" si="16"/>
        <v>Triplex</v>
      </c>
      <c r="D92" s="67" t="s">
        <v>112</v>
      </c>
      <c r="E92" s="67" t="s">
        <v>72</v>
      </c>
      <c r="F92" s="67" t="s">
        <v>72</v>
      </c>
      <c r="G92" s="77">
        <f t="shared" ca="1" si="17"/>
        <v>106</v>
      </c>
      <c r="H92" s="78">
        <f t="shared" ca="1" si="18"/>
        <v>556</v>
      </c>
      <c r="I92" s="78">
        <f t="shared" ca="1" si="19"/>
        <v>473</v>
      </c>
      <c r="J92" s="72"/>
      <c r="K92" s="49">
        <f t="shared" si="20"/>
        <v>0</v>
      </c>
    </row>
    <row r="93" spans="1:11" s="44" customFormat="1" ht="30" customHeight="1" x14ac:dyDescent="0.2">
      <c r="A93" s="76" t="str">
        <f t="shared" si="14"/>
        <v>4s-Aprokockás-Low-e4</v>
      </c>
      <c r="B93" s="76" t="str">
        <f t="shared" ca="1" si="15"/>
        <v>4 evszakos-Mintas uveg aprokockas-Low-e 4mm termó</v>
      </c>
      <c r="C93" s="77" t="str">
        <f t="shared" si="16"/>
        <v>Triplex</v>
      </c>
      <c r="D93" s="67" t="s">
        <v>86</v>
      </c>
      <c r="E93" s="67" t="s">
        <v>102</v>
      </c>
      <c r="F93" s="67" t="s">
        <v>72</v>
      </c>
      <c r="G93" s="77">
        <f t="shared" ca="1" si="17"/>
        <v>106</v>
      </c>
      <c r="H93" s="78">
        <f t="shared" ca="1" si="18"/>
        <v>409</v>
      </c>
      <c r="I93" s="78">
        <f t="shared" ca="1" si="19"/>
        <v>348</v>
      </c>
      <c r="J93" s="72"/>
      <c r="K93" s="49">
        <f t="shared" si="20"/>
        <v>0</v>
      </c>
    </row>
    <row r="94" spans="1:11" s="44" customFormat="1" ht="30" customHeight="1" x14ac:dyDescent="0.2">
      <c r="A94" s="76" t="str">
        <f t="shared" si="14"/>
        <v>Barna pálma-Low-e4</v>
      </c>
      <c r="B94" s="76" t="str">
        <f t="shared" ca="1" si="15"/>
        <v>Savmarta barna palma-Low-e 4mm termó</v>
      </c>
      <c r="C94" s="77" t="str">
        <f t="shared" si="16"/>
        <v>Duplex</v>
      </c>
      <c r="D94" s="67" t="s">
        <v>113</v>
      </c>
      <c r="E94" s="67" t="s">
        <v>72</v>
      </c>
      <c r="F94" s="67"/>
      <c r="G94" s="77">
        <f t="shared" ca="1" si="17"/>
        <v>53</v>
      </c>
      <c r="H94" s="78">
        <f t="shared" ca="1" si="18"/>
        <v>400</v>
      </c>
      <c r="I94" s="78">
        <f t="shared" ca="1" si="19"/>
        <v>340</v>
      </c>
      <c r="J94" s="72"/>
      <c r="K94" s="49">
        <f t="shared" si="20"/>
        <v>0</v>
      </c>
    </row>
    <row r="95" spans="1:11" s="44" customFormat="1" ht="30" customHeight="1" x14ac:dyDescent="0.2">
      <c r="A95" s="76" t="str">
        <f t="shared" si="14"/>
        <v>Fehér tégla-Low-e4-Low-e4</v>
      </c>
      <c r="B95" s="76" t="str">
        <f t="shared" ca="1" si="15"/>
        <v>Savmarta feher Tegla-Low-e 4mm-Low-e 4mm termó</v>
      </c>
      <c r="C95" s="77" t="str">
        <f t="shared" si="16"/>
        <v>Triplex</v>
      </c>
      <c r="D95" s="67" t="s">
        <v>111</v>
      </c>
      <c r="E95" s="67" t="s">
        <v>72</v>
      </c>
      <c r="F95" s="67" t="s">
        <v>72</v>
      </c>
      <c r="G95" s="77">
        <f t="shared" ca="1" si="17"/>
        <v>106</v>
      </c>
      <c r="H95" s="78">
        <f t="shared" ca="1" si="18"/>
        <v>510</v>
      </c>
      <c r="I95" s="78">
        <f t="shared" ca="1" si="19"/>
        <v>434</v>
      </c>
      <c r="J95" s="72"/>
      <c r="K95" s="49">
        <f t="shared" si="20"/>
        <v>0</v>
      </c>
    </row>
    <row r="96" spans="1:11" s="44" customFormat="1" ht="30" customHeight="1" x14ac:dyDescent="0.2">
      <c r="A96" s="76" t="str">
        <f t="shared" si="14"/>
        <v>Barna fatörzs-Low-e4-Low-e4</v>
      </c>
      <c r="B96" s="76" t="str">
        <f t="shared" ca="1" si="15"/>
        <v>Barna fatorzs-Low-e 4mm-Low-e 4mm termó</v>
      </c>
      <c r="C96" s="77" t="str">
        <f t="shared" si="16"/>
        <v>Triplex</v>
      </c>
      <c r="D96" s="67" t="s">
        <v>108</v>
      </c>
      <c r="E96" s="67" t="s">
        <v>72</v>
      </c>
      <c r="F96" s="67" t="s">
        <v>72</v>
      </c>
      <c r="G96" s="77">
        <f t="shared" ca="1" si="17"/>
        <v>106</v>
      </c>
      <c r="H96" s="78">
        <f t="shared" ca="1" si="18"/>
        <v>518</v>
      </c>
      <c r="I96" s="78">
        <f t="shared" ca="1" si="19"/>
        <v>441</v>
      </c>
      <c r="J96" s="72"/>
      <c r="K96" s="49">
        <f t="shared" si="20"/>
        <v>0</v>
      </c>
    </row>
    <row r="97" spans="1:11" s="44" customFormat="1" ht="30" customHeight="1" x14ac:dyDescent="0.2">
      <c r="A97" s="76" t="str">
        <f t="shared" si="14"/>
        <v>4s-Fehér csincsilla-Low-e4</v>
      </c>
      <c r="B97" s="76" t="str">
        <f t="shared" ca="1" si="15"/>
        <v>4 evszakos-Feher csincsilla-Low-e 4mm termó</v>
      </c>
      <c r="C97" s="77" t="str">
        <f t="shared" si="16"/>
        <v>Triplex</v>
      </c>
      <c r="D97" s="67" t="s">
        <v>86</v>
      </c>
      <c r="E97" s="67" t="s">
        <v>106</v>
      </c>
      <c r="F97" s="67" t="s">
        <v>72</v>
      </c>
      <c r="G97" s="77">
        <f t="shared" ca="1" si="17"/>
        <v>106</v>
      </c>
      <c r="H97" s="78">
        <f t="shared" ca="1" si="18"/>
        <v>458</v>
      </c>
      <c r="I97" s="78">
        <f t="shared" ca="1" si="19"/>
        <v>390</v>
      </c>
      <c r="J97" s="72"/>
      <c r="K97" s="49">
        <f t="shared" si="20"/>
        <v>0</v>
      </c>
    </row>
    <row r="98" spans="1:11" s="44" customFormat="1" ht="30" customHeight="1" x14ac:dyDescent="0.2">
      <c r="A98" s="76" t="str">
        <f t="shared" ref="A98:A129" si="21">D98&amp;"-"&amp;E98&amp;IF(F98="","","-"&amp;F98)</f>
        <v>4s-Dx7</v>
      </c>
      <c r="B98" s="76" t="str">
        <f t="shared" ref="B98:B129" ca="1" si="22">VLOOKUP(D98,EgyediTermekKod_data,2,0)&amp;"-"&amp;VLOOKUP(E98,EgyediTermekKod_data,2,0)&amp;IF(F98="","","-"&amp;VLOOKUP(F98,EgyediTermekKod_data,2,0)) &amp;" termó"</f>
        <v>4 evszakos-Duplex 3.1.3. termó</v>
      </c>
      <c r="C98" s="77" t="str">
        <f t="shared" ref="C98:C115" si="23">IF(F98="",IF(E98="","SIMMA UVEG!","Duplex"),"Triplex")</f>
        <v>Duplex</v>
      </c>
      <c r="D98" s="67" t="s">
        <v>86</v>
      </c>
      <c r="E98" s="67" t="s">
        <v>74</v>
      </c>
      <c r="F98" s="67"/>
      <c r="G98" s="77">
        <f t="shared" ref="G98:G129" ca="1" si="24">VLOOKUP(C98,Termositas_data,2,0)</f>
        <v>53</v>
      </c>
      <c r="H98" s="78">
        <f t="shared" ref="H98:H129" ca="1" si="25">ROUND(J98+G98+VLOOKUP(D98,EgyediTermekKod_data,3,0)+VLOOKUP(E98,EgyediTermekKod_data,3,0)+IF(C98="Triplex",VLOOKUP(F98,EgyediTermekKod_data,3,0),0),0)</f>
        <v>377</v>
      </c>
      <c r="I98" s="78">
        <f t="shared" ref="I98:I129" ca="1" si="26">ROUNDUP(H98-H98*15/100,0)</f>
        <v>321</v>
      </c>
      <c r="J98" s="72"/>
      <c r="K98" s="49">
        <f t="shared" ref="K98:K129" si="27">ROUNDUP(J98-J98*15/100,0)</f>
        <v>0</v>
      </c>
    </row>
    <row r="99" spans="1:11" s="44" customFormat="1" ht="30" customHeight="1" x14ac:dyDescent="0.2">
      <c r="A99" s="76" t="str">
        <f t="shared" si="21"/>
        <v>Dx7-F6</v>
      </c>
      <c r="B99" s="76" t="str">
        <f t="shared" ca="1" si="22"/>
        <v>Duplex 3.1.3.-Float 6mm termó</v>
      </c>
      <c r="C99" s="77" t="str">
        <f t="shared" si="23"/>
        <v>Duplex</v>
      </c>
      <c r="D99" s="67" t="s">
        <v>74</v>
      </c>
      <c r="E99" s="67" t="s">
        <v>29</v>
      </c>
      <c r="F99" s="67"/>
      <c r="G99" s="77">
        <f t="shared" ca="1" si="24"/>
        <v>53</v>
      </c>
      <c r="H99" s="78">
        <f t="shared" ca="1" si="25"/>
        <v>399</v>
      </c>
      <c r="I99" s="78">
        <f t="shared" ca="1" si="26"/>
        <v>340</v>
      </c>
      <c r="J99" s="72"/>
      <c r="K99" s="49">
        <f t="shared" si="27"/>
        <v>0</v>
      </c>
    </row>
    <row r="100" spans="1:11" s="44" customFormat="1" ht="30" customHeight="1" x14ac:dyDescent="0.2">
      <c r="A100" s="76" t="str">
        <f t="shared" si="21"/>
        <v>Refl4-Homokolt matt</v>
      </c>
      <c r="B100" s="76" t="str">
        <f t="shared" ca="1" si="22"/>
        <v>Reflexios 4mm-Homokfujt 4mm termó</v>
      </c>
      <c r="C100" s="77" t="str">
        <f t="shared" si="23"/>
        <v>Duplex</v>
      </c>
      <c r="D100" s="67" t="s">
        <v>76</v>
      </c>
      <c r="E100" s="67" t="s">
        <v>116</v>
      </c>
      <c r="F100" s="67"/>
      <c r="G100" s="77">
        <f t="shared" ca="1" si="24"/>
        <v>53</v>
      </c>
      <c r="H100" s="78">
        <f t="shared" ca="1" si="25"/>
        <v>518</v>
      </c>
      <c r="I100" s="78">
        <f t="shared" ca="1" si="26"/>
        <v>441</v>
      </c>
      <c r="J100" s="72"/>
      <c r="K100" s="49">
        <f t="shared" si="27"/>
        <v>0</v>
      </c>
    </row>
    <row r="101" spans="1:11" s="44" customFormat="1" ht="30" customHeight="1" x14ac:dyDescent="0.2">
      <c r="A101" s="76" t="str">
        <f t="shared" si="21"/>
        <v>Satin bronz-F4-F4</v>
      </c>
      <c r="B101" s="76" t="str">
        <f t="shared" ca="1" si="22"/>
        <v>Satin bronz-Float 4mm-Float 4mm termó</v>
      </c>
      <c r="C101" s="77" t="str">
        <f t="shared" si="23"/>
        <v>Triplex</v>
      </c>
      <c r="D101" s="67" t="s">
        <v>57</v>
      </c>
      <c r="E101" s="67" t="s">
        <v>28</v>
      </c>
      <c r="F101" s="67" t="s">
        <v>28</v>
      </c>
      <c r="G101" s="77">
        <f t="shared" ca="1" si="24"/>
        <v>106</v>
      </c>
      <c r="H101" s="78">
        <f t="shared" ca="1" si="25"/>
        <v>457</v>
      </c>
      <c r="I101" s="78">
        <f t="shared" ca="1" si="26"/>
        <v>389</v>
      </c>
      <c r="J101" s="72"/>
      <c r="K101" s="49">
        <f t="shared" si="27"/>
        <v>0</v>
      </c>
    </row>
    <row r="102" spans="1:11" s="44" customFormat="1" ht="30" customHeight="1" x14ac:dyDescent="0.2">
      <c r="A102" s="76" t="str">
        <f t="shared" si="21"/>
        <v>Fehér delta2-Low-e4-Low-e4</v>
      </c>
      <c r="B102" s="76" t="str">
        <f t="shared" ca="1" si="22"/>
        <v>Mintas uveg delta 2-Low-e 4mm-Low-e 4mm termó</v>
      </c>
      <c r="C102" s="77" t="str">
        <f t="shared" si="23"/>
        <v>Triplex</v>
      </c>
      <c r="D102" s="67" t="s">
        <v>104</v>
      </c>
      <c r="E102" s="67" t="s">
        <v>72</v>
      </c>
      <c r="F102" s="67" t="s">
        <v>72</v>
      </c>
      <c r="G102" s="77">
        <f t="shared" ca="1" si="24"/>
        <v>106</v>
      </c>
      <c r="H102" s="78">
        <f t="shared" ca="1" si="25"/>
        <v>412</v>
      </c>
      <c r="I102" s="78">
        <f t="shared" ca="1" si="26"/>
        <v>351</v>
      </c>
      <c r="J102" s="72"/>
      <c r="K102" s="49">
        <f t="shared" si="27"/>
        <v>0</v>
      </c>
    </row>
    <row r="103" spans="1:11" s="44" customFormat="1" ht="30" customHeight="1" x14ac:dyDescent="0.2">
      <c r="A103" s="76" t="str">
        <f t="shared" si="21"/>
        <v>Fehér hóvirág-Low-e4</v>
      </c>
      <c r="B103" s="76" t="str">
        <f t="shared" ca="1" si="22"/>
        <v>Fehér hóvirág-Low-e 4mm termó</v>
      </c>
      <c r="C103" s="77" t="str">
        <f t="shared" si="23"/>
        <v>Duplex</v>
      </c>
      <c r="D103" s="67" t="s">
        <v>155</v>
      </c>
      <c r="E103" s="67" t="s">
        <v>72</v>
      </c>
      <c r="F103" s="67"/>
      <c r="G103" s="77">
        <f t="shared" ca="1" si="24"/>
        <v>53</v>
      </c>
      <c r="H103" s="78">
        <f t="shared" ca="1" si="25"/>
        <v>354</v>
      </c>
      <c r="I103" s="78">
        <f t="shared" ca="1" si="26"/>
        <v>301</v>
      </c>
      <c r="J103" s="72"/>
      <c r="K103" s="49">
        <f t="shared" si="27"/>
        <v>0</v>
      </c>
    </row>
    <row r="104" spans="1:11" s="44" customFormat="1" ht="30" customHeight="1" x14ac:dyDescent="0.2">
      <c r="A104" s="76" t="str">
        <f t="shared" si="21"/>
        <v>F6-F6</v>
      </c>
      <c r="B104" s="76" t="str">
        <f t="shared" ca="1" si="22"/>
        <v>Float 6mm-Float 6mm termó</v>
      </c>
      <c r="C104" s="77" t="str">
        <f t="shared" si="23"/>
        <v>Duplex</v>
      </c>
      <c r="D104" s="67" t="s">
        <v>29</v>
      </c>
      <c r="E104" s="67" t="s">
        <v>29</v>
      </c>
      <c r="F104" s="67"/>
      <c r="G104" s="77">
        <f t="shared" ca="1" si="24"/>
        <v>53</v>
      </c>
      <c r="H104" s="78">
        <f t="shared" ca="1" si="25"/>
        <v>297</v>
      </c>
      <c r="I104" s="78">
        <f t="shared" ca="1" si="26"/>
        <v>253</v>
      </c>
      <c r="J104" s="72"/>
      <c r="K104" s="49">
        <f t="shared" si="27"/>
        <v>0</v>
      </c>
    </row>
    <row r="105" spans="1:11" s="44" customFormat="1" ht="30" customHeight="1" x14ac:dyDescent="0.2">
      <c r="A105" s="76" t="str">
        <f t="shared" si="21"/>
        <v>Barna delta2-F4-Low-e4</v>
      </c>
      <c r="B105" s="76" t="str">
        <f t="shared" ca="1" si="22"/>
        <v>Barna delta 2-Float 4mm-Low-e 4mm termó</v>
      </c>
      <c r="C105" s="77" t="str">
        <f t="shared" si="23"/>
        <v>Triplex</v>
      </c>
      <c r="D105" s="67" t="s">
        <v>109</v>
      </c>
      <c r="E105" s="67" t="s">
        <v>28</v>
      </c>
      <c r="F105" s="67" t="s">
        <v>72</v>
      </c>
      <c r="G105" s="77">
        <f t="shared" ca="1" si="24"/>
        <v>106</v>
      </c>
      <c r="H105" s="78">
        <f t="shared" ca="1" si="25"/>
        <v>500</v>
      </c>
      <c r="I105" s="78">
        <f t="shared" ca="1" si="26"/>
        <v>425</v>
      </c>
      <c r="J105" s="72"/>
      <c r="K105" s="49">
        <f t="shared" si="27"/>
        <v>0</v>
      </c>
    </row>
    <row r="106" spans="1:11" s="44" customFormat="1" ht="30" customHeight="1" x14ac:dyDescent="0.2">
      <c r="A106" s="76" t="str">
        <f t="shared" si="21"/>
        <v>Fehér screen-F4</v>
      </c>
      <c r="B106" s="76" t="str">
        <f t="shared" ca="1" si="22"/>
        <v>Feher screen-Float 4mm termó</v>
      </c>
      <c r="C106" s="77" t="str">
        <f t="shared" si="23"/>
        <v>Duplex</v>
      </c>
      <c r="D106" s="67" t="s">
        <v>107</v>
      </c>
      <c r="E106" s="67" t="s">
        <v>28</v>
      </c>
      <c r="F106" s="67"/>
      <c r="G106" s="77">
        <f t="shared" ca="1" si="24"/>
        <v>53</v>
      </c>
      <c r="H106" s="78">
        <f t="shared" ca="1" si="25"/>
        <v>287</v>
      </c>
      <c r="I106" s="78">
        <f t="shared" ca="1" si="26"/>
        <v>244</v>
      </c>
      <c r="J106" s="72"/>
      <c r="K106" s="49">
        <f t="shared" si="27"/>
        <v>0</v>
      </c>
    </row>
    <row r="107" spans="1:11" s="44" customFormat="1" ht="30" customHeight="1" x14ac:dyDescent="0.2">
      <c r="A107" s="76" t="str">
        <f t="shared" si="21"/>
        <v>Lowe 6-F6</v>
      </c>
      <c r="B107" s="76" t="str">
        <f t="shared" ca="1" si="22"/>
        <v>Lowe 6 mm-Float 6mm termó</v>
      </c>
      <c r="C107" s="77" t="str">
        <f t="shared" si="23"/>
        <v>Duplex</v>
      </c>
      <c r="D107" s="67" t="s">
        <v>193</v>
      </c>
      <c r="E107" s="67" t="s">
        <v>29</v>
      </c>
      <c r="F107" s="67"/>
      <c r="G107" s="77">
        <f t="shared" ca="1" si="24"/>
        <v>53</v>
      </c>
      <c r="H107" s="78">
        <f t="shared" ca="1" si="25"/>
        <v>374</v>
      </c>
      <c r="I107" s="78">
        <f t="shared" ca="1" si="26"/>
        <v>318</v>
      </c>
      <c r="J107" s="72"/>
      <c r="K107" s="49">
        <f t="shared" si="27"/>
        <v>0</v>
      </c>
    </row>
    <row r="108" spans="1:11" s="44" customFormat="1" ht="30" customHeight="1" x14ac:dyDescent="0.2">
      <c r="A108" s="76" t="str">
        <f t="shared" si="21"/>
        <v>Fust4-Low-e4-Low-e4</v>
      </c>
      <c r="B108" s="76" t="str">
        <f t="shared" ca="1" si="22"/>
        <v>Fustos 4mm-Low-e 4mm-Low-e 4mm termó</v>
      </c>
      <c r="C108" s="77" t="str">
        <f t="shared" si="23"/>
        <v>Triplex</v>
      </c>
      <c r="D108" s="67" t="s">
        <v>58</v>
      </c>
      <c r="E108" s="67" t="s">
        <v>72</v>
      </c>
      <c r="F108" s="67" t="s">
        <v>72</v>
      </c>
      <c r="G108" s="77">
        <f t="shared" ca="1" si="24"/>
        <v>106</v>
      </c>
      <c r="H108" s="78">
        <f t="shared" ca="1" si="25"/>
        <v>467</v>
      </c>
      <c r="I108" s="78">
        <f t="shared" ca="1" si="26"/>
        <v>397</v>
      </c>
      <c r="J108" s="72"/>
      <c r="K108" s="49">
        <f t="shared" si="27"/>
        <v>0</v>
      </c>
    </row>
    <row r="109" spans="1:11" s="44" customFormat="1" ht="30" customHeight="1" x14ac:dyDescent="0.2">
      <c r="A109" s="76" t="str">
        <f t="shared" si="21"/>
        <v>4s-F4</v>
      </c>
      <c r="B109" s="76" t="str">
        <f t="shared" ca="1" si="22"/>
        <v>4 evszakos-Float 4mm termó</v>
      </c>
      <c r="C109" s="77" t="str">
        <f t="shared" si="23"/>
        <v>Duplex</v>
      </c>
      <c r="D109" s="67" t="s">
        <v>86</v>
      </c>
      <c r="E109" s="67" t="s">
        <v>28</v>
      </c>
      <c r="F109" s="67"/>
      <c r="G109" s="77">
        <f t="shared" ca="1" si="24"/>
        <v>53</v>
      </c>
      <c r="H109" s="78">
        <f t="shared" ca="1" si="25"/>
        <v>238</v>
      </c>
      <c r="I109" s="78">
        <f t="shared" ca="1" si="26"/>
        <v>203</v>
      </c>
      <c r="J109" s="72"/>
      <c r="K109" s="49">
        <f t="shared" si="27"/>
        <v>0</v>
      </c>
    </row>
    <row r="110" spans="1:11" s="44" customFormat="1" ht="30" customHeight="1" x14ac:dyDescent="0.2">
      <c r="A110" s="76" t="str">
        <f t="shared" si="21"/>
        <v>Dx7-Homokolt matt-Dx7</v>
      </c>
      <c r="B110" s="76" t="str">
        <f t="shared" ca="1" si="22"/>
        <v>Duplex 3.1.3.-Homokfujt 4mm-Duplex 3.1.3. termó</v>
      </c>
      <c r="C110" s="77" t="str">
        <f t="shared" si="23"/>
        <v>Triplex</v>
      </c>
      <c r="D110" s="67" t="s">
        <v>74</v>
      </c>
      <c r="E110" s="67" t="s">
        <v>116</v>
      </c>
      <c r="F110" s="67" t="s">
        <v>74</v>
      </c>
      <c r="G110" s="77">
        <f t="shared" ca="1" si="24"/>
        <v>106</v>
      </c>
      <c r="H110" s="78">
        <f t="shared" ca="1" si="25"/>
        <v>709</v>
      </c>
      <c r="I110" s="78">
        <f t="shared" ca="1" si="26"/>
        <v>603</v>
      </c>
      <c r="J110" s="72"/>
      <c r="K110" s="49">
        <f t="shared" si="27"/>
        <v>0</v>
      </c>
    </row>
    <row r="111" spans="1:11" s="44" customFormat="1" ht="30" customHeight="1" x14ac:dyDescent="0.2">
      <c r="A111" s="76" t="str">
        <f t="shared" si="21"/>
        <v>Refl4-Lowe 6</v>
      </c>
      <c r="B111" s="76" t="str">
        <f t="shared" ca="1" si="22"/>
        <v>Reflexios 4mm-Lowe 6 mm termó</v>
      </c>
      <c r="C111" s="77" t="str">
        <f t="shared" si="23"/>
        <v>Duplex</v>
      </c>
      <c r="D111" s="67" t="s">
        <v>76</v>
      </c>
      <c r="E111" s="67" t="s">
        <v>193</v>
      </c>
      <c r="F111" s="67"/>
      <c r="G111" s="77">
        <f t="shared" ca="1" si="24"/>
        <v>53</v>
      </c>
      <c r="H111" s="78">
        <f t="shared" ca="1" si="25"/>
        <v>562</v>
      </c>
      <c r="I111" s="78">
        <f t="shared" ca="1" si="26"/>
        <v>478</v>
      </c>
      <c r="J111" s="72"/>
      <c r="K111" s="49">
        <f t="shared" si="27"/>
        <v>0</v>
      </c>
    </row>
    <row r="112" spans="1:11" s="44" customFormat="1" ht="30" customHeight="1" x14ac:dyDescent="0.2">
      <c r="A112" s="76" t="str">
        <f t="shared" si="21"/>
        <v>Refl4-Homokolt matt-Low-e4</v>
      </c>
      <c r="B112" s="76" t="str">
        <f t="shared" ca="1" si="22"/>
        <v>Reflexios 4mm-Homokfujt 4mm-Low-e 4mm termó</v>
      </c>
      <c r="C112" s="77" t="str">
        <f t="shared" si="23"/>
        <v>Triplex</v>
      </c>
      <c r="D112" s="67" t="s">
        <v>76</v>
      </c>
      <c r="E112" s="67" t="s">
        <v>116</v>
      </c>
      <c r="F112" s="67" t="s">
        <v>72</v>
      </c>
      <c r="G112" s="77">
        <f t="shared" ca="1" si="24"/>
        <v>106</v>
      </c>
      <c r="H112" s="78">
        <f t="shared" ca="1" si="25"/>
        <v>674</v>
      </c>
      <c r="I112" s="78">
        <f t="shared" ca="1" si="26"/>
        <v>573</v>
      </c>
      <c r="J112" s="72"/>
      <c r="K112" s="49">
        <f t="shared" si="27"/>
        <v>0</v>
      </c>
    </row>
    <row r="113" spans="1:11" s="44" customFormat="1" ht="30" customHeight="1" x14ac:dyDescent="0.2">
      <c r="A113" s="76" t="str">
        <f t="shared" si="21"/>
        <v>Fust4-F4-Low-e4</v>
      </c>
      <c r="B113" s="76" t="str">
        <f t="shared" ca="1" si="22"/>
        <v>Fustos 4mm-Float 4mm-Low-e 4mm termó</v>
      </c>
      <c r="C113" s="77" t="str">
        <f t="shared" si="23"/>
        <v>Triplex</v>
      </c>
      <c r="D113" s="67" t="s">
        <v>58</v>
      </c>
      <c r="E113" s="67" t="s">
        <v>28</v>
      </c>
      <c r="F113" s="67" t="s">
        <v>72</v>
      </c>
      <c r="G113" s="77">
        <f t="shared" ca="1" si="24"/>
        <v>106</v>
      </c>
      <c r="H113" s="78">
        <f t="shared" ca="1" si="25"/>
        <v>449</v>
      </c>
      <c r="I113" s="78">
        <f t="shared" ca="1" si="26"/>
        <v>382</v>
      </c>
      <c r="J113" s="72"/>
      <c r="K113" s="49">
        <f t="shared" si="27"/>
        <v>0</v>
      </c>
    </row>
    <row r="114" spans="1:11" s="44" customFormat="1" ht="30" customHeight="1" x14ac:dyDescent="0.2">
      <c r="A114" s="76" t="str">
        <f t="shared" si="21"/>
        <v>Fehér screen-Low-e4-Low-e4</v>
      </c>
      <c r="B114" s="76" t="str">
        <f t="shared" ca="1" si="22"/>
        <v>Feher screen-Low-e 4mm-Low-e 4mm termó</v>
      </c>
      <c r="C114" s="77" t="str">
        <f t="shared" si="23"/>
        <v>Triplex</v>
      </c>
      <c r="D114" s="67" t="s">
        <v>107</v>
      </c>
      <c r="E114" s="67" t="s">
        <v>72</v>
      </c>
      <c r="F114" s="67" t="s">
        <v>72</v>
      </c>
      <c r="G114" s="77">
        <f t="shared" ca="1" si="24"/>
        <v>106</v>
      </c>
      <c r="H114" s="78">
        <f t="shared" ca="1" si="25"/>
        <v>461</v>
      </c>
      <c r="I114" s="78">
        <f t="shared" ca="1" si="26"/>
        <v>392</v>
      </c>
      <c r="J114" s="72"/>
      <c r="K114" s="49">
        <f t="shared" si="27"/>
        <v>0</v>
      </c>
    </row>
    <row r="115" spans="1:11" s="44" customFormat="1" ht="30" customHeight="1" x14ac:dyDescent="0.2">
      <c r="A115" s="76" t="str">
        <f t="shared" si="21"/>
        <v>Tukor-Homokolt matt</v>
      </c>
      <c r="B115" s="76" t="str">
        <f t="shared" ca="1" si="22"/>
        <v>Tukor 4mm-Homokfujt 4mm termó</v>
      </c>
      <c r="C115" s="77" t="str">
        <f t="shared" si="23"/>
        <v>Duplex</v>
      </c>
      <c r="D115" s="67" t="s">
        <v>71</v>
      </c>
      <c r="E115" s="67" t="s">
        <v>116</v>
      </c>
      <c r="F115" s="67"/>
      <c r="G115" s="77">
        <f t="shared" ca="1" si="24"/>
        <v>53</v>
      </c>
      <c r="H115" s="78">
        <f t="shared" ca="1" si="25"/>
        <v>441</v>
      </c>
      <c r="I115" s="78">
        <f t="shared" ca="1" si="26"/>
        <v>375</v>
      </c>
      <c r="J115" s="72"/>
      <c r="K115" s="49">
        <f t="shared" si="27"/>
        <v>0</v>
      </c>
    </row>
    <row r="116" spans="1:11" s="44" customFormat="1" ht="30" customHeight="1" x14ac:dyDescent="0.2">
      <c r="A116" s="76" t="str">
        <f t="shared" si="21"/>
        <v>Satin bronz-F4-Low-e4</v>
      </c>
      <c r="B116" s="76" t="str">
        <f t="shared" ca="1" si="22"/>
        <v>Satin bronz-Float 4mm-Low-e 4mm termó</v>
      </c>
      <c r="C116" s="77" t="str">
        <f t="shared" ref="C116:C135" si="28">IF(F116="",IF(E116="","SIMA UVEG!","Duplex"),"Triplex")</f>
        <v>Triplex</v>
      </c>
      <c r="D116" s="67" t="s">
        <v>57</v>
      </c>
      <c r="E116" s="67" t="s">
        <v>28</v>
      </c>
      <c r="F116" s="67" t="s">
        <v>72</v>
      </c>
      <c r="G116" s="77">
        <f t="shared" ca="1" si="24"/>
        <v>106</v>
      </c>
      <c r="H116" s="78">
        <f t="shared" ca="1" si="25"/>
        <v>475</v>
      </c>
      <c r="I116" s="78">
        <f t="shared" ca="1" si="26"/>
        <v>404</v>
      </c>
      <c r="J116" s="72"/>
      <c r="K116" s="49">
        <f t="shared" si="27"/>
        <v>0</v>
      </c>
    </row>
    <row r="117" spans="1:11" s="44" customFormat="1" ht="30" customHeight="1" x14ac:dyDescent="0.2">
      <c r="A117" s="76" t="str">
        <f t="shared" si="21"/>
        <v>Fehér csincsilla-F4-Low-e4</v>
      </c>
      <c r="B117" s="76" t="str">
        <f t="shared" ca="1" si="22"/>
        <v>Feher csincsilla-Float 4mm-Low-e 4mm termó</v>
      </c>
      <c r="C117" s="77" t="str">
        <f t="shared" si="28"/>
        <v>Triplex</v>
      </c>
      <c r="D117" s="67" t="s">
        <v>106</v>
      </c>
      <c r="E117" s="67" t="s">
        <v>28</v>
      </c>
      <c r="F117" s="67" t="s">
        <v>72</v>
      </c>
      <c r="G117" s="77">
        <f t="shared" ca="1" si="24"/>
        <v>106</v>
      </c>
      <c r="H117" s="78">
        <f t="shared" ca="1" si="25"/>
        <v>443</v>
      </c>
      <c r="I117" s="78">
        <f t="shared" ca="1" si="26"/>
        <v>377</v>
      </c>
      <c r="J117" s="72"/>
      <c r="K117" s="49">
        <f t="shared" si="27"/>
        <v>0</v>
      </c>
    </row>
    <row r="118" spans="1:11" ht="30" customHeight="1" x14ac:dyDescent="0.2">
      <c r="A118" s="76" t="str">
        <f t="shared" si="21"/>
        <v>4s-F6-Low-e4</v>
      </c>
      <c r="B118" s="76" t="str">
        <f t="shared" ca="1" si="22"/>
        <v>4 evszakos-Float 6mm-Low-e 4mm termó</v>
      </c>
      <c r="C118" s="77" t="str">
        <f t="shared" si="28"/>
        <v>Triplex</v>
      </c>
      <c r="D118" s="66" t="s">
        <v>86</v>
      </c>
      <c r="E118" s="66" t="s">
        <v>29</v>
      </c>
      <c r="F118" s="66" t="s">
        <v>72</v>
      </c>
      <c r="G118" s="77">
        <f t="shared" ca="1" si="24"/>
        <v>106</v>
      </c>
      <c r="H118" s="78">
        <f t="shared" ca="1" si="25"/>
        <v>431</v>
      </c>
      <c r="I118" s="78">
        <f t="shared" ca="1" si="26"/>
        <v>367</v>
      </c>
      <c r="K118" s="49">
        <f t="shared" si="27"/>
        <v>0</v>
      </c>
    </row>
    <row r="119" spans="1:11" ht="30" customHeight="1" x14ac:dyDescent="0.2">
      <c r="A119" s="76" t="str">
        <f t="shared" si="21"/>
        <v>Dx7-Fehér screen-Low-e4</v>
      </c>
      <c r="B119" s="76" t="str">
        <f t="shared" ca="1" si="22"/>
        <v>Duplex 3.1.3.-Feher screen-Low-e 4mm termó</v>
      </c>
      <c r="C119" s="77" t="str">
        <f t="shared" si="28"/>
        <v>Triplex</v>
      </c>
      <c r="D119" s="66" t="s">
        <v>74</v>
      </c>
      <c r="E119" s="66" t="s">
        <v>107</v>
      </c>
      <c r="F119" s="66" t="s">
        <v>72</v>
      </c>
      <c r="G119" s="77">
        <f t="shared" ca="1" si="24"/>
        <v>106</v>
      </c>
      <c r="H119" s="78">
        <f t="shared" ca="1" si="25"/>
        <v>582</v>
      </c>
      <c r="I119" s="78">
        <f t="shared" ca="1" si="26"/>
        <v>495</v>
      </c>
      <c r="K119" s="49">
        <f t="shared" si="27"/>
        <v>0</v>
      </c>
    </row>
    <row r="120" spans="1:11" ht="30" customHeight="1" x14ac:dyDescent="0.2">
      <c r="A120" s="76" t="str">
        <f t="shared" si="21"/>
        <v>Dx7-Refl4-Low-e4_</v>
      </c>
      <c r="B120" s="76" t="str">
        <f t="shared" ca="1" si="22"/>
        <v>Duplex 3.1.3.-Reflexios 4mm-Low-e 4mm termó</v>
      </c>
      <c r="C120" s="77" t="str">
        <f t="shared" si="28"/>
        <v>Triplex</v>
      </c>
      <c r="D120" s="66" t="s">
        <v>74</v>
      </c>
      <c r="E120" s="66" t="s">
        <v>76</v>
      </c>
      <c r="F120" s="66" t="s">
        <v>220</v>
      </c>
      <c r="G120" s="77">
        <f t="shared" ca="1" si="24"/>
        <v>106</v>
      </c>
      <c r="H120" s="78">
        <f t="shared" ca="1" si="25"/>
        <v>734</v>
      </c>
      <c r="I120" s="78">
        <f t="shared" ca="1" si="26"/>
        <v>624</v>
      </c>
      <c r="K120" s="49">
        <f t="shared" si="27"/>
        <v>0</v>
      </c>
    </row>
    <row r="121" spans="1:11" ht="30" customHeight="1" x14ac:dyDescent="0.2">
      <c r="A121" s="76" t="str">
        <f t="shared" si="21"/>
        <v>Lowe 6-4s</v>
      </c>
      <c r="B121" s="76" t="str">
        <f t="shared" ca="1" si="22"/>
        <v>Lowe 6 mm-4 evszakos termó</v>
      </c>
      <c r="C121" s="77" t="str">
        <f t="shared" si="28"/>
        <v>Duplex</v>
      </c>
      <c r="D121" s="66" t="s">
        <v>193</v>
      </c>
      <c r="E121" s="66" t="s">
        <v>86</v>
      </c>
      <c r="G121" s="77">
        <f t="shared" ca="1" si="24"/>
        <v>53</v>
      </c>
      <c r="H121" s="78">
        <f t="shared" ca="1" si="25"/>
        <v>352</v>
      </c>
      <c r="I121" s="78">
        <f t="shared" ca="1" si="26"/>
        <v>300</v>
      </c>
      <c r="K121" s="49">
        <f t="shared" si="27"/>
        <v>0</v>
      </c>
    </row>
    <row r="122" spans="1:11" ht="30" customHeight="1" x14ac:dyDescent="0.2">
      <c r="A122" s="76" t="str">
        <f t="shared" si="21"/>
        <v>Tuz4-Low-e4_</v>
      </c>
      <c r="B122" s="76" t="str">
        <f t="shared" ca="1" si="22"/>
        <v>Tuzallo -Low-e 4mm termó</v>
      </c>
      <c r="C122" s="77" t="str">
        <f t="shared" si="28"/>
        <v>Duplex</v>
      </c>
      <c r="D122" s="66" t="s">
        <v>70</v>
      </c>
      <c r="E122" s="66" t="s">
        <v>220</v>
      </c>
      <c r="G122" s="77">
        <f t="shared" ca="1" si="24"/>
        <v>53</v>
      </c>
      <c r="H122" s="78">
        <f t="shared" ca="1" si="25"/>
        <v>2427</v>
      </c>
      <c r="I122" s="78">
        <f t="shared" ca="1" si="26"/>
        <v>2063</v>
      </c>
      <c r="K122" s="49">
        <f t="shared" si="27"/>
        <v>0</v>
      </c>
    </row>
    <row r="123" spans="1:11" ht="30" customHeight="1" x14ac:dyDescent="0.2">
      <c r="A123" s="76" t="str">
        <f t="shared" si="21"/>
        <v>Tuz4-Lowe 6</v>
      </c>
      <c r="B123" s="76" t="str">
        <f t="shared" ca="1" si="22"/>
        <v>Tuzallo -Lowe 6 mm termó</v>
      </c>
      <c r="C123" s="77" t="str">
        <f t="shared" si="28"/>
        <v>Duplex</v>
      </c>
      <c r="D123" s="66" t="s">
        <v>70</v>
      </c>
      <c r="E123" s="66" t="s">
        <v>193</v>
      </c>
      <c r="G123" s="77">
        <f t="shared" ca="1" si="24"/>
        <v>53</v>
      </c>
      <c r="H123" s="78">
        <f t="shared" ca="1" si="25"/>
        <v>2532</v>
      </c>
      <c r="I123" s="78">
        <f t="shared" ca="1" si="26"/>
        <v>2153</v>
      </c>
      <c r="K123" s="49">
        <f t="shared" si="27"/>
        <v>0</v>
      </c>
    </row>
    <row r="124" spans="1:11" ht="30" customHeight="1" x14ac:dyDescent="0.2">
      <c r="A124" s="76" t="str">
        <f t="shared" si="21"/>
        <v>Dx7-Lowe 6</v>
      </c>
      <c r="B124" s="76" t="str">
        <f t="shared" ca="1" si="22"/>
        <v>Duplex 3.1.3.-Lowe 6 mm termó</v>
      </c>
      <c r="C124" s="77" t="str">
        <f t="shared" si="28"/>
        <v>Duplex</v>
      </c>
      <c r="D124" s="66" t="s">
        <v>74</v>
      </c>
      <c r="E124" s="66" t="s">
        <v>193</v>
      </c>
      <c r="G124" s="77">
        <f t="shared" ca="1" si="24"/>
        <v>53</v>
      </c>
      <c r="H124" s="78">
        <f t="shared" ca="1" si="25"/>
        <v>476</v>
      </c>
      <c r="I124" s="78">
        <f t="shared" ca="1" si="26"/>
        <v>405</v>
      </c>
      <c r="K124" s="49">
        <f t="shared" si="27"/>
        <v>0</v>
      </c>
    </row>
    <row r="125" spans="1:11" ht="30" customHeight="1" x14ac:dyDescent="0.2">
      <c r="A125" s="76" t="str">
        <f t="shared" si="21"/>
        <v>4s-Fehér screen-Low-e4</v>
      </c>
      <c r="B125" s="76" t="str">
        <f t="shared" ca="1" si="22"/>
        <v>4 evszakos-Feher screen-Low-e 4mm termó</v>
      </c>
      <c r="C125" s="77" t="str">
        <f t="shared" si="28"/>
        <v>Triplex</v>
      </c>
      <c r="D125" s="66" t="s">
        <v>86</v>
      </c>
      <c r="E125" s="66" t="s">
        <v>107</v>
      </c>
      <c r="F125" s="66" t="s">
        <v>72</v>
      </c>
      <c r="G125" s="77">
        <f t="shared" ca="1" si="24"/>
        <v>106</v>
      </c>
      <c r="H125" s="78">
        <f t="shared" ca="1" si="25"/>
        <v>458</v>
      </c>
      <c r="I125" s="78">
        <f t="shared" ca="1" si="26"/>
        <v>390</v>
      </c>
      <c r="K125" s="49">
        <f t="shared" si="27"/>
        <v>0</v>
      </c>
    </row>
    <row r="126" spans="1:11" ht="30" customHeight="1" x14ac:dyDescent="0.2">
      <c r="A126" s="76" t="str">
        <f t="shared" si="21"/>
        <v>Dx7-F4-Refl4</v>
      </c>
      <c r="B126" s="76" t="str">
        <f t="shared" ca="1" si="22"/>
        <v>Duplex 3.1.3.-Float 4mm-Reflexios 4mm termó</v>
      </c>
      <c r="C126" s="77" t="str">
        <f t="shared" si="28"/>
        <v>Triplex</v>
      </c>
      <c r="D126" s="66" t="s">
        <v>74</v>
      </c>
      <c r="E126" s="66" t="s">
        <v>28</v>
      </c>
      <c r="F126" s="66" t="s">
        <v>76</v>
      </c>
      <c r="G126" s="77">
        <f t="shared" ca="1" si="24"/>
        <v>106</v>
      </c>
      <c r="H126" s="78">
        <f t="shared" ca="1" si="25"/>
        <v>725</v>
      </c>
      <c r="I126" s="78">
        <f t="shared" ca="1" si="26"/>
        <v>617</v>
      </c>
      <c r="K126" s="49">
        <f t="shared" si="27"/>
        <v>0</v>
      </c>
    </row>
    <row r="127" spans="1:11" ht="30" customHeight="1" x14ac:dyDescent="0.2">
      <c r="A127" s="76" t="str">
        <f t="shared" si="21"/>
        <v>Aprokockás-Anti2</v>
      </c>
      <c r="B127" s="76" t="str">
        <f t="shared" ca="1" si="22"/>
        <v>Mintas uveg aprokockas-Antireflex 2mm termó</v>
      </c>
      <c r="C127" s="77" t="str">
        <f t="shared" si="28"/>
        <v>Duplex</v>
      </c>
      <c r="D127" s="66" t="s">
        <v>102</v>
      </c>
      <c r="E127" s="66" t="s">
        <v>82</v>
      </c>
      <c r="G127" s="77">
        <f t="shared" ca="1" si="24"/>
        <v>53</v>
      </c>
      <c r="H127" s="78">
        <f t="shared" ca="1" si="25"/>
        <v>260</v>
      </c>
      <c r="I127" s="78">
        <f t="shared" ca="1" si="26"/>
        <v>221</v>
      </c>
      <c r="K127" s="49">
        <f t="shared" si="27"/>
        <v>0</v>
      </c>
    </row>
    <row r="128" spans="1:11" ht="30" customHeight="1" x14ac:dyDescent="0.2">
      <c r="A128" s="76" t="str">
        <f t="shared" si="21"/>
        <v>Dx9-Low-e4</v>
      </c>
      <c r="B128" s="76" t="str">
        <f t="shared" ca="1" si="22"/>
        <v>Duplex 4.2.4-Low-e 4mm termó</v>
      </c>
      <c r="C128" s="77" t="str">
        <f t="shared" si="28"/>
        <v>Duplex</v>
      </c>
      <c r="D128" s="66" t="s">
        <v>339</v>
      </c>
      <c r="E128" s="66" t="s">
        <v>72</v>
      </c>
      <c r="G128" s="77">
        <f t="shared" ca="1" si="24"/>
        <v>53</v>
      </c>
      <c r="H128" s="78">
        <f t="shared" ca="1" si="25"/>
        <v>682</v>
      </c>
      <c r="I128" s="78">
        <f t="shared" ca="1" si="26"/>
        <v>580</v>
      </c>
      <c r="K128" s="49">
        <f t="shared" si="27"/>
        <v>0</v>
      </c>
    </row>
    <row r="129" spans="1:11" ht="30" customHeight="1" x14ac:dyDescent="0.2">
      <c r="A129" s="76" t="str">
        <f t="shared" si="21"/>
        <v>F8-Dx9</v>
      </c>
      <c r="B129" s="76" t="str">
        <f t="shared" ca="1" si="22"/>
        <v>Float 8mm-Duplex 4.2.4 termó</v>
      </c>
      <c r="C129" s="77" t="str">
        <f t="shared" si="28"/>
        <v>Duplex</v>
      </c>
      <c r="D129" s="66" t="s">
        <v>30</v>
      </c>
      <c r="E129" s="66" t="s">
        <v>339</v>
      </c>
      <c r="G129" s="77">
        <f t="shared" ca="1" si="24"/>
        <v>53</v>
      </c>
      <c r="H129" s="78">
        <f t="shared" ca="1" si="25"/>
        <v>718</v>
      </c>
      <c r="I129" s="78">
        <f t="shared" ca="1" si="26"/>
        <v>611</v>
      </c>
      <c r="K129" s="49">
        <f t="shared" si="27"/>
        <v>0</v>
      </c>
    </row>
    <row r="130" spans="1:11" ht="30" customHeight="1" x14ac:dyDescent="0.2">
      <c r="A130" s="76" t="str">
        <f t="shared" ref="A130:A135" si="29">D130&amp;"-"&amp;E130&amp;IF(F130="","","-"&amp;F130)</f>
        <v>Satin bronz-Low-e4-Low-e4</v>
      </c>
      <c r="B130" s="76" t="str">
        <f t="shared" ref="B130:B135" ca="1" si="30">VLOOKUP(D130,EgyediTermekKod_data,2,0)&amp;"-"&amp;VLOOKUP(E130,EgyediTermekKod_data,2,0)&amp;IF(F130="","","-"&amp;VLOOKUP(F130,EgyediTermekKod_data,2,0)) &amp;" termó"</f>
        <v>Satin bronz-Low-e 4mm-Low-e 4mm termó</v>
      </c>
      <c r="C130" s="77" t="str">
        <f t="shared" si="28"/>
        <v>Triplex</v>
      </c>
      <c r="D130" s="66" t="s">
        <v>57</v>
      </c>
      <c r="E130" s="66" t="s">
        <v>72</v>
      </c>
      <c r="F130" s="66" t="s">
        <v>72</v>
      </c>
      <c r="G130" s="77">
        <f t="shared" ref="G130:G161" ca="1" si="31">VLOOKUP(C130,Termositas_data,2,0)</f>
        <v>106</v>
      </c>
      <c r="H130" s="78">
        <f t="shared" ref="H130:H161" ca="1" si="32">ROUND(J130+G130+VLOOKUP(D130,EgyediTermekKod_data,3,0)+VLOOKUP(E130,EgyediTermekKod_data,3,0)+IF(C130="Triplex",VLOOKUP(F130,EgyediTermekKod_data,3,0),0),0)</f>
        <v>493</v>
      </c>
      <c r="I130" s="78">
        <f t="shared" ref="I130:I161" ca="1" si="33">ROUNDUP(H130-H130*15/100,0)</f>
        <v>420</v>
      </c>
      <c r="K130" s="49">
        <f t="shared" ref="K130:K152" si="34">ROUNDUP(J130-J130*15/100,0)</f>
        <v>0</v>
      </c>
    </row>
    <row r="131" spans="1:11" ht="30" customHeight="1" x14ac:dyDescent="0.2">
      <c r="A131" s="76" t="str">
        <f t="shared" si="29"/>
        <v>Fehér csincsilla-F4</v>
      </c>
      <c r="B131" s="76" t="str">
        <f t="shared" ca="1" si="30"/>
        <v>Feher csincsilla-Float 4mm termó</v>
      </c>
      <c r="C131" s="77" t="str">
        <f t="shared" si="28"/>
        <v>Duplex</v>
      </c>
      <c r="D131" s="66" t="s">
        <v>106</v>
      </c>
      <c r="E131" s="66" t="s">
        <v>28</v>
      </c>
      <c r="G131" s="77">
        <f t="shared" ca="1" si="31"/>
        <v>53</v>
      </c>
      <c r="H131" s="78">
        <f t="shared" ca="1" si="32"/>
        <v>287</v>
      </c>
      <c r="I131" s="78">
        <f t="shared" ca="1" si="33"/>
        <v>244</v>
      </c>
      <c r="K131" s="49">
        <f t="shared" si="34"/>
        <v>0</v>
      </c>
    </row>
    <row r="132" spans="1:11" ht="30" customHeight="1" x14ac:dyDescent="0.2">
      <c r="A132" s="76" t="str">
        <f t="shared" si="29"/>
        <v>F6-Lowe 6-Low-e4</v>
      </c>
      <c r="B132" s="76" t="str">
        <f t="shared" ca="1" si="30"/>
        <v>Float 6mm-Lowe 6 mm-Low-e 4mm termó</v>
      </c>
      <c r="C132" s="77" t="str">
        <f t="shared" si="28"/>
        <v>Triplex</v>
      </c>
      <c r="D132" s="66" t="s">
        <v>29</v>
      </c>
      <c r="E132" s="66" t="s">
        <v>193</v>
      </c>
      <c r="F132" s="66" t="s">
        <v>72</v>
      </c>
      <c r="G132" s="77">
        <f t="shared" ca="1" si="31"/>
        <v>106</v>
      </c>
      <c r="H132" s="78">
        <f t="shared" ca="1" si="32"/>
        <v>530</v>
      </c>
      <c r="I132" s="78">
        <f t="shared" ca="1" si="33"/>
        <v>451</v>
      </c>
      <c r="K132" s="49">
        <f t="shared" si="34"/>
        <v>0</v>
      </c>
    </row>
    <row r="133" spans="1:11" ht="30" customHeight="1" x14ac:dyDescent="0.2">
      <c r="A133" s="76" t="str">
        <f t="shared" si="29"/>
        <v>Tukor-Fehér csincsilla</v>
      </c>
      <c r="B133" s="76" t="str">
        <f t="shared" ca="1" si="30"/>
        <v>Tukor 4mm-Feher csincsilla termó</v>
      </c>
      <c r="C133" s="77" t="str">
        <f t="shared" si="28"/>
        <v>Duplex</v>
      </c>
      <c r="D133" s="66" t="s">
        <v>71</v>
      </c>
      <c r="E133" s="66" t="s">
        <v>106</v>
      </c>
      <c r="G133" s="77">
        <f t="shared" ca="1" si="31"/>
        <v>53</v>
      </c>
      <c r="H133" s="78">
        <f t="shared" ca="1" si="32"/>
        <v>435</v>
      </c>
      <c r="I133" s="78">
        <f t="shared" ca="1" si="33"/>
        <v>370</v>
      </c>
      <c r="K133" s="49">
        <f t="shared" si="34"/>
        <v>0</v>
      </c>
    </row>
    <row r="134" spans="1:11" ht="30" customHeight="1" x14ac:dyDescent="0.2">
      <c r="A134" s="76" t="str">
        <f t="shared" si="29"/>
        <v>Refl4-Low-e4-Lowe 6</v>
      </c>
      <c r="B134" s="76" t="str">
        <f t="shared" ca="1" si="30"/>
        <v>Reflexios 4mm-Low-e 4mm-Lowe 6 mm termó</v>
      </c>
      <c r="C134" s="77" t="str">
        <f t="shared" si="28"/>
        <v>Triplex</v>
      </c>
      <c r="D134" s="66" t="s">
        <v>76</v>
      </c>
      <c r="E134" s="66" t="s">
        <v>72</v>
      </c>
      <c r="F134" s="66" t="s">
        <v>193</v>
      </c>
      <c r="G134" s="77">
        <f t="shared" ca="1" si="31"/>
        <v>106</v>
      </c>
      <c r="H134" s="78">
        <f t="shared" ca="1" si="32"/>
        <v>718</v>
      </c>
      <c r="I134" s="78">
        <f t="shared" ca="1" si="33"/>
        <v>611</v>
      </c>
      <c r="K134" s="49">
        <f t="shared" si="34"/>
        <v>0</v>
      </c>
    </row>
    <row r="135" spans="1:11" ht="30" customHeight="1" x14ac:dyDescent="0.2">
      <c r="A135" s="76" t="str">
        <f t="shared" si="29"/>
        <v>Fehér tüskés-F4-Low-e4</v>
      </c>
      <c r="B135" s="76" t="str">
        <f t="shared" ca="1" si="30"/>
        <v>Savmarta feher tuskes-Float 4mm-Low-e 4mm termó</v>
      </c>
      <c r="C135" s="77" t="str">
        <f t="shared" si="28"/>
        <v>Triplex</v>
      </c>
      <c r="D135" s="66" t="s">
        <v>110</v>
      </c>
      <c r="E135" s="66" t="s">
        <v>28</v>
      </c>
      <c r="F135" s="66" t="s">
        <v>72</v>
      </c>
      <c r="G135" s="77">
        <f t="shared" ca="1" si="31"/>
        <v>106</v>
      </c>
      <c r="H135" s="78">
        <f t="shared" ca="1" si="32"/>
        <v>492</v>
      </c>
      <c r="I135" s="78">
        <f t="shared" ca="1" si="33"/>
        <v>419</v>
      </c>
      <c r="K135" s="49">
        <f t="shared" si="34"/>
        <v>0</v>
      </c>
    </row>
    <row r="136" spans="1:11" ht="30" customHeight="1" x14ac:dyDescent="0.2">
      <c r="A136" s="76" t="s">
        <v>367</v>
      </c>
      <c r="B136" s="76" t="s">
        <v>368</v>
      </c>
      <c r="C136" s="77" t="s">
        <v>207</v>
      </c>
      <c r="D136" s="66" t="s">
        <v>369</v>
      </c>
      <c r="E136" s="66" t="s">
        <v>86</v>
      </c>
      <c r="F136" s="66" t="s">
        <v>339</v>
      </c>
      <c r="G136" s="77">
        <f t="shared" ca="1" si="31"/>
        <v>106</v>
      </c>
      <c r="H136" s="78">
        <f t="shared" ca="1" si="32"/>
        <v>1242</v>
      </c>
      <c r="I136" s="78">
        <f t="shared" ca="1" si="33"/>
        <v>1056</v>
      </c>
      <c r="K136" s="49">
        <f t="shared" si="34"/>
        <v>0</v>
      </c>
    </row>
    <row r="137" spans="1:11" ht="30" customHeight="1" x14ac:dyDescent="0.2">
      <c r="A137" s="76" t="str">
        <f t="shared" ref="A137:A146" si="35">D137&amp;"-"&amp;E137&amp;IF(F137="","","-"&amp;F137)</f>
        <v>4s-Low-e4-Lowe 6</v>
      </c>
      <c r="B137" s="76" t="str">
        <f t="shared" ref="B137:B146" ca="1" si="36">VLOOKUP(D137,EgyediTermekKod_data,2,0)&amp;"-"&amp;VLOOKUP(E137,EgyediTermekKod_data,2,0)&amp;IF(F137="","","-"&amp;VLOOKUP(F137,EgyediTermekKod_data,2,0)) &amp;" termó"</f>
        <v>4 evszakos-Low-e 4mm-Lowe 6 mm termó</v>
      </c>
      <c r="C137" s="77" t="str">
        <f t="shared" ref="C137:C146" si="37">IF(F137="",IF(E137="","SIMA UVEG!","Duplex"),"Triplex")</f>
        <v>Triplex</v>
      </c>
      <c r="D137" s="66" t="s">
        <v>86</v>
      </c>
      <c r="E137" s="66" t="s">
        <v>72</v>
      </c>
      <c r="F137" s="66" t="s">
        <v>193</v>
      </c>
      <c r="G137" s="77">
        <f t="shared" ca="1" si="31"/>
        <v>106</v>
      </c>
      <c r="H137" s="78">
        <f t="shared" ca="1" si="32"/>
        <v>508</v>
      </c>
      <c r="I137" s="78">
        <f t="shared" ca="1" si="33"/>
        <v>432</v>
      </c>
      <c r="K137" s="49">
        <f t="shared" si="34"/>
        <v>0</v>
      </c>
    </row>
    <row r="138" spans="1:11" ht="30" customHeight="1" x14ac:dyDescent="0.2">
      <c r="A138" s="76" t="str">
        <f t="shared" si="35"/>
        <v>Dx9-F4-Low-e4</v>
      </c>
      <c r="B138" s="76" t="str">
        <f t="shared" ca="1" si="36"/>
        <v>Duplex 4.2.4-Float 4mm-Low-e 4mm termó</v>
      </c>
      <c r="C138" s="77" t="str">
        <f t="shared" si="37"/>
        <v>Triplex</v>
      </c>
      <c r="D138" s="66" t="s">
        <v>339</v>
      </c>
      <c r="E138" s="66" t="s">
        <v>28</v>
      </c>
      <c r="F138" s="66" t="s">
        <v>72</v>
      </c>
      <c r="G138" s="77">
        <f t="shared" ca="1" si="31"/>
        <v>106</v>
      </c>
      <c r="H138" s="78">
        <f t="shared" ca="1" si="32"/>
        <v>820</v>
      </c>
      <c r="I138" s="78">
        <f t="shared" ca="1" si="33"/>
        <v>697</v>
      </c>
      <c r="K138" s="49">
        <f t="shared" si="34"/>
        <v>0</v>
      </c>
    </row>
    <row r="139" spans="1:11" ht="30" customHeight="1" x14ac:dyDescent="0.2">
      <c r="A139" s="76" t="str">
        <f t="shared" si="35"/>
        <v>F4-Lowe 6</v>
      </c>
      <c r="B139" s="76" t="str">
        <f t="shared" ca="1" si="36"/>
        <v>Float 4mm-Lowe 6 mm termó</v>
      </c>
      <c r="C139" s="77" t="str">
        <f t="shared" si="37"/>
        <v>Duplex</v>
      </c>
      <c r="D139" s="66" t="s">
        <v>28</v>
      </c>
      <c r="E139" s="66" t="s">
        <v>193</v>
      </c>
      <c r="G139" s="77">
        <f t="shared" ca="1" si="31"/>
        <v>53</v>
      </c>
      <c r="H139" s="78">
        <f t="shared" ca="1" si="32"/>
        <v>337</v>
      </c>
      <c r="I139" s="78">
        <f t="shared" ca="1" si="33"/>
        <v>287</v>
      </c>
      <c r="K139" s="49">
        <f t="shared" si="34"/>
        <v>0</v>
      </c>
    </row>
    <row r="140" spans="1:11" ht="30" customHeight="1" x14ac:dyDescent="0.2">
      <c r="A140" s="76" t="str">
        <f t="shared" si="35"/>
        <v>Tukor-Low-e4</v>
      </c>
      <c r="B140" s="76" t="str">
        <f t="shared" ca="1" si="36"/>
        <v>Tukor 4mm-Low-e 4mm termó</v>
      </c>
      <c r="C140" s="77" t="str">
        <f t="shared" si="37"/>
        <v>Duplex</v>
      </c>
      <c r="D140" s="66" t="s">
        <v>71</v>
      </c>
      <c r="E140" s="66" t="s">
        <v>72</v>
      </c>
      <c r="G140" s="77">
        <f t="shared" ca="1" si="31"/>
        <v>53</v>
      </c>
      <c r="H140" s="78">
        <f t="shared" ca="1" si="32"/>
        <v>389</v>
      </c>
      <c r="I140" s="78">
        <f t="shared" ca="1" si="33"/>
        <v>331</v>
      </c>
      <c r="K140" s="49">
        <f t="shared" si="34"/>
        <v>0</v>
      </c>
    </row>
    <row r="141" spans="1:11" ht="30" customHeight="1" x14ac:dyDescent="0.2">
      <c r="A141" s="76" t="str">
        <f t="shared" si="35"/>
        <v>Dx7-Fehér fatörzs</v>
      </c>
      <c r="B141" s="76" t="str">
        <f t="shared" ca="1" si="36"/>
        <v>Duplex 3.1.3.-Mintas uveg feher fatorzs termó</v>
      </c>
      <c r="C141" s="77" t="str">
        <f t="shared" si="37"/>
        <v>Duplex</v>
      </c>
      <c r="D141" s="66" t="s">
        <v>74</v>
      </c>
      <c r="E141" s="66" t="s">
        <v>103</v>
      </c>
      <c r="G141" s="77">
        <f t="shared" ca="1" si="31"/>
        <v>53</v>
      </c>
      <c r="H141" s="78">
        <f t="shared" ca="1" si="32"/>
        <v>377</v>
      </c>
      <c r="I141" s="78">
        <f t="shared" ca="1" si="33"/>
        <v>321</v>
      </c>
      <c r="K141" s="49">
        <f t="shared" si="34"/>
        <v>0</v>
      </c>
    </row>
    <row r="142" spans="1:11" ht="30" customHeight="1" x14ac:dyDescent="0.2">
      <c r="A142" s="76" t="str">
        <f t="shared" si="35"/>
        <v>Dx9-Fehér fatörzs</v>
      </c>
      <c r="B142" s="76" t="str">
        <f t="shared" ca="1" si="36"/>
        <v>Duplex 4.2.4-Mintas uveg feher fatorzs termó</v>
      </c>
      <c r="C142" s="77" t="str">
        <f t="shared" si="37"/>
        <v>Duplex</v>
      </c>
      <c r="D142" s="66" t="s">
        <v>339</v>
      </c>
      <c r="E142" s="66" t="s">
        <v>103</v>
      </c>
      <c r="G142" s="77">
        <f t="shared" ca="1" si="31"/>
        <v>53</v>
      </c>
      <c r="H142" s="78">
        <f t="shared" ca="1" si="32"/>
        <v>679</v>
      </c>
      <c r="I142" s="78">
        <f t="shared" ca="1" si="33"/>
        <v>578</v>
      </c>
      <c r="K142" s="49">
        <f t="shared" si="34"/>
        <v>0</v>
      </c>
    </row>
    <row r="143" spans="1:11" ht="30" customHeight="1" x14ac:dyDescent="0.2">
      <c r="A143" s="76" t="str">
        <f t="shared" si="35"/>
        <v>4s-F6-Lowe 6</v>
      </c>
      <c r="B143" s="76" t="str">
        <f t="shared" ca="1" si="36"/>
        <v>4 evszakos-Float 6mm-Lowe 6 mm termó</v>
      </c>
      <c r="C143" s="77" t="str">
        <f t="shared" si="37"/>
        <v>Triplex</v>
      </c>
      <c r="D143" s="66" t="s">
        <v>86</v>
      </c>
      <c r="E143" s="66" t="s">
        <v>29</v>
      </c>
      <c r="F143" s="66" t="s">
        <v>193</v>
      </c>
      <c r="G143" s="77">
        <f t="shared" ca="1" si="31"/>
        <v>106</v>
      </c>
      <c r="H143" s="78">
        <f t="shared" ca="1" si="32"/>
        <v>527</v>
      </c>
      <c r="I143" s="78">
        <f t="shared" ca="1" si="33"/>
        <v>448</v>
      </c>
      <c r="K143" s="49">
        <f t="shared" si="34"/>
        <v>0</v>
      </c>
    </row>
    <row r="144" spans="1:11" ht="30" customHeight="1" x14ac:dyDescent="0.2">
      <c r="A144" s="76" t="str">
        <f t="shared" si="35"/>
        <v>tukor-Barna delta2-Low-e4</v>
      </c>
      <c r="B144" s="76" t="str">
        <f t="shared" ca="1" si="36"/>
        <v>Tukor 4mm-Barna delta 2-Low-e 4mm termó</v>
      </c>
      <c r="C144" s="77" t="str">
        <f t="shared" si="37"/>
        <v>Triplex</v>
      </c>
      <c r="D144" s="66" t="s">
        <v>380</v>
      </c>
      <c r="E144" s="66" t="s">
        <v>109</v>
      </c>
      <c r="F144" s="66" t="s">
        <v>72</v>
      </c>
      <c r="G144" s="77">
        <f t="shared" ca="1" si="31"/>
        <v>106</v>
      </c>
      <c r="H144" s="78">
        <f t="shared" ca="1" si="32"/>
        <v>648</v>
      </c>
      <c r="I144" s="78">
        <f t="shared" ca="1" si="33"/>
        <v>551</v>
      </c>
      <c r="K144" s="49">
        <f t="shared" si="34"/>
        <v>0</v>
      </c>
    </row>
    <row r="145" spans="1:11" ht="30" customHeight="1" x14ac:dyDescent="0.2">
      <c r="A145" s="76" t="str">
        <f t="shared" si="35"/>
        <v>Dx7-F4</v>
      </c>
      <c r="B145" s="76" t="str">
        <f t="shared" ca="1" si="36"/>
        <v>Duplex 3.1.3.-Float 4mm termó</v>
      </c>
      <c r="C145" s="77" t="str">
        <f t="shared" si="37"/>
        <v>Duplex</v>
      </c>
      <c r="D145" s="66" t="s">
        <v>74</v>
      </c>
      <c r="E145" s="66" t="s">
        <v>28</v>
      </c>
      <c r="G145" s="77">
        <f t="shared" ca="1" si="31"/>
        <v>53</v>
      </c>
      <c r="H145" s="78">
        <f t="shared" ca="1" si="32"/>
        <v>362</v>
      </c>
      <c r="I145" s="78">
        <f t="shared" ca="1" si="33"/>
        <v>308</v>
      </c>
      <c r="K145" s="49">
        <f t="shared" si="34"/>
        <v>0</v>
      </c>
    </row>
    <row r="146" spans="1:11" ht="30" customHeight="1" x14ac:dyDescent="0.2">
      <c r="A146" s="76" t="str">
        <f t="shared" si="35"/>
        <v>Fust4-F4</v>
      </c>
      <c r="B146" s="76" t="str">
        <f t="shared" ca="1" si="36"/>
        <v>Fustos 4mm-Float 4mm termó</v>
      </c>
      <c r="C146" s="77" t="str">
        <f t="shared" si="37"/>
        <v>Duplex</v>
      </c>
      <c r="D146" s="66" t="s">
        <v>58</v>
      </c>
      <c r="E146" s="66" t="s">
        <v>28</v>
      </c>
      <c r="G146" s="77">
        <f t="shared" ca="1" si="31"/>
        <v>53</v>
      </c>
      <c r="H146" s="78">
        <f t="shared" ca="1" si="32"/>
        <v>293</v>
      </c>
      <c r="I146" s="78">
        <f t="shared" ca="1" si="33"/>
        <v>250</v>
      </c>
      <c r="K146" s="49">
        <f t="shared" si="34"/>
        <v>0</v>
      </c>
    </row>
    <row r="147" spans="1:11" ht="30" customHeight="1" x14ac:dyDescent="0.2">
      <c r="A147" s="76" t="s">
        <v>384</v>
      </c>
      <c r="B147" s="76" t="s">
        <v>384</v>
      </c>
      <c r="C147" s="77" t="s">
        <v>211</v>
      </c>
      <c r="D147" s="66" t="s">
        <v>86</v>
      </c>
      <c r="E147" s="66" t="s">
        <v>29</v>
      </c>
      <c r="G147" s="77">
        <f t="shared" ca="1" si="31"/>
        <v>53</v>
      </c>
      <c r="H147" s="78">
        <f t="shared" ca="1" si="32"/>
        <v>275</v>
      </c>
      <c r="I147" s="78">
        <f t="shared" ca="1" si="33"/>
        <v>234</v>
      </c>
      <c r="K147" s="49">
        <f t="shared" si="34"/>
        <v>0</v>
      </c>
    </row>
    <row r="148" spans="1:11" ht="30" customHeight="1" x14ac:dyDescent="0.2">
      <c r="A148" s="76" t="str">
        <f>D148&amp;"-"&amp;E148&amp;IF(F148="","","-"&amp;F148)</f>
        <v>4s-Lowe 6</v>
      </c>
      <c r="B148" s="76" t="str">
        <f ca="1">VLOOKUP(D148,EgyediTermekKod_data,2,0)&amp;"-"&amp;VLOOKUP(E148,EgyediTermekKod_data,2,0)&amp;IF(F148="","","-"&amp;VLOOKUP(F148,EgyediTermekKod_data,2,0)) &amp;" termó"</f>
        <v>4 evszakos-Lowe 6 mm termó</v>
      </c>
      <c r="C148" s="77" t="str">
        <f>IF(F148="",IF(E148="","SIMA UVEG!","Duplex"),"Triplex")</f>
        <v>Duplex</v>
      </c>
      <c r="D148" s="66" t="s">
        <v>86</v>
      </c>
      <c r="E148" s="66" t="s">
        <v>193</v>
      </c>
      <c r="G148" s="77">
        <f t="shared" ca="1" si="31"/>
        <v>53</v>
      </c>
      <c r="H148" s="78">
        <f t="shared" ca="1" si="32"/>
        <v>352</v>
      </c>
      <c r="I148" s="78">
        <f t="shared" ca="1" si="33"/>
        <v>300</v>
      </c>
      <c r="K148" s="49">
        <f t="shared" si="34"/>
        <v>0</v>
      </c>
    </row>
    <row r="149" spans="1:11" ht="30" customHeight="1" x14ac:dyDescent="0.2">
      <c r="A149" s="76" t="str">
        <f>D149&amp;"-"&amp;E149&amp;IF(F149="","","-"&amp;F149)</f>
        <v>Low-e4-Low-e4</v>
      </c>
      <c r="B149" s="76" t="str">
        <f ca="1">VLOOKUP(D149,EgyediTermekKod_data,2,0)&amp;"-"&amp;VLOOKUP(E149,EgyediTermekKod_data,2,0)&amp;IF(F149="","","-"&amp;VLOOKUP(F149,EgyediTermekKod_data,2,0)) &amp;" termó"</f>
        <v>Low-e 4mm-Low-e 4mm termó</v>
      </c>
      <c r="C149" s="77" t="str">
        <f>IF(F149="",IF(E149="","SIMA UVEG!","Duplex"),"Triplex")</f>
        <v>Duplex</v>
      </c>
      <c r="D149" s="66" t="s">
        <v>72</v>
      </c>
      <c r="E149" s="66" t="s">
        <v>72</v>
      </c>
      <c r="G149" s="77">
        <f t="shared" ca="1" si="31"/>
        <v>53</v>
      </c>
      <c r="H149" s="78">
        <f t="shared" ca="1" si="32"/>
        <v>259</v>
      </c>
      <c r="I149" s="78">
        <f t="shared" ca="1" si="33"/>
        <v>221</v>
      </c>
      <c r="K149" s="49">
        <f t="shared" si="34"/>
        <v>0</v>
      </c>
    </row>
    <row r="150" spans="1:11" ht="30" customHeight="1" x14ac:dyDescent="0.2">
      <c r="A150" s="76" t="str">
        <f>D150&amp;"-"&amp;E150&amp;IF(F150="","","-"&amp;F150)</f>
        <v>Homokolt matt-F4-F4</v>
      </c>
      <c r="B150" s="76" t="str">
        <f ca="1">VLOOKUP(D150,EgyediTermekKod_data,2,0)&amp;"-"&amp;VLOOKUP(E150,EgyediTermekKod_data,2,0)&amp;IF(F150="","","-"&amp;VLOOKUP(F150,EgyediTermekKod_data,2,0)) &amp;" termó"</f>
        <v>Homokfujt 4mm-Float 4mm-Float 4mm termó</v>
      </c>
      <c r="C150" s="77" t="str">
        <f>IF(F150="",IF(E150="","SIMA UVEG!","Duplex"),"Triplex")</f>
        <v>Triplex</v>
      </c>
      <c r="D150" s="66" t="s">
        <v>116</v>
      </c>
      <c r="E150" s="66" t="s">
        <v>28</v>
      </c>
      <c r="F150" s="66" t="s">
        <v>28</v>
      </c>
      <c r="G150" s="77">
        <f t="shared" ca="1" si="31"/>
        <v>106</v>
      </c>
      <c r="H150" s="78">
        <f t="shared" ca="1" si="32"/>
        <v>431</v>
      </c>
      <c r="I150" s="78">
        <f t="shared" ca="1" si="33"/>
        <v>367</v>
      </c>
      <c r="K150" s="49">
        <f t="shared" si="34"/>
        <v>0</v>
      </c>
    </row>
    <row r="151" spans="1:11" ht="30" customHeight="1" x14ac:dyDescent="0.2">
      <c r="A151" s="76" t="str">
        <f>D151&amp;"-"&amp;E151&amp;IF(F151="","","-"&amp;F151)</f>
        <v>4s-F6</v>
      </c>
      <c r="B151" s="76" t="str">
        <f ca="1">VLOOKUP(D151,EgyediTermekKod_data,2,0)&amp;"-"&amp;VLOOKUP(E151,EgyediTermekKod_data,2,0)&amp;IF(F151="","","-"&amp;VLOOKUP(F151,EgyediTermekKod_data,2,0)) &amp;" termó"</f>
        <v>4 evszakos-Float 6mm termó</v>
      </c>
      <c r="C151" s="77" t="str">
        <f>IF(F151="",IF(E151="","SIMA UVEG!","Duplex"),"Triplex")</f>
        <v>Duplex</v>
      </c>
      <c r="D151" s="66" t="s">
        <v>86</v>
      </c>
      <c r="E151" s="66" t="s">
        <v>29</v>
      </c>
      <c r="G151" s="77">
        <f t="shared" ca="1" si="31"/>
        <v>53</v>
      </c>
      <c r="H151" s="78">
        <f t="shared" ca="1" si="32"/>
        <v>275</v>
      </c>
      <c r="I151" s="78">
        <f t="shared" ca="1" si="33"/>
        <v>234</v>
      </c>
      <c r="K151" s="49">
        <f t="shared" si="34"/>
        <v>0</v>
      </c>
    </row>
    <row r="152" spans="1:11" ht="30" customHeight="1" x14ac:dyDescent="0.2">
      <c r="A152" s="76" t="str">
        <f>D152&amp;"-"&amp;E152&amp;IF(F152="","","-"&amp;F152)</f>
        <v>F6-Refl4-Low-e4</v>
      </c>
      <c r="B152" s="76" t="str">
        <f ca="1">VLOOKUP(D152,EgyediTermekKod_data,2,0)&amp;"-"&amp;VLOOKUP(E152,EgyediTermekKod_data,2,0)&amp;IF(F152="","","-"&amp;VLOOKUP(F152,EgyediTermekKod_data,2,0)) &amp;" termó"</f>
        <v>Float 6mm-Reflexios 4mm-Low-e 4mm termó</v>
      </c>
      <c r="C152" s="77" t="str">
        <f>IF(F152="",IF(E152="","SIMA UVEG!","Duplex"),"Triplex")</f>
        <v>Triplex</v>
      </c>
      <c r="D152" s="66" t="s">
        <v>29</v>
      </c>
      <c r="E152" s="66" t="s">
        <v>76</v>
      </c>
      <c r="F152" s="66" t="s">
        <v>72</v>
      </c>
      <c r="G152" s="77">
        <f t="shared" ca="1" si="31"/>
        <v>106</v>
      </c>
      <c r="H152" s="78">
        <f t="shared" ca="1" si="32"/>
        <v>641</v>
      </c>
      <c r="I152" s="78">
        <f t="shared" ca="1" si="33"/>
        <v>545</v>
      </c>
      <c r="K152" s="49">
        <f t="shared" si="34"/>
        <v>0</v>
      </c>
    </row>
    <row r="153" spans="1:11" ht="30" customHeight="1" x14ac:dyDescent="0.2">
      <c r="A153" s="76" t="s">
        <v>389</v>
      </c>
      <c r="B153" s="76" t="s">
        <v>390</v>
      </c>
      <c r="C153" s="77" t="s">
        <v>207</v>
      </c>
      <c r="D153" s="66" t="s">
        <v>193</v>
      </c>
      <c r="E153" s="66" t="s">
        <v>57</v>
      </c>
      <c r="F153" s="66" t="s">
        <v>86</v>
      </c>
      <c r="G153" s="77">
        <f t="shared" ca="1" si="31"/>
        <v>106</v>
      </c>
      <c r="H153" s="78">
        <f t="shared" ca="1" si="32"/>
        <v>586</v>
      </c>
      <c r="I153" s="78">
        <f t="shared" ca="1" si="33"/>
        <v>499</v>
      </c>
      <c r="K153" s="49">
        <v>0</v>
      </c>
    </row>
    <row r="154" spans="1:11" ht="30" customHeight="1" x14ac:dyDescent="0.2">
      <c r="A154" s="76" t="s">
        <v>391</v>
      </c>
      <c r="B154" s="76" t="s">
        <v>392</v>
      </c>
      <c r="C154" s="77" t="s">
        <v>211</v>
      </c>
      <c r="D154" s="66" t="s">
        <v>76</v>
      </c>
      <c r="E154" s="66" t="s">
        <v>104</v>
      </c>
      <c r="G154" s="77">
        <f t="shared" ca="1" si="31"/>
        <v>53</v>
      </c>
      <c r="H154" s="78">
        <f t="shared" ca="1" si="32"/>
        <v>463</v>
      </c>
      <c r="I154" s="78">
        <f t="shared" ca="1" si="33"/>
        <v>394</v>
      </c>
      <c r="K154" s="49">
        <f t="shared" ref="K154:K198" si="38">ROUNDUP(J154-J154*15/100,0)</f>
        <v>0</v>
      </c>
    </row>
    <row r="155" spans="1:11" ht="30" customHeight="1" x14ac:dyDescent="0.2">
      <c r="A155" s="76" t="s">
        <v>393</v>
      </c>
      <c r="B155" s="76" t="s">
        <v>394</v>
      </c>
      <c r="C155" s="77" t="s">
        <v>211</v>
      </c>
      <c r="D155" s="66" t="s">
        <v>76</v>
      </c>
      <c r="E155" s="66" t="s">
        <v>109</v>
      </c>
      <c r="G155" s="77">
        <f t="shared" ca="1" si="31"/>
        <v>53</v>
      </c>
      <c r="H155" s="78">
        <f t="shared" ca="1" si="32"/>
        <v>569</v>
      </c>
      <c r="I155" s="78">
        <f t="shared" ca="1" si="33"/>
        <v>484</v>
      </c>
      <c r="K155" s="49">
        <f t="shared" si="38"/>
        <v>0</v>
      </c>
    </row>
    <row r="156" spans="1:11" ht="30" customHeight="1" x14ac:dyDescent="0.2">
      <c r="A156" s="76" t="str">
        <f t="shared" ref="A156:A198" si="39">D156&amp;"-"&amp;E156&amp;IF(F156="","","-"&amp;F156)</f>
        <v>Dx7-Satin bronz</v>
      </c>
      <c r="B156" s="76" t="str">
        <f t="shared" ref="B156:B198" ca="1" si="40">VLOOKUP(D156,EgyediTermekKod_data,2,0)&amp;"-"&amp;VLOOKUP(E156,EgyediTermekKod_data,2,0)&amp;IF(F156="","","-"&amp;VLOOKUP(F156,EgyediTermekKod_data,2,0)) &amp;" termó"</f>
        <v>Duplex 3.1.3.-Satin bronz termó</v>
      </c>
      <c r="C156" s="77" t="str">
        <f t="shared" ref="C156:C198" si="41">IF(F156="",IF(E156="","SIMA UVEG!","Duplex"),"Triplex")</f>
        <v>Duplex</v>
      </c>
      <c r="D156" s="66" t="s">
        <v>74</v>
      </c>
      <c r="E156" s="66" t="s">
        <v>57</v>
      </c>
      <c r="G156" s="77">
        <f t="shared" ca="1" si="31"/>
        <v>53</v>
      </c>
      <c r="H156" s="78">
        <f t="shared" ca="1" si="32"/>
        <v>458</v>
      </c>
      <c r="I156" s="78">
        <f t="shared" ca="1" si="33"/>
        <v>390</v>
      </c>
      <c r="K156" s="49">
        <f t="shared" si="38"/>
        <v>0</v>
      </c>
    </row>
    <row r="157" spans="1:11" ht="30" customHeight="1" x14ac:dyDescent="0.2">
      <c r="A157" s="76" t="str">
        <f t="shared" si="39"/>
        <v>F3-Homokolt matt</v>
      </c>
      <c r="B157" s="76" t="str">
        <f t="shared" ca="1" si="40"/>
        <v>Float 3mm-Homokfujt 4mm termó</v>
      </c>
      <c r="C157" s="77" t="str">
        <f t="shared" si="41"/>
        <v>Duplex</v>
      </c>
      <c r="D157" s="66" t="s">
        <v>27</v>
      </c>
      <c r="E157" s="66" t="s">
        <v>116</v>
      </c>
      <c r="G157" s="77">
        <f t="shared" ca="1" si="31"/>
        <v>53</v>
      </c>
      <c r="H157" s="78">
        <f t="shared" ca="1" si="32"/>
        <v>284</v>
      </c>
      <c r="I157" s="78">
        <f t="shared" ca="1" si="33"/>
        <v>242</v>
      </c>
      <c r="K157" s="49">
        <f t="shared" si="38"/>
        <v>0</v>
      </c>
    </row>
    <row r="158" spans="1:11" ht="30" customHeight="1" x14ac:dyDescent="0.2">
      <c r="A158" s="76" t="str">
        <f t="shared" si="39"/>
        <v>Dx7-Refl4-Low-e4E</v>
      </c>
      <c r="B158" s="76" t="str">
        <f t="shared" ca="1" si="40"/>
        <v>Duplex 3.1.3.-Reflexios 4mm-Low-e 4mm edzve termó</v>
      </c>
      <c r="C158" s="77" t="str">
        <f t="shared" si="41"/>
        <v>Triplex</v>
      </c>
      <c r="D158" s="66" t="s">
        <v>74</v>
      </c>
      <c r="E158" s="66" t="s">
        <v>76</v>
      </c>
      <c r="F158" s="66" t="s">
        <v>398</v>
      </c>
      <c r="G158" s="77">
        <f t="shared" ca="1" si="31"/>
        <v>106</v>
      </c>
      <c r="H158" s="78">
        <f t="shared" ca="1" si="32"/>
        <v>949</v>
      </c>
      <c r="I158" s="78">
        <f t="shared" ca="1" si="33"/>
        <v>807</v>
      </c>
      <c r="K158" s="49">
        <f t="shared" si="38"/>
        <v>0</v>
      </c>
    </row>
    <row r="159" spans="1:11" ht="30" customHeight="1" x14ac:dyDescent="0.2">
      <c r="A159" s="76" t="str">
        <f t="shared" si="39"/>
        <v>F6E-Fehér delta2</v>
      </c>
      <c r="B159" s="76" t="str">
        <f t="shared" ca="1" si="40"/>
        <v>F6mm edzve-Mintas uveg delta 2 termó</v>
      </c>
      <c r="C159" s="77" t="str">
        <f t="shared" si="41"/>
        <v>Duplex</v>
      </c>
      <c r="D159" s="66" t="s">
        <v>369</v>
      </c>
      <c r="E159" s="66" t="s">
        <v>104</v>
      </c>
      <c r="G159" s="77">
        <f t="shared" ca="1" si="31"/>
        <v>53</v>
      </c>
      <c r="H159" s="78">
        <f t="shared" ca="1" si="32"/>
        <v>663</v>
      </c>
      <c r="I159" s="78">
        <f t="shared" ca="1" si="33"/>
        <v>564</v>
      </c>
      <c r="K159" s="49">
        <f t="shared" si="38"/>
        <v>0</v>
      </c>
    </row>
    <row r="160" spans="1:11" ht="30" customHeight="1" x14ac:dyDescent="0.2">
      <c r="A160" s="76" t="str">
        <f t="shared" si="39"/>
        <v>Dx7-F4-F4</v>
      </c>
      <c r="B160" s="76" t="str">
        <f t="shared" ca="1" si="40"/>
        <v>Duplex 3.1.3.-Float 4mm-Float 4mm termó</v>
      </c>
      <c r="C160" s="77" t="str">
        <f t="shared" si="41"/>
        <v>Triplex</v>
      </c>
      <c r="D160" s="66" t="s">
        <v>74</v>
      </c>
      <c r="E160" s="66" t="s">
        <v>28</v>
      </c>
      <c r="F160" s="66" t="s">
        <v>28</v>
      </c>
      <c r="G160" s="77">
        <f t="shared" ca="1" si="31"/>
        <v>106</v>
      </c>
      <c r="H160" s="78">
        <f t="shared" ca="1" si="32"/>
        <v>500</v>
      </c>
      <c r="I160" s="78">
        <f t="shared" ca="1" si="33"/>
        <v>425</v>
      </c>
      <c r="K160" s="49">
        <f t="shared" si="38"/>
        <v>0</v>
      </c>
    </row>
    <row r="161" spans="1:11" ht="30" customHeight="1" x14ac:dyDescent="0.2">
      <c r="A161" s="76" t="str">
        <f t="shared" si="39"/>
        <v>Homokolt matt-F6</v>
      </c>
      <c r="B161" s="76" t="str">
        <f t="shared" ca="1" si="40"/>
        <v>Homokfujt 4mm-Float 6mm termó</v>
      </c>
      <c r="C161" s="77" t="str">
        <f t="shared" si="41"/>
        <v>Duplex</v>
      </c>
      <c r="D161" s="66" t="s">
        <v>116</v>
      </c>
      <c r="E161" s="66" t="s">
        <v>29</v>
      </c>
      <c r="G161" s="77">
        <f t="shared" ca="1" si="31"/>
        <v>53</v>
      </c>
      <c r="H161" s="78">
        <f t="shared" ca="1" si="32"/>
        <v>330</v>
      </c>
      <c r="I161" s="78">
        <f t="shared" ca="1" si="33"/>
        <v>281</v>
      </c>
      <c r="K161" s="49">
        <f t="shared" si="38"/>
        <v>0</v>
      </c>
    </row>
    <row r="162" spans="1:11" ht="30" customHeight="1" x14ac:dyDescent="0.2">
      <c r="A162" s="76" t="str">
        <f t="shared" si="39"/>
        <v>Dx9-Homokolt matt</v>
      </c>
      <c r="B162" s="76" t="str">
        <f t="shared" ca="1" si="40"/>
        <v>Duplex 4.2.4-Homokfujt 4mm termó</v>
      </c>
      <c r="C162" s="77" t="str">
        <f t="shared" si="41"/>
        <v>Duplex</v>
      </c>
      <c r="D162" s="66" t="s">
        <v>339</v>
      </c>
      <c r="E162" s="66" t="s">
        <v>116</v>
      </c>
      <c r="G162" s="77">
        <f t="shared" ref="G162:G190" ca="1" si="42">VLOOKUP(C162,Termositas_data,2,0)</f>
        <v>53</v>
      </c>
      <c r="H162" s="78">
        <f t="shared" ref="H162:H190" ca="1" si="43">ROUND(J162+G162+VLOOKUP(D162,EgyediTermekKod_data,3,0)+VLOOKUP(E162,EgyediTermekKod_data,3,0)+IF(C162="Triplex",VLOOKUP(F162,EgyediTermekKod_data,3,0),0),0)</f>
        <v>734</v>
      </c>
      <c r="I162" s="78">
        <f t="shared" ref="I162:I190" ca="1" si="44">ROUNDUP(H162-H162*15/100,0)</f>
        <v>624</v>
      </c>
      <c r="K162" s="49">
        <f t="shared" si="38"/>
        <v>0</v>
      </c>
    </row>
    <row r="163" spans="1:11" ht="30" customHeight="1" x14ac:dyDescent="0.2">
      <c r="A163" s="76" t="str">
        <f t="shared" si="39"/>
        <v>Refl4-F6-F4</v>
      </c>
      <c r="B163" s="76" t="str">
        <f t="shared" ca="1" si="40"/>
        <v>Reflexios 4mm-Float 6mm-Float 4mm termó</v>
      </c>
      <c r="C163" s="77" t="str">
        <f t="shared" si="41"/>
        <v>Triplex</v>
      </c>
      <c r="D163" s="66" t="s">
        <v>76</v>
      </c>
      <c r="E163" s="66" t="s">
        <v>29</v>
      </c>
      <c r="F163" s="66" t="s">
        <v>28</v>
      </c>
      <c r="G163" s="77">
        <f t="shared" ca="1" si="42"/>
        <v>106</v>
      </c>
      <c r="H163" s="78">
        <f t="shared" ca="1" si="43"/>
        <v>623</v>
      </c>
      <c r="I163" s="78">
        <f t="shared" ca="1" si="44"/>
        <v>530</v>
      </c>
      <c r="K163" s="49">
        <f t="shared" si="38"/>
        <v>0</v>
      </c>
    </row>
    <row r="164" spans="1:11" ht="30" customHeight="1" x14ac:dyDescent="0.2">
      <c r="A164" s="76" t="str">
        <f t="shared" si="39"/>
        <v>F4E-Low-e4</v>
      </c>
      <c r="B164" s="76" t="str">
        <f t="shared" ca="1" si="40"/>
        <v>Float 4mm edzve-Low-e 4mm termó</v>
      </c>
      <c r="C164" s="77" t="str">
        <f t="shared" si="41"/>
        <v>Duplex</v>
      </c>
      <c r="D164" s="66" t="s">
        <v>406</v>
      </c>
      <c r="E164" s="66" t="s">
        <v>72</v>
      </c>
      <c r="G164" s="77">
        <f t="shared" ca="1" si="42"/>
        <v>53</v>
      </c>
      <c r="H164" s="78">
        <f t="shared" ca="1" si="43"/>
        <v>411</v>
      </c>
      <c r="I164" s="78">
        <f t="shared" ca="1" si="44"/>
        <v>350</v>
      </c>
      <c r="K164" s="49">
        <f t="shared" si="38"/>
        <v>0</v>
      </c>
    </row>
    <row r="165" spans="1:11" ht="30" customHeight="1" x14ac:dyDescent="0.2">
      <c r="A165" s="76" t="str">
        <f t="shared" si="39"/>
        <v>4S-F6-F4</v>
      </c>
      <c r="B165" s="76" t="str">
        <f t="shared" ca="1" si="40"/>
        <v>4 evszakos-Float 6mm-Float 4mm termó</v>
      </c>
      <c r="C165" s="77" t="str">
        <f t="shared" si="41"/>
        <v>Triplex</v>
      </c>
      <c r="D165" s="66" t="s">
        <v>409</v>
      </c>
      <c r="E165" s="66" t="s">
        <v>29</v>
      </c>
      <c r="F165" s="66" t="s">
        <v>28</v>
      </c>
      <c r="G165" s="77">
        <f t="shared" ca="1" si="42"/>
        <v>106</v>
      </c>
      <c r="H165" s="78">
        <f t="shared" ca="1" si="43"/>
        <v>413</v>
      </c>
      <c r="I165" s="78">
        <f t="shared" ca="1" si="44"/>
        <v>352</v>
      </c>
      <c r="K165" s="49">
        <f t="shared" si="38"/>
        <v>0</v>
      </c>
    </row>
    <row r="166" spans="1:11" ht="30" customHeight="1" x14ac:dyDescent="0.2">
      <c r="A166" s="76" t="str">
        <f t="shared" si="39"/>
        <v>4s-F4-F4</v>
      </c>
      <c r="B166" s="76" t="str">
        <f t="shared" ca="1" si="40"/>
        <v>4 evszakos-Float 4mm-Float 4mm termó</v>
      </c>
      <c r="C166" s="77" t="str">
        <f t="shared" si="41"/>
        <v>Triplex</v>
      </c>
      <c r="D166" s="66" t="s">
        <v>86</v>
      </c>
      <c r="E166" s="66" t="s">
        <v>28</v>
      </c>
      <c r="F166" s="66" t="s">
        <v>28</v>
      </c>
      <c r="G166" s="77">
        <f t="shared" ca="1" si="42"/>
        <v>106</v>
      </c>
      <c r="H166" s="78">
        <f t="shared" ca="1" si="43"/>
        <v>376</v>
      </c>
      <c r="I166" s="78">
        <f t="shared" ca="1" si="44"/>
        <v>320</v>
      </c>
      <c r="K166" s="49">
        <f t="shared" si="38"/>
        <v>0</v>
      </c>
    </row>
    <row r="167" spans="1:11" ht="30" customHeight="1" x14ac:dyDescent="0.2">
      <c r="A167" s="76" t="str">
        <f t="shared" si="39"/>
        <v>F6E-4S-Dx7</v>
      </c>
      <c r="B167" s="76" t="str">
        <f t="shared" ca="1" si="40"/>
        <v>F6mm edzve-4 evszakos-Duplex 3.1.3. termó</v>
      </c>
      <c r="C167" s="77" t="str">
        <f t="shared" si="41"/>
        <v>Triplex</v>
      </c>
      <c r="D167" s="66" t="s">
        <v>369</v>
      </c>
      <c r="E167" s="66" t="s">
        <v>409</v>
      </c>
      <c r="F167" s="66" t="s">
        <v>74</v>
      </c>
      <c r="G167" s="77">
        <f t="shared" ca="1" si="42"/>
        <v>106</v>
      </c>
      <c r="H167" s="78">
        <f t="shared" ca="1" si="43"/>
        <v>940</v>
      </c>
      <c r="I167" s="78">
        <f t="shared" ca="1" si="44"/>
        <v>799</v>
      </c>
      <c r="K167" s="49">
        <f t="shared" si="38"/>
        <v>0</v>
      </c>
    </row>
    <row r="168" spans="1:11" ht="30" customHeight="1" x14ac:dyDescent="0.2">
      <c r="A168" s="76" t="str">
        <f t="shared" si="39"/>
        <v>Dx9-F4</v>
      </c>
      <c r="B168" s="76" t="str">
        <f t="shared" ca="1" si="40"/>
        <v>Duplex 4.2.4-Float 4mm termó</v>
      </c>
      <c r="C168" s="77" t="str">
        <f t="shared" si="41"/>
        <v>Duplex</v>
      </c>
      <c r="D168" s="66" t="s">
        <v>339</v>
      </c>
      <c r="E168" s="66" t="s">
        <v>28</v>
      </c>
      <c r="G168" s="77">
        <f t="shared" ca="1" si="42"/>
        <v>53</v>
      </c>
      <c r="H168" s="78">
        <f t="shared" ca="1" si="43"/>
        <v>664</v>
      </c>
      <c r="I168" s="78">
        <f t="shared" ca="1" si="44"/>
        <v>565</v>
      </c>
      <c r="K168" s="49">
        <f t="shared" si="38"/>
        <v>0</v>
      </c>
    </row>
    <row r="169" spans="1:11" ht="30" customHeight="1" x14ac:dyDescent="0.2">
      <c r="A169" s="76" t="str">
        <f t="shared" si="39"/>
        <v>Refl4-F4-F4</v>
      </c>
      <c r="B169" s="76" t="str">
        <f t="shared" ca="1" si="40"/>
        <v>Reflexios 4mm-Float 4mm-Float 4mm termó</v>
      </c>
      <c r="C169" s="77" t="str">
        <f t="shared" si="41"/>
        <v>Triplex</v>
      </c>
      <c r="D169" s="66" t="s">
        <v>76</v>
      </c>
      <c r="E169" s="66" t="s">
        <v>28</v>
      </c>
      <c r="F169" s="66" t="s">
        <v>28</v>
      </c>
      <c r="G169" s="77">
        <f t="shared" ca="1" si="42"/>
        <v>106</v>
      </c>
      <c r="H169" s="78">
        <f t="shared" ca="1" si="43"/>
        <v>586</v>
      </c>
      <c r="I169" s="78">
        <f t="shared" ca="1" si="44"/>
        <v>499</v>
      </c>
      <c r="K169" s="49">
        <f t="shared" si="38"/>
        <v>0</v>
      </c>
    </row>
    <row r="170" spans="1:11" ht="30" customHeight="1" x14ac:dyDescent="0.2">
      <c r="A170" s="76" t="str">
        <f t="shared" si="39"/>
        <v>Fehér csincsilla-F4-Low-e4</v>
      </c>
      <c r="B170" s="76" t="str">
        <f t="shared" ca="1" si="40"/>
        <v>Feher csincsilla-Float 4mm-Low-e 4mm termó</v>
      </c>
      <c r="C170" s="77" t="str">
        <f t="shared" si="41"/>
        <v>Triplex</v>
      </c>
      <c r="D170" s="66" t="s">
        <v>106</v>
      </c>
      <c r="E170" s="66" t="s">
        <v>28</v>
      </c>
      <c r="F170" s="66" t="s">
        <v>72</v>
      </c>
      <c r="G170" s="77">
        <f t="shared" ca="1" si="42"/>
        <v>106</v>
      </c>
      <c r="H170" s="78">
        <f t="shared" ca="1" si="43"/>
        <v>443</v>
      </c>
      <c r="I170" s="78">
        <f t="shared" ca="1" si="44"/>
        <v>377</v>
      </c>
      <c r="K170" s="49">
        <f t="shared" si="38"/>
        <v>0</v>
      </c>
    </row>
    <row r="171" spans="1:11" ht="30" customHeight="1" x14ac:dyDescent="0.2">
      <c r="A171" s="76" t="str">
        <f t="shared" si="39"/>
        <v>Fehér hóvirág-Fehér hóvirág</v>
      </c>
      <c r="B171" s="76" t="str">
        <f t="shared" ca="1" si="40"/>
        <v>Fehér hóvirág-Fehér hóvirág termó</v>
      </c>
      <c r="C171" s="77" t="str">
        <f t="shared" si="41"/>
        <v>Duplex</v>
      </c>
      <c r="D171" s="66" t="s">
        <v>155</v>
      </c>
      <c r="E171" s="66" t="s">
        <v>155</v>
      </c>
      <c r="G171" s="77">
        <f t="shared" ca="1" si="42"/>
        <v>53</v>
      </c>
      <c r="H171" s="78">
        <f t="shared" ca="1" si="43"/>
        <v>449</v>
      </c>
      <c r="I171" s="78">
        <f t="shared" ca="1" si="44"/>
        <v>382</v>
      </c>
      <c r="K171" s="49">
        <f t="shared" si="38"/>
        <v>0</v>
      </c>
    </row>
    <row r="172" spans="1:11" ht="30" customHeight="1" x14ac:dyDescent="0.2">
      <c r="A172" s="76" t="str">
        <f t="shared" si="39"/>
        <v>Barna tüskés-F4-Low-e4</v>
      </c>
      <c r="B172" s="76" t="str">
        <f t="shared" ca="1" si="40"/>
        <v>Savmarta barna tuskes-Float 4mm-Low-e 4mm termó</v>
      </c>
      <c r="C172" s="77" t="str">
        <f t="shared" si="41"/>
        <v>Triplex</v>
      </c>
      <c r="D172" s="66" t="s">
        <v>112</v>
      </c>
      <c r="E172" s="66" t="s">
        <v>28</v>
      </c>
      <c r="F172" s="66" t="s">
        <v>72</v>
      </c>
      <c r="G172" s="77">
        <f t="shared" ca="1" si="42"/>
        <v>106</v>
      </c>
      <c r="H172" s="78">
        <f t="shared" ca="1" si="43"/>
        <v>538</v>
      </c>
      <c r="I172" s="78">
        <f t="shared" ca="1" si="44"/>
        <v>458</v>
      </c>
      <c r="K172" s="49">
        <f t="shared" si="38"/>
        <v>0</v>
      </c>
    </row>
    <row r="173" spans="1:11" ht="30" customHeight="1" x14ac:dyDescent="0.2">
      <c r="A173" s="76" t="str">
        <f t="shared" si="39"/>
        <v>-</v>
      </c>
      <c r="B173" s="76" t="e">
        <f t="shared" ca="1" si="40"/>
        <v>#N/A</v>
      </c>
      <c r="C173" s="77" t="str">
        <f t="shared" si="41"/>
        <v>SIMA UVEG!</v>
      </c>
      <c r="G173" s="77" t="e">
        <f t="shared" ca="1" si="42"/>
        <v>#N/A</v>
      </c>
      <c r="H173" s="78" t="e">
        <f t="shared" ca="1" si="43"/>
        <v>#N/A</v>
      </c>
      <c r="I173" s="78" t="e">
        <f t="shared" ca="1" si="44"/>
        <v>#N/A</v>
      </c>
      <c r="J173" s="73">
        <v>-314</v>
      </c>
      <c r="K173" s="49">
        <f t="shared" si="38"/>
        <v>-267</v>
      </c>
    </row>
    <row r="174" spans="1:11" ht="30" customHeight="1" x14ac:dyDescent="0.2">
      <c r="A174" s="76" t="str">
        <f t="shared" si="39"/>
        <v>-</v>
      </c>
      <c r="B174" s="76" t="e">
        <f t="shared" ca="1" si="40"/>
        <v>#N/A</v>
      </c>
      <c r="C174" s="77" t="str">
        <f t="shared" si="41"/>
        <v>SIMA UVEG!</v>
      </c>
      <c r="G174" s="77" t="e">
        <f t="shared" ca="1" si="42"/>
        <v>#N/A</v>
      </c>
      <c r="H174" s="78" t="e">
        <f t="shared" ca="1" si="43"/>
        <v>#N/A</v>
      </c>
      <c r="I174" s="78" t="e">
        <f t="shared" ca="1" si="44"/>
        <v>#N/A</v>
      </c>
      <c r="K174" s="49">
        <f t="shared" si="38"/>
        <v>0</v>
      </c>
    </row>
    <row r="175" spans="1:11" ht="30" customHeight="1" x14ac:dyDescent="0.2">
      <c r="A175" s="76" t="str">
        <f t="shared" si="39"/>
        <v>-</v>
      </c>
      <c r="B175" s="76" t="e">
        <f t="shared" ca="1" si="40"/>
        <v>#N/A</v>
      </c>
      <c r="C175" s="77" t="str">
        <f t="shared" si="41"/>
        <v>SIMA UVEG!</v>
      </c>
      <c r="G175" s="77" t="e">
        <f t="shared" ca="1" si="42"/>
        <v>#N/A</v>
      </c>
      <c r="H175" s="78" t="e">
        <f t="shared" ca="1" si="43"/>
        <v>#N/A</v>
      </c>
      <c r="I175" s="78" t="e">
        <f t="shared" ca="1" si="44"/>
        <v>#N/A</v>
      </c>
      <c r="K175" s="49">
        <f t="shared" si="38"/>
        <v>0</v>
      </c>
    </row>
    <row r="176" spans="1:11" ht="30" customHeight="1" x14ac:dyDescent="0.2">
      <c r="A176" s="76" t="str">
        <f t="shared" si="39"/>
        <v>-</v>
      </c>
      <c r="B176" s="76" t="e">
        <f t="shared" ca="1" si="40"/>
        <v>#N/A</v>
      </c>
      <c r="C176" s="77" t="str">
        <f t="shared" si="41"/>
        <v>SIMA UVEG!</v>
      </c>
      <c r="G176" s="77" t="e">
        <f t="shared" ca="1" si="42"/>
        <v>#N/A</v>
      </c>
      <c r="H176" s="78" t="e">
        <f t="shared" ca="1" si="43"/>
        <v>#N/A</v>
      </c>
      <c r="I176" s="78" t="e">
        <f t="shared" ca="1" si="44"/>
        <v>#N/A</v>
      </c>
      <c r="K176" s="49">
        <f t="shared" si="38"/>
        <v>0</v>
      </c>
    </row>
    <row r="177" spans="1:11" ht="30" customHeight="1" x14ac:dyDescent="0.2">
      <c r="A177" s="76" t="str">
        <f t="shared" si="39"/>
        <v>-</v>
      </c>
      <c r="B177" s="76" t="e">
        <f t="shared" ca="1" si="40"/>
        <v>#N/A</v>
      </c>
      <c r="C177" s="77" t="str">
        <f t="shared" si="41"/>
        <v>SIMA UVEG!</v>
      </c>
      <c r="G177" s="77" t="e">
        <f t="shared" ca="1" si="42"/>
        <v>#N/A</v>
      </c>
      <c r="H177" s="78" t="e">
        <f t="shared" ca="1" si="43"/>
        <v>#N/A</v>
      </c>
      <c r="I177" s="78" t="e">
        <f t="shared" ca="1" si="44"/>
        <v>#N/A</v>
      </c>
      <c r="K177" s="49">
        <f t="shared" si="38"/>
        <v>0</v>
      </c>
    </row>
    <row r="178" spans="1:11" ht="30" customHeight="1" x14ac:dyDescent="0.2">
      <c r="A178" s="76" t="str">
        <f t="shared" si="39"/>
        <v>-</v>
      </c>
      <c r="B178" s="76" t="e">
        <f t="shared" ca="1" si="40"/>
        <v>#N/A</v>
      </c>
      <c r="C178" s="77" t="str">
        <f t="shared" si="41"/>
        <v>SIMA UVEG!</v>
      </c>
      <c r="G178" s="77" t="e">
        <f t="shared" ca="1" si="42"/>
        <v>#N/A</v>
      </c>
      <c r="H178" s="78" t="e">
        <f t="shared" ca="1" si="43"/>
        <v>#N/A</v>
      </c>
      <c r="I178" s="78" t="e">
        <f t="shared" ca="1" si="44"/>
        <v>#N/A</v>
      </c>
      <c r="K178" s="49">
        <f t="shared" si="38"/>
        <v>0</v>
      </c>
    </row>
    <row r="179" spans="1:11" ht="30" customHeight="1" x14ac:dyDescent="0.2">
      <c r="A179" s="76" t="str">
        <f t="shared" si="39"/>
        <v>-</v>
      </c>
      <c r="B179" s="76" t="e">
        <f t="shared" ca="1" si="40"/>
        <v>#N/A</v>
      </c>
      <c r="C179" s="77" t="str">
        <f t="shared" si="41"/>
        <v>SIMA UVEG!</v>
      </c>
      <c r="G179" s="77" t="e">
        <f t="shared" ca="1" si="42"/>
        <v>#N/A</v>
      </c>
      <c r="H179" s="78" t="e">
        <f t="shared" ca="1" si="43"/>
        <v>#N/A</v>
      </c>
      <c r="I179" s="78" t="e">
        <f t="shared" ca="1" si="44"/>
        <v>#N/A</v>
      </c>
      <c r="K179" s="49">
        <f t="shared" si="38"/>
        <v>0</v>
      </c>
    </row>
    <row r="180" spans="1:11" ht="30" customHeight="1" x14ac:dyDescent="0.2">
      <c r="A180" s="76" t="str">
        <f t="shared" si="39"/>
        <v>-</v>
      </c>
      <c r="B180" s="76" t="e">
        <f t="shared" ca="1" si="40"/>
        <v>#N/A</v>
      </c>
      <c r="C180" s="77" t="str">
        <f t="shared" si="41"/>
        <v>SIMA UVEG!</v>
      </c>
      <c r="G180" s="77" t="e">
        <f t="shared" ca="1" si="42"/>
        <v>#N/A</v>
      </c>
      <c r="H180" s="78" t="e">
        <f t="shared" ca="1" si="43"/>
        <v>#N/A</v>
      </c>
      <c r="I180" s="78" t="e">
        <f t="shared" ca="1" si="44"/>
        <v>#N/A</v>
      </c>
      <c r="K180" s="49">
        <f t="shared" si="38"/>
        <v>0</v>
      </c>
    </row>
    <row r="181" spans="1:11" ht="30" customHeight="1" x14ac:dyDescent="0.2">
      <c r="A181" s="76" t="str">
        <f t="shared" si="39"/>
        <v>-</v>
      </c>
      <c r="B181" s="76" t="e">
        <f t="shared" ca="1" si="40"/>
        <v>#N/A</v>
      </c>
      <c r="C181" s="77" t="str">
        <f t="shared" si="41"/>
        <v>SIMA UVEG!</v>
      </c>
      <c r="G181" s="77" t="e">
        <f t="shared" ca="1" si="42"/>
        <v>#N/A</v>
      </c>
      <c r="H181" s="78" t="e">
        <f t="shared" ca="1" si="43"/>
        <v>#N/A</v>
      </c>
      <c r="I181" s="78" t="e">
        <f t="shared" ca="1" si="44"/>
        <v>#N/A</v>
      </c>
      <c r="K181" s="49">
        <f t="shared" si="38"/>
        <v>0</v>
      </c>
    </row>
    <row r="182" spans="1:11" ht="30" customHeight="1" x14ac:dyDescent="0.2">
      <c r="A182" s="76" t="str">
        <f t="shared" si="39"/>
        <v>-</v>
      </c>
      <c r="B182" s="76" t="e">
        <f t="shared" ca="1" si="40"/>
        <v>#N/A</v>
      </c>
      <c r="C182" s="77" t="str">
        <f t="shared" si="41"/>
        <v>SIMA UVEG!</v>
      </c>
      <c r="G182" s="77" t="e">
        <f t="shared" ca="1" si="42"/>
        <v>#N/A</v>
      </c>
      <c r="H182" s="78" t="e">
        <f t="shared" ca="1" si="43"/>
        <v>#N/A</v>
      </c>
      <c r="I182" s="78" t="e">
        <f t="shared" ca="1" si="44"/>
        <v>#N/A</v>
      </c>
      <c r="K182" s="49">
        <f t="shared" si="38"/>
        <v>0</v>
      </c>
    </row>
    <row r="183" spans="1:11" ht="30" customHeight="1" x14ac:dyDescent="0.2">
      <c r="A183" s="76" t="str">
        <f t="shared" si="39"/>
        <v>-</v>
      </c>
      <c r="B183" s="76" t="e">
        <f t="shared" ca="1" si="40"/>
        <v>#N/A</v>
      </c>
      <c r="C183" s="77" t="str">
        <f t="shared" si="41"/>
        <v>SIMA UVEG!</v>
      </c>
      <c r="G183" s="77" t="e">
        <f t="shared" ca="1" si="42"/>
        <v>#N/A</v>
      </c>
      <c r="H183" s="78" t="e">
        <f t="shared" ca="1" si="43"/>
        <v>#N/A</v>
      </c>
      <c r="I183" s="78" t="e">
        <f t="shared" ca="1" si="44"/>
        <v>#N/A</v>
      </c>
      <c r="K183" s="49">
        <f t="shared" si="38"/>
        <v>0</v>
      </c>
    </row>
    <row r="184" spans="1:11" ht="30" customHeight="1" x14ac:dyDescent="0.2">
      <c r="A184" s="76" t="str">
        <f t="shared" si="39"/>
        <v>-</v>
      </c>
      <c r="B184" s="76" t="e">
        <f t="shared" ca="1" si="40"/>
        <v>#N/A</v>
      </c>
      <c r="C184" s="77" t="str">
        <f t="shared" si="41"/>
        <v>SIMA UVEG!</v>
      </c>
      <c r="G184" s="77" t="e">
        <f t="shared" ca="1" si="42"/>
        <v>#N/A</v>
      </c>
      <c r="H184" s="78" t="e">
        <f t="shared" ca="1" si="43"/>
        <v>#N/A</v>
      </c>
      <c r="I184" s="78" t="e">
        <f t="shared" ca="1" si="44"/>
        <v>#N/A</v>
      </c>
      <c r="K184" s="49">
        <f t="shared" si="38"/>
        <v>0</v>
      </c>
    </row>
    <row r="185" spans="1:11" ht="30" customHeight="1" x14ac:dyDescent="0.2">
      <c r="A185" s="76" t="str">
        <f t="shared" si="39"/>
        <v>-</v>
      </c>
      <c r="B185" s="76" t="e">
        <f t="shared" ca="1" si="40"/>
        <v>#N/A</v>
      </c>
      <c r="C185" s="77" t="str">
        <f t="shared" si="41"/>
        <v>SIMA UVEG!</v>
      </c>
      <c r="G185" s="77" t="e">
        <f t="shared" ca="1" si="42"/>
        <v>#N/A</v>
      </c>
      <c r="H185" s="78" t="e">
        <f t="shared" ca="1" si="43"/>
        <v>#N/A</v>
      </c>
      <c r="I185" s="78" t="e">
        <f t="shared" ca="1" si="44"/>
        <v>#N/A</v>
      </c>
      <c r="K185" s="49">
        <f t="shared" si="38"/>
        <v>0</v>
      </c>
    </row>
    <row r="186" spans="1:11" ht="30" customHeight="1" x14ac:dyDescent="0.2">
      <c r="A186" s="76" t="str">
        <f t="shared" si="39"/>
        <v>-</v>
      </c>
      <c r="B186" s="76" t="e">
        <f t="shared" ca="1" si="40"/>
        <v>#N/A</v>
      </c>
      <c r="C186" s="77" t="str">
        <f t="shared" si="41"/>
        <v>SIMA UVEG!</v>
      </c>
      <c r="G186" s="77" t="e">
        <f t="shared" ca="1" si="42"/>
        <v>#N/A</v>
      </c>
      <c r="H186" s="78" t="e">
        <f t="shared" ca="1" si="43"/>
        <v>#N/A</v>
      </c>
      <c r="I186" s="78" t="e">
        <f t="shared" ca="1" si="44"/>
        <v>#N/A</v>
      </c>
      <c r="K186" s="49">
        <f t="shared" si="38"/>
        <v>0</v>
      </c>
    </row>
    <row r="187" spans="1:11" ht="30" customHeight="1" x14ac:dyDescent="0.2">
      <c r="A187" s="76" t="str">
        <f t="shared" si="39"/>
        <v>-</v>
      </c>
      <c r="B187" s="76" t="e">
        <f t="shared" ca="1" si="40"/>
        <v>#N/A</v>
      </c>
      <c r="C187" s="77" t="str">
        <f t="shared" si="41"/>
        <v>SIMA UVEG!</v>
      </c>
      <c r="G187" s="77" t="e">
        <f t="shared" ca="1" si="42"/>
        <v>#N/A</v>
      </c>
      <c r="H187" s="78" t="e">
        <f t="shared" ca="1" si="43"/>
        <v>#N/A</v>
      </c>
      <c r="I187" s="78" t="e">
        <f t="shared" ca="1" si="44"/>
        <v>#N/A</v>
      </c>
      <c r="K187" s="49">
        <f t="shared" si="38"/>
        <v>0</v>
      </c>
    </row>
    <row r="188" spans="1:11" ht="30" customHeight="1" x14ac:dyDescent="0.2">
      <c r="A188" s="76" t="str">
        <f t="shared" si="39"/>
        <v>-</v>
      </c>
      <c r="B188" s="76" t="e">
        <f t="shared" ca="1" si="40"/>
        <v>#N/A</v>
      </c>
      <c r="C188" s="77" t="str">
        <f t="shared" si="41"/>
        <v>SIMA UVEG!</v>
      </c>
      <c r="G188" s="77" t="e">
        <f t="shared" ca="1" si="42"/>
        <v>#N/A</v>
      </c>
      <c r="H188" s="78" t="e">
        <f t="shared" ca="1" si="43"/>
        <v>#N/A</v>
      </c>
      <c r="I188" s="78" t="e">
        <f t="shared" ca="1" si="44"/>
        <v>#N/A</v>
      </c>
      <c r="K188" s="49">
        <f t="shared" si="38"/>
        <v>0</v>
      </c>
    </row>
    <row r="189" spans="1:11" ht="30" customHeight="1" x14ac:dyDescent="0.2">
      <c r="A189" s="76" t="str">
        <f t="shared" si="39"/>
        <v>-</v>
      </c>
      <c r="B189" s="76" t="e">
        <f t="shared" ca="1" si="40"/>
        <v>#N/A</v>
      </c>
      <c r="C189" s="77" t="str">
        <f t="shared" si="41"/>
        <v>SIMA UVEG!</v>
      </c>
      <c r="G189" s="77" t="e">
        <f t="shared" ca="1" si="42"/>
        <v>#N/A</v>
      </c>
      <c r="H189" s="78" t="e">
        <f t="shared" ca="1" si="43"/>
        <v>#N/A</v>
      </c>
      <c r="I189" s="78" t="e">
        <f t="shared" ca="1" si="44"/>
        <v>#N/A</v>
      </c>
      <c r="K189" s="49">
        <f t="shared" si="38"/>
        <v>0</v>
      </c>
    </row>
    <row r="190" spans="1:11" ht="30" customHeight="1" x14ac:dyDescent="0.2">
      <c r="A190" s="76" t="str">
        <f t="shared" si="39"/>
        <v>-</v>
      </c>
      <c r="B190" s="76" t="e">
        <f t="shared" ca="1" si="40"/>
        <v>#N/A</v>
      </c>
      <c r="C190" s="77" t="str">
        <f t="shared" si="41"/>
        <v>SIMA UVEG!</v>
      </c>
      <c r="G190" s="77" t="e">
        <f t="shared" ca="1" si="42"/>
        <v>#N/A</v>
      </c>
      <c r="H190" s="78" t="e">
        <f t="shared" ca="1" si="43"/>
        <v>#N/A</v>
      </c>
      <c r="I190" s="78" t="e">
        <f t="shared" ca="1" si="44"/>
        <v>#N/A</v>
      </c>
      <c r="K190" s="49">
        <f t="shared" si="38"/>
        <v>0</v>
      </c>
    </row>
    <row r="191" spans="1:11" ht="30" customHeight="1" x14ac:dyDescent="0.2">
      <c r="A191" s="76" t="str">
        <f t="shared" si="39"/>
        <v>-</v>
      </c>
      <c r="B191" s="76" t="e">
        <f t="shared" ca="1" si="40"/>
        <v>#N/A</v>
      </c>
      <c r="C191" s="77" t="str">
        <f t="shared" si="41"/>
        <v>SIMA UVEG!</v>
      </c>
      <c r="G191" s="77" t="e">
        <f t="shared" ref="G191:G198" ca="1" si="45">VLOOKUP(C191,Termositas_data,2,0)</f>
        <v>#N/A</v>
      </c>
      <c r="H191" s="78" t="e">
        <f t="shared" ref="H191:H198" ca="1" si="46">ROUND(J191+G191+VLOOKUP(D191,EgyediTermekKod_data,3,0)+VLOOKUP(E191,EgyediTermekKod_data,3,0)+IF(C191="Triplex",VLOOKUP(F191,EgyediTermekKod_data,3,0),0),0)</f>
        <v>#N/A</v>
      </c>
      <c r="I191" s="78" t="e">
        <f t="shared" ref="I191:I198" ca="1" si="47">ROUNDUP(H191-H191*15/100,0)</f>
        <v>#N/A</v>
      </c>
      <c r="K191" s="49">
        <f t="shared" si="38"/>
        <v>0</v>
      </c>
    </row>
    <row r="192" spans="1:11" ht="30" customHeight="1" x14ac:dyDescent="0.2">
      <c r="A192" s="76" t="str">
        <f t="shared" si="39"/>
        <v>-</v>
      </c>
      <c r="B192" s="76" t="e">
        <f t="shared" ca="1" si="40"/>
        <v>#N/A</v>
      </c>
      <c r="C192" s="77" t="str">
        <f t="shared" si="41"/>
        <v>SIMA UVEG!</v>
      </c>
      <c r="G192" s="77" t="e">
        <f t="shared" ca="1" si="45"/>
        <v>#N/A</v>
      </c>
      <c r="H192" s="78" t="e">
        <f t="shared" ca="1" si="46"/>
        <v>#N/A</v>
      </c>
      <c r="I192" s="78" t="e">
        <f t="shared" ca="1" si="47"/>
        <v>#N/A</v>
      </c>
      <c r="K192" s="49">
        <f t="shared" si="38"/>
        <v>0</v>
      </c>
    </row>
    <row r="193" spans="1:11" ht="30" customHeight="1" x14ac:dyDescent="0.2">
      <c r="A193" s="76" t="str">
        <f t="shared" si="39"/>
        <v>-</v>
      </c>
      <c r="B193" s="76" t="e">
        <f t="shared" ca="1" si="40"/>
        <v>#N/A</v>
      </c>
      <c r="C193" s="77" t="str">
        <f t="shared" si="41"/>
        <v>SIMA UVEG!</v>
      </c>
      <c r="G193" s="77" t="e">
        <f t="shared" ca="1" si="45"/>
        <v>#N/A</v>
      </c>
      <c r="H193" s="78" t="e">
        <f t="shared" ca="1" si="46"/>
        <v>#N/A</v>
      </c>
      <c r="I193" s="78" t="e">
        <f t="shared" ca="1" si="47"/>
        <v>#N/A</v>
      </c>
      <c r="K193" s="49">
        <f t="shared" si="38"/>
        <v>0</v>
      </c>
    </row>
    <row r="194" spans="1:11" ht="30" customHeight="1" x14ac:dyDescent="0.2">
      <c r="A194" s="76" t="str">
        <f t="shared" si="39"/>
        <v>-</v>
      </c>
      <c r="B194" s="76" t="e">
        <f t="shared" ca="1" si="40"/>
        <v>#N/A</v>
      </c>
      <c r="C194" s="77" t="str">
        <f t="shared" si="41"/>
        <v>SIMA UVEG!</v>
      </c>
      <c r="G194" s="77" t="e">
        <f t="shared" ca="1" si="45"/>
        <v>#N/A</v>
      </c>
      <c r="H194" s="78" t="e">
        <f t="shared" ca="1" si="46"/>
        <v>#N/A</v>
      </c>
      <c r="I194" s="78" t="e">
        <f t="shared" ca="1" si="47"/>
        <v>#N/A</v>
      </c>
      <c r="K194" s="49">
        <f t="shared" si="38"/>
        <v>0</v>
      </c>
    </row>
    <row r="195" spans="1:11" ht="30" customHeight="1" x14ac:dyDescent="0.2">
      <c r="A195" s="76" t="str">
        <f t="shared" si="39"/>
        <v>-</v>
      </c>
      <c r="B195" s="76" t="e">
        <f t="shared" ca="1" si="40"/>
        <v>#N/A</v>
      </c>
      <c r="C195" s="77" t="str">
        <f t="shared" si="41"/>
        <v>SIMA UVEG!</v>
      </c>
      <c r="G195" s="77" t="e">
        <f t="shared" ca="1" si="45"/>
        <v>#N/A</v>
      </c>
      <c r="H195" s="78" t="e">
        <f t="shared" ca="1" si="46"/>
        <v>#N/A</v>
      </c>
      <c r="I195" s="78" t="e">
        <f t="shared" ca="1" si="47"/>
        <v>#N/A</v>
      </c>
      <c r="K195" s="49">
        <f t="shared" si="38"/>
        <v>0</v>
      </c>
    </row>
    <row r="196" spans="1:11" ht="30" customHeight="1" x14ac:dyDescent="0.2">
      <c r="A196" s="76" t="str">
        <f t="shared" si="39"/>
        <v>-</v>
      </c>
      <c r="B196" s="76" t="e">
        <f t="shared" ca="1" si="40"/>
        <v>#N/A</v>
      </c>
      <c r="C196" s="77" t="str">
        <f t="shared" si="41"/>
        <v>SIMA UVEG!</v>
      </c>
      <c r="G196" s="77" t="e">
        <f t="shared" ca="1" si="45"/>
        <v>#N/A</v>
      </c>
      <c r="H196" s="78" t="e">
        <f t="shared" ca="1" si="46"/>
        <v>#N/A</v>
      </c>
      <c r="I196" s="78" t="e">
        <f t="shared" ca="1" si="47"/>
        <v>#N/A</v>
      </c>
      <c r="K196" s="49">
        <f t="shared" si="38"/>
        <v>0</v>
      </c>
    </row>
    <row r="197" spans="1:11" ht="30" customHeight="1" x14ac:dyDescent="0.2">
      <c r="A197" s="76" t="str">
        <f t="shared" si="39"/>
        <v>-</v>
      </c>
      <c r="B197" s="76" t="e">
        <f t="shared" ca="1" si="40"/>
        <v>#N/A</v>
      </c>
      <c r="C197" s="77" t="str">
        <f t="shared" si="41"/>
        <v>SIMA UVEG!</v>
      </c>
      <c r="G197" s="77" t="e">
        <f t="shared" ca="1" si="45"/>
        <v>#N/A</v>
      </c>
      <c r="H197" s="78" t="e">
        <f t="shared" ca="1" si="46"/>
        <v>#N/A</v>
      </c>
      <c r="I197" s="78" t="e">
        <f t="shared" ca="1" si="47"/>
        <v>#N/A</v>
      </c>
      <c r="K197" s="49">
        <f t="shared" si="38"/>
        <v>0</v>
      </c>
    </row>
    <row r="198" spans="1:11" ht="30" customHeight="1" x14ac:dyDescent="0.2">
      <c r="A198" s="76" t="str">
        <f t="shared" si="39"/>
        <v>-</v>
      </c>
      <c r="B198" s="76" t="e">
        <f t="shared" ca="1" si="40"/>
        <v>#N/A</v>
      </c>
      <c r="C198" s="77" t="str">
        <f t="shared" si="41"/>
        <v>SIMA UVEG!</v>
      </c>
      <c r="G198" s="77" t="e">
        <f t="shared" ca="1" si="45"/>
        <v>#N/A</v>
      </c>
      <c r="H198" s="78" t="e">
        <f t="shared" ca="1" si="46"/>
        <v>#N/A</v>
      </c>
      <c r="I198" s="78" t="e">
        <f t="shared" ca="1" si="47"/>
        <v>#N/A</v>
      </c>
      <c r="K198" s="49">
        <f t="shared" si="38"/>
        <v>0</v>
      </c>
    </row>
    <row r="199" spans="1:11" ht="18" customHeight="1" x14ac:dyDescent="0.2">
      <c r="D199" s="66" t="s">
        <v>72</v>
      </c>
    </row>
  </sheetData>
  <autoFilter ref="A1:K199" xr:uid="{2A95BD43-55FD-4D21-BDD4-C7E1A17635D9}"/>
  <dataValidations count="1">
    <dataValidation type="list" allowBlank="1" showInputMessage="1" showErrorMessage="1" sqref="D2:F65536" xr:uid="{B794742B-7A3C-48D7-AEA5-F84ACFB9CE90}">
      <formula1>EgyediTermekKod_list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B8A24-41AC-43A0-89C0-82CD356C77D3}">
  <sheetPr codeName="Sheet2"/>
  <dimension ref="A1:F48"/>
  <sheetViews>
    <sheetView topLeftCell="A19" zoomScaleNormal="100" workbookViewId="0">
      <selection activeCell="D33" sqref="D33"/>
    </sheetView>
  </sheetViews>
  <sheetFormatPr defaultRowHeight="18" customHeight="1" x14ac:dyDescent="0.2"/>
  <cols>
    <col min="1" max="1" width="14.28515625" style="73" customWidth="1"/>
    <col min="2" max="2" width="18.7109375" style="73" customWidth="1"/>
    <col min="3" max="3" width="12.140625" style="153" customWidth="1"/>
    <col min="4" max="5" width="12.85546875" style="91" customWidth="1"/>
    <col min="6" max="6" width="16.85546875" style="90" customWidth="1"/>
    <col min="7" max="16384" width="9.140625" style="2"/>
  </cols>
  <sheetData>
    <row r="1" spans="1:6" s="23" customFormat="1" ht="32.25" customHeight="1" x14ac:dyDescent="0.2">
      <c r="A1" s="80" t="s">
        <v>16</v>
      </c>
      <c r="B1" s="80" t="s">
        <v>17</v>
      </c>
      <c r="C1" s="152" t="s">
        <v>15</v>
      </c>
      <c r="D1" s="84" t="s">
        <v>13</v>
      </c>
      <c r="E1" s="84" t="s">
        <v>24</v>
      </c>
      <c r="F1" s="85" t="s">
        <v>214</v>
      </c>
    </row>
    <row r="2" spans="1:6" ht="18" customHeight="1" x14ac:dyDescent="0.2">
      <c r="A2" s="81" t="s">
        <v>86</v>
      </c>
      <c r="B2" s="81" t="s">
        <v>87</v>
      </c>
      <c r="C2" s="169">
        <v>100</v>
      </c>
      <c r="D2" s="165">
        <f t="shared" ref="D2:D40" si="0">ROUNDUP(C2-C2*15/100,0)</f>
        <v>85</v>
      </c>
      <c r="E2" s="86" t="s">
        <v>25</v>
      </c>
      <c r="F2" s="87">
        <v>44846</v>
      </c>
    </row>
    <row r="3" spans="1:6" ht="18" customHeight="1" x14ac:dyDescent="0.2">
      <c r="A3" s="81" t="s">
        <v>82</v>
      </c>
      <c r="B3" s="81" t="s">
        <v>83</v>
      </c>
      <c r="C3" s="169">
        <v>107</v>
      </c>
      <c r="D3" s="165">
        <f t="shared" si="0"/>
        <v>91</v>
      </c>
      <c r="E3" s="86" t="s">
        <v>25</v>
      </c>
      <c r="F3" s="87">
        <v>44846</v>
      </c>
    </row>
    <row r="4" spans="1:6" ht="18" customHeight="1" x14ac:dyDescent="0.2">
      <c r="A4" s="82" t="s">
        <v>102</v>
      </c>
      <c r="B4" s="82" t="s">
        <v>41</v>
      </c>
      <c r="C4" s="169">
        <v>100</v>
      </c>
      <c r="D4" s="165">
        <f t="shared" si="0"/>
        <v>85</v>
      </c>
      <c r="E4" s="86" t="s">
        <v>25</v>
      </c>
      <c r="F4" s="87">
        <v>44846</v>
      </c>
    </row>
    <row r="5" spans="1:6" ht="18" customHeight="1" x14ac:dyDescent="0.2">
      <c r="A5" s="82" t="s">
        <v>49</v>
      </c>
      <c r="B5" s="82" t="s">
        <v>49</v>
      </c>
      <c r="C5" s="169">
        <v>206</v>
      </c>
      <c r="D5" s="165">
        <f t="shared" si="0"/>
        <v>176</v>
      </c>
      <c r="E5" s="86" t="s">
        <v>25</v>
      </c>
      <c r="F5" s="87">
        <v>44846</v>
      </c>
    </row>
    <row r="6" spans="1:6" ht="18" customHeight="1" x14ac:dyDescent="0.2">
      <c r="A6" s="82" t="s">
        <v>109</v>
      </c>
      <c r="B6" s="82" t="s">
        <v>48</v>
      </c>
      <c r="C6" s="169">
        <v>206</v>
      </c>
      <c r="D6" s="165">
        <f t="shared" si="0"/>
        <v>176</v>
      </c>
      <c r="E6" s="86" t="s">
        <v>25</v>
      </c>
      <c r="F6" s="87">
        <v>44846</v>
      </c>
    </row>
    <row r="7" spans="1:6" ht="18" customHeight="1" x14ac:dyDescent="0.2">
      <c r="A7" s="82" t="s">
        <v>108</v>
      </c>
      <c r="B7" s="82" t="s">
        <v>46</v>
      </c>
      <c r="C7" s="169">
        <v>206</v>
      </c>
      <c r="D7" s="165">
        <f t="shared" si="0"/>
        <v>176</v>
      </c>
      <c r="E7" s="86" t="s">
        <v>25</v>
      </c>
      <c r="F7" s="87">
        <v>44846</v>
      </c>
    </row>
    <row r="8" spans="1:6" ht="18" customHeight="1" x14ac:dyDescent="0.2">
      <c r="A8" s="81" t="s">
        <v>115</v>
      </c>
      <c r="B8" s="81" t="s">
        <v>55</v>
      </c>
      <c r="C8" s="169">
        <v>244</v>
      </c>
      <c r="D8" s="165">
        <f t="shared" si="0"/>
        <v>208</v>
      </c>
      <c r="E8" s="86" t="s">
        <v>25</v>
      </c>
      <c r="F8" s="87">
        <v>44846</v>
      </c>
    </row>
    <row r="9" spans="1:6" ht="18" customHeight="1" x14ac:dyDescent="0.2">
      <c r="A9" s="81" t="s">
        <v>113</v>
      </c>
      <c r="B9" s="81" t="s">
        <v>53</v>
      </c>
      <c r="C9" s="169">
        <v>244</v>
      </c>
      <c r="D9" s="165">
        <f t="shared" si="0"/>
        <v>208</v>
      </c>
      <c r="E9" s="86" t="s">
        <v>25</v>
      </c>
      <c r="F9" s="87">
        <v>44846</v>
      </c>
    </row>
    <row r="10" spans="1:6" ht="18" customHeight="1" x14ac:dyDescent="0.2">
      <c r="A10" s="81" t="s">
        <v>114</v>
      </c>
      <c r="B10" s="81" t="s">
        <v>54</v>
      </c>
      <c r="C10" s="169">
        <v>244</v>
      </c>
      <c r="D10" s="165">
        <f t="shared" si="0"/>
        <v>208</v>
      </c>
      <c r="E10" s="86" t="s">
        <v>25</v>
      </c>
      <c r="F10" s="87">
        <v>44846</v>
      </c>
    </row>
    <row r="11" spans="1:6" ht="18" customHeight="1" x14ac:dyDescent="0.2">
      <c r="A11" s="82" t="s">
        <v>112</v>
      </c>
      <c r="B11" s="82" t="s">
        <v>52</v>
      </c>
      <c r="C11" s="169">
        <v>244</v>
      </c>
      <c r="D11" s="165">
        <f t="shared" si="0"/>
        <v>208</v>
      </c>
      <c r="E11" s="86" t="s">
        <v>25</v>
      </c>
      <c r="F11" s="87">
        <v>44846</v>
      </c>
    </row>
    <row r="12" spans="1:6" ht="18" customHeight="1" x14ac:dyDescent="0.2">
      <c r="A12" s="82" t="s">
        <v>105</v>
      </c>
      <c r="B12" s="82" t="s">
        <v>44</v>
      </c>
      <c r="C12" s="169">
        <v>120</v>
      </c>
      <c r="D12" s="165">
        <f t="shared" si="0"/>
        <v>102</v>
      </c>
      <c r="E12" s="86" t="s">
        <v>25</v>
      </c>
      <c r="F12" s="87">
        <v>44846</v>
      </c>
    </row>
    <row r="13" spans="1:6" ht="18" customHeight="1" x14ac:dyDescent="0.2">
      <c r="A13" s="81" t="s">
        <v>74</v>
      </c>
      <c r="B13" s="81" t="s">
        <v>415</v>
      </c>
      <c r="C13" s="169">
        <v>224</v>
      </c>
      <c r="D13" s="165">
        <f t="shared" si="0"/>
        <v>191</v>
      </c>
      <c r="E13" s="86" t="s">
        <v>25</v>
      </c>
      <c r="F13" s="87">
        <v>44846</v>
      </c>
    </row>
    <row r="14" spans="1:6" ht="18" customHeight="1" x14ac:dyDescent="0.2">
      <c r="A14" s="81" t="s">
        <v>339</v>
      </c>
      <c r="B14" s="81" t="s">
        <v>416</v>
      </c>
      <c r="C14" s="169">
        <v>526</v>
      </c>
      <c r="D14" s="165">
        <f>ROUNDUP(C14-C14*15/100,0)</f>
        <v>448</v>
      </c>
      <c r="E14" s="86" t="s">
        <v>25</v>
      </c>
      <c r="F14" s="87">
        <v>44846</v>
      </c>
    </row>
    <row r="15" spans="1:6" ht="18" customHeight="1" x14ac:dyDescent="0.2">
      <c r="A15" s="82" t="s">
        <v>31</v>
      </c>
      <c r="B15" s="82" t="s">
        <v>35</v>
      </c>
      <c r="C15" s="169">
        <v>232</v>
      </c>
      <c r="D15" s="165">
        <f t="shared" si="0"/>
        <v>198</v>
      </c>
      <c r="E15" s="86" t="s">
        <v>25</v>
      </c>
      <c r="F15" s="87">
        <v>44846</v>
      </c>
    </row>
    <row r="16" spans="1:6" ht="18" customHeight="1" x14ac:dyDescent="0.2">
      <c r="A16" s="82" t="s">
        <v>22</v>
      </c>
      <c r="B16" s="82" t="s">
        <v>23</v>
      </c>
      <c r="C16" s="169">
        <v>82</v>
      </c>
      <c r="D16" s="165">
        <f t="shared" si="0"/>
        <v>70</v>
      </c>
      <c r="E16" s="86" t="s">
        <v>25</v>
      </c>
      <c r="F16" s="87">
        <v>44846</v>
      </c>
    </row>
    <row r="17" spans="1:6" ht="18" customHeight="1" x14ac:dyDescent="0.2">
      <c r="A17" s="82" t="s">
        <v>27</v>
      </c>
      <c r="B17" s="82" t="s">
        <v>26</v>
      </c>
      <c r="C17" s="169">
        <v>76</v>
      </c>
      <c r="D17" s="165">
        <f t="shared" si="0"/>
        <v>65</v>
      </c>
      <c r="E17" s="86" t="s">
        <v>25</v>
      </c>
      <c r="F17" s="87">
        <v>44846</v>
      </c>
    </row>
    <row r="18" spans="1:6" ht="18" customHeight="1" x14ac:dyDescent="0.2">
      <c r="A18" s="82" t="s">
        <v>28</v>
      </c>
      <c r="B18" s="82" t="s">
        <v>32</v>
      </c>
      <c r="C18" s="169">
        <v>85</v>
      </c>
      <c r="D18" s="165">
        <f t="shared" si="0"/>
        <v>73</v>
      </c>
      <c r="E18" s="86" t="s">
        <v>25</v>
      </c>
      <c r="F18" s="87">
        <v>44846</v>
      </c>
    </row>
    <row r="19" spans="1:6" ht="18" customHeight="1" x14ac:dyDescent="0.2">
      <c r="A19" s="82" t="s">
        <v>219</v>
      </c>
      <c r="B19" s="82" t="s">
        <v>32</v>
      </c>
      <c r="C19" s="170">
        <v>79</v>
      </c>
      <c r="D19" s="166">
        <f t="shared" si="0"/>
        <v>68</v>
      </c>
      <c r="E19" s="88" t="s">
        <v>215</v>
      </c>
      <c r="F19" s="87">
        <v>44846</v>
      </c>
    </row>
    <row r="20" spans="1:6" ht="18" customHeight="1" x14ac:dyDescent="0.2">
      <c r="A20" s="82" t="s">
        <v>29</v>
      </c>
      <c r="B20" s="82" t="s">
        <v>33</v>
      </c>
      <c r="C20" s="169">
        <v>122</v>
      </c>
      <c r="D20" s="165">
        <f t="shared" si="0"/>
        <v>104</v>
      </c>
      <c r="E20" s="86" t="s">
        <v>25</v>
      </c>
      <c r="F20" s="87">
        <v>44846</v>
      </c>
    </row>
    <row r="21" spans="1:6" ht="18" customHeight="1" x14ac:dyDescent="0.2">
      <c r="A21" s="82" t="s">
        <v>30</v>
      </c>
      <c r="B21" s="82" t="s">
        <v>34</v>
      </c>
      <c r="C21" s="169">
        <v>139</v>
      </c>
      <c r="D21" s="165">
        <f t="shared" si="0"/>
        <v>119</v>
      </c>
      <c r="E21" s="86" t="s">
        <v>25</v>
      </c>
      <c r="F21" s="87">
        <v>44846</v>
      </c>
    </row>
    <row r="22" spans="1:6" ht="18" customHeight="1" x14ac:dyDescent="0.2">
      <c r="A22" s="82" t="s">
        <v>106</v>
      </c>
      <c r="B22" s="82" t="s">
        <v>45</v>
      </c>
      <c r="C22" s="169">
        <v>149</v>
      </c>
      <c r="D22" s="165">
        <f t="shared" si="0"/>
        <v>127</v>
      </c>
      <c r="E22" s="86" t="s">
        <v>25</v>
      </c>
      <c r="F22" s="87">
        <v>44846</v>
      </c>
    </row>
    <row r="23" spans="1:6" ht="18" customHeight="1" x14ac:dyDescent="0.2">
      <c r="A23" s="82" t="s">
        <v>104</v>
      </c>
      <c r="B23" s="82" t="s">
        <v>43</v>
      </c>
      <c r="C23" s="169">
        <v>100</v>
      </c>
      <c r="D23" s="165">
        <f t="shared" si="0"/>
        <v>85</v>
      </c>
      <c r="E23" s="86" t="s">
        <v>25</v>
      </c>
      <c r="F23" s="87">
        <v>44846</v>
      </c>
    </row>
    <row r="24" spans="1:6" ht="18" customHeight="1" x14ac:dyDescent="0.2">
      <c r="A24" s="82" t="s">
        <v>103</v>
      </c>
      <c r="B24" s="82" t="s">
        <v>42</v>
      </c>
      <c r="C24" s="169">
        <v>100</v>
      </c>
      <c r="D24" s="165">
        <f t="shared" si="0"/>
        <v>85</v>
      </c>
      <c r="E24" s="86" t="s">
        <v>25</v>
      </c>
      <c r="F24" s="87">
        <v>44846</v>
      </c>
    </row>
    <row r="25" spans="1:6" ht="18" customHeight="1" x14ac:dyDescent="0.2">
      <c r="A25" s="81" t="s">
        <v>155</v>
      </c>
      <c r="B25" s="81" t="s">
        <v>155</v>
      </c>
      <c r="C25" s="169">
        <v>198</v>
      </c>
      <c r="D25" s="165">
        <f t="shared" si="0"/>
        <v>169</v>
      </c>
      <c r="E25" s="86" t="s">
        <v>25</v>
      </c>
      <c r="F25" s="87">
        <v>44846</v>
      </c>
    </row>
    <row r="26" spans="1:6" ht="18" customHeight="1" x14ac:dyDescent="0.2">
      <c r="A26" s="82" t="s">
        <v>107</v>
      </c>
      <c r="B26" s="82" t="s">
        <v>47</v>
      </c>
      <c r="C26" s="169">
        <v>149</v>
      </c>
      <c r="D26" s="165">
        <f t="shared" si="0"/>
        <v>127</v>
      </c>
      <c r="E26" s="86" t="s">
        <v>25</v>
      </c>
      <c r="F26" s="87">
        <v>44846</v>
      </c>
    </row>
    <row r="27" spans="1:6" ht="18" customHeight="1" x14ac:dyDescent="0.2">
      <c r="A27" s="82" t="s">
        <v>111</v>
      </c>
      <c r="B27" s="82" t="s">
        <v>51</v>
      </c>
      <c r="C27" s="169">
        <v>198</v>
      </c>
      <c r="D27" s="165">
        <f t="shared" si="0"/>
        <v>169</v>
      </c>
      <c r="E27" s="86" t="s">
        <v>25</v>
      </c>
      <c r="F27" s="87">
        <v>44846</v>
      </c>
    </row>
    <row r="28" spans="1:6" ht="18" customHeight="1" x14ac:dyDescent="0.2">
      <c r="A28" s="82" t="s">
        <v>110</v>
      </c>
      <c r="B28" s="82" t="s">
        <v>50</v>
      </c>
      <c r="C28" s="169">
        <v>198</v>
      </c>
      <c r="D28" s="165">
        <f t="shared" si="0"/>
        <v>169</v>
      </c>
      <c r="E28" s="86" t="s">
        <v>25</v>
      </c>
      <c r="F28" s="87">
        <v>44846</v>
      </c>
    </row>
    <row r="29" spans="1:6" ht="18" customHeight="1" x14ac:dyDescent="0.2">
      <c r="A29" s="81" t="s">
        <v>58</v>
      </c>
      <c r="B29" s="81" t="s">
        <v>59</v>
      </c>
      <c r="C29" s="169">
        <v>155</v>
      </c>
      <c r="D29" s="165">
        <f t="shared" si="0"/>
        <v>132</v>
      </c>
      <c r="E29" s="86" t="s">
        <v>25</v>
      </c>
      <c r="F29" s="87">
        <v>44846</v>
      </c>
    </row>
    <row r="30" spans="1:6" ht="18" customHeight="1" x14ac:dyDescent="0.2">
      <c r="A30" s="81" t="s">
        <v>60</v>
      </c>
      <c r="B30" s="81" t="s">
        <v>61</v>
      </c>
      <c r="C30" s="169">
        <v>258</v>
      </c>
      <c r="D30" s="165">
        <f t="shared" si="0"/>
        <v>220</v>
      </c>
      <c r="E30" s="86" t="s">
        <v>25</v>
      </c>
      <c r="F30" s="87">
        <v>44846</v>
      </c>
    </row>
    <row r="31" spans="1:6" ht="18" customHeight="1" x14ac:dyDescent="0.2">
      <c r="A31" s="81" t="s">
        <v>116</v>
      </c>
      <c r="B31" s="81" t="s">
        <v>56</v>
      </c>
      <c r="C31" s="169">
        <v>155</v>
      </c>
      <c r="D31" s="165">
        <f t="shared" si="0"/>
        <v>132</v>
      </c>
      <c r="E31" s="86" t="s">
        <v>25</v>
      </c>
      <c r="F31" s="87">
        <v>44846</v>
      </c>
    </row>
    <row r="32" spans="1:6" ht="18" customHeight="1" x14ac:dyDescent="0.2">
      <c r="A32" s="81" t="s">
        <v>193</v>
      </c>
      <c r="B32" s="81" t="s">
        <v>194</v>
      </c>
      <c r="C32" s="169">
        <v>199</v>
      </c>
      <c r="D32" s="165">
        <f t="shared" si="0"/>
        <v>170</v>
      </c>
      <c r="E32" s="86" t="s">
        <v>25</v>
      </c>
      <c r="F32" s="87">
        <v>44846</v>
      </c>
    </row>
    <row r="33" spans="1:6" ht="18" customHeight="1" x14ac:dyDescent="0.2">
      <c r="A33" s="81" t="s">
        <v>72</v>
      </c>
      <c r="B33" s="81" t="s">
        <v>73</v>
      </c>
      <c r="C33" s="169">
        <v>103</v>
      </c>
      <c r="D33" s="165">
        <f t="shared" si="0"/>
        <v>88</v>
      </c>
      <c r="E33" s="86" t="s">
        <v>25</v>
      </c>
      <c r="F33" s="87">
        <v>44846</v>
      </c>
    </row>
    <row r="34" spans="1:6" ht="18" customHeight="1" x14ac:dyDescent="0.2">
      <c r="A34" s="81" t="s">
        <v>220</v>
      </c>
      <c r="B34" s="81" t="s">
        <v>73</v>
      </c>
      <c r="C34" s="171">
        <v>94</v>
      </c>
      <c r="D34" s="166">
        <f t="shared" si="0"/>
        <v>80</v>
      </c>
      <c r="E34" s="88" t="s">
        <v>215</v>
      </c>
      <c r="F34" s="87">
        <v>44846</v>
      </c>
    </row>
    <row r="35" spans="1:6" ht="18" customHeight="1" x14ac:dyDescent="0.2">
      <c r="A35" s="81" t="s">
        <v>78</v>
      </c>
      <c r="B35" s="81" t="s">
        <v>79</v>
      </c>
      <c r="C35" s="169">
        <v>234</v>
      </c>
      <c r="D35" s="165">
        <f t="shared" si="0"/>
        <v>199</v>
      </c>
      <c r="E35" s="86" t="s">
        <v>25</v>
      </c>
      <c r="F35" s="87">
        <v>44846</v>
      </c>
    </row>
    <row r="36" spans="1:6" ht="18" customHeight="1" x14ac:dyDescent="0.2">
      <c r="A36" s="81" t="s">
        <v>80</v>
      </c>
      <c r="B36" s="81" t="s">
        <v>81</v>
      </c>
      <c r="C36" s="169">
        <v>340</v>
      </c>
      <c r="D36" s="165">
        <f t="shared" si="0"/>
        <v>289</v>
      </c>
      <c r="E36" s="86" t="s">
        <v>25</v>
      </c>
      <c r="F36" s="87">
        <v>44846</v>
      </c>
    </row>
    <row r="37" spans="1:6" ht="18" customHeight="1" x14ac:dyDescent="0.2">
      <c r="A37" s="81" t="s">
        <v>76</v>
      </c>
      <c r="B37" s="81" t="s">
        <v>77</v>
      </c>
      <c r="C37" s="169">
        <v>310</v>
      </c>
      <c r="D37" s="165">
        <f t="shared" si="0"/>
        <v>264</v>
      </c>
      <c r="E37" s="86" t="s">
        <v>25</v>
      </c>
      <c r="F37" s="87">
        <v>44846</v>
      </c>
    </row>
    <row r="38" spans="1:6" ht="18" customHeight="1" x14ac:dyDescent="0.2">
      <c r="A38" s="81" t="s">
        <v>57</v>
      </c>
      <c r="B38" s="81" t="s">
        <v>57</v>
      </c>
      <c r="C38" s="169">
        <v>181</v>
      </c>
      <c r="D38" s="165">
        <f t="shared" si="0"/>
        <v>154</v>
      </c>
      <c r="E38" s="86" t="s">
        <v>25</v>
      </c>
      <c r="F38" s="87">
        <v>44846</v>
      </c>
    </row>
    <row r="39" spans="1:6" ht="18" customHeight="1" x14ac:dyDescent="0.2">
      <c r="A39" s="83" t="s">
        <v>71</v>
      </c>
      <c r="B39" s="83" t="s">
        <v>216</v>
      </c>
      <c r="C39" s="172">
        <v>233</v>
      </c>
      <c r="D39" s="167">
        <f t="shared" si="0"/>
        <v>199</v>
      </c>
      <c r="E39" s="89" t="s">
        <v>25</v>
      </c>
      <c r="F39" s="87">
        <v>44846</v>
      </c>
    </row>
    <row r="40" spans="1:6" ht="18" customHeight="1" x14ac:dyDescent="0.2">
      <c r="A40" s="83" t="s">
        <v>70</v>
      </c>
      <c r="B40" s="83" t="s">
        <v>69</v>
      </c>
      <c r="C40" s="172">
        <v>2280</v>
      </c>
      <c r="D40" s="167">
        <f t="shared" si="0"/>
        <v>1938</v>
      </c>
      <c r="E40" s="89" t="s">
        <v>25</v>
      </c>
      <c r="F40" s="87">
        <v>44846</v>
      </c>
    </row>
    <row r="41" spans="1:6" ht="18" customHeight="1" x14ac:dyDescent="0.2">
      <c r="A41" s="83" t="s">
        <v>369</v>
      </c>
      <c r="B41" s="83" t="s">
        <v>370</v>
      </c>
      <c r="C41" s="173">
        <v>510</v>
      </c>
      <c r="D41" s="168">
        <f>ROUNDUP(C41-C41*15/100,0)</f>
        <v>434</v>
      </c>
      <c r="E41" s="150" t="s">
        <v>371</v>
      </c>
      <c r="F41" s="87">
        <v>44846</v>
      </c>
    </row>
    <row r="42" spans="1:6" ht="18" customHeight="1" x14ac:dyDescent="0.2">
      <c r="A42" s="83" t="s">
        <v>398</v>
      </c>
      <c r="B42" s="83" t="s">
        <v>399</v>
      </c>
      <c r="C42" s="173">
        <v>309</v>
      </c>
      <c r="D42" s="168">
        <f>ROUNDUP(C42-C42*15/100,0)</f>
        <v>263</v>
      </c>
      <c r="E42" s="150" t="s">
        <v>25</v>
      </c>
      <c r="F42" s="87">
        <v>44846</v>
      </c>
    </row>
    <row r="43" spans="1:6" ht="18" customHeight="1" x14ac:dyDescent="0.2">
      <c r="A43" s="83" t="s">
        <v>406</v>
      </c>
      <c r="B43" s="83" t="s">
        <v>407</v>
      </c>
      <c r="C43" s="173">
        <v>255</v>
      </c>
      <c r="D43" s="168">
        <f>ROUNDUP(C43-C43*15/100,0)</f>
        <v>217</v>
      </c>
      <c r="E43" s="150" t="s">
        <v>25</v>
      </c>
      <c r="F43" s="87">
        <v>45089</v>
      </c>
    </row>
    <row r="44" spans="1:6" ht="18" customHeight="1" x14ac:dyDescent="0.2">
      <c r="A44" s="83" t="s">
        <v>431</v>
      </c>
      <c r="B44" s="83" t="s">
        <v>432</v>
      </c>
      <c r="C44" s="173">
        <v>424</v>
      </c>
      <c r="D44" s="180">
        <f>ROUNDUP(C44-C44*15/100,0)</f>
        <v>361</v>
      </c>
      <c r="E44" s="150" t="s">
        <v>25</v>
      </c>
      <c r="F44" s="181">
        <v>45203</v>
      </c>
    </row>
    <row r="45" spans="1:6" ht="18" customHeight="1" x14ac:dyDescent="0.2">
      <c r="A45" s="83"/>
      <c r="B45" s="83"/>
      <c r="C45" s="173"/>
      <c r="D45" s="168"/>
      <c r="E45" s="150"/>
      <c r="F45" s="87"/>
    </row>
    <row r="46" spans="1:6" ht="18" customHeight="1" x14ac:dyDescent="0.2">
      <c r="A46" s="83"/>
      <c r="B46" s="83"/>
      <c r="C46" s="173"/>
      <c r="D46" s="168"/>
      <c r="E46" s="150"/>
      <c r="F46" s="87"/>
    </row>
    <row r="47" spans="1:6" ht="18" customHeight="1" x14ac:dyDescent="0.2">
      <c r="A47" s="83"/>
      <c r="B47" s="83"/>
      <c r="C47" s="173"/>
      <c r="D47" s="168"/>
      <c r="E47" s="150"/>
      <c r="F47" s="87"/>
    </row>
    <row r="48" spans="1:6" ht="18" customHeight="1" x14ac:dyDescent="0.2">
      <c r="A48" s="83"/>
      <c r="B48" s="83"/>
      <c r="C48" s="173"/>
      <c r="D48" s="168"/>
      <c r="E48" s="150"/>
      <c r="F48" s="8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FC93-17EA-4E8A-8241-F9952D32ED23}">
  <sheetPr codeName="Munka3"/>
  <dimension ref="A1:B3"/>
  <sheetViews>
    <sheetView workbookViewId="0">
      <selection activeCell="B4" sqref="B4"/>
    </sheetView>
  </sheetViews>
  <sheetFormatPr defaultRowHeight="15" x14ac:dyDescent="0.25"/>
  <cols>
    <col min="1" max="1" width="10.5703125" bestFit="1" customWidth="1"/>
    <col min="2" max="2" width="4" bestFit="1" customWidth="1"/>
  </cols>
  <sheetData>
    <row r="1" spans="1:2" x14ac:dyDescent="0.25">
      <c r="A1" t="s">
        <v>212</v>
      </c>
      <c r="B1" s="30" t="s">
        <v>213</v>
      </c>
    </row>
    <row r="2" spans="1:2" x14ac:dyDescent="0.25">
      <c r="A2" t="s">
        <v>211</v>
      </c>
      <c r="B2">
        <v>53</v>
      </c>
    </row>
    <row r="3" spans="1:2" x14ac:dyDescent="0.25">
      <c r="A3" t="s">
        <v>207</v>
      </c>
      <c r="B3">
        <v>106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02BC3-06CB-4113-96F9-5733941FB6C0}">
  <sheetPr codeName="Sheet3"/>
  <dimension ref="A1:E31"/>
  <sheetViews>
    <sheetView workbookViewId="0">
      <selection activeCell="E3" sqref="E3"/>
    </sheetView>
  </sheetViews>
  <sheetFormatPr defaultRowHeight="15" x14ac:dyDescent="0.25"/>
  <cols>
    <col min="1" max="1" width="9.7109375" bestFit="1" customWidth="1"/>
  </cols>
  <sheetData>
    <row r="1" spans="1:5" x14ac:dyDescent="0.25">
      <c r="A1" t="s">
        <v>40</v>
      </c>
      <c r="C1" t="s">
        <v>434</v>
      </c>
      <c r="E1">
        <v>0</v>
      </c>
    </row>
    <row r="2" spans="1:5" x14ac:dyDescent="0.25">
      <c r="A2">
        <v>14</v>
      </c>
      <c r="C2" t="s">
        <v>435</v>
      </c>
      <c r="E2">
        <v>2</v>
      </c>
    </row>
    <row r="3" spans="1:5" x14ac:dyDescent="0.25">
      <c r="A3">
        <v>15</v>
      </c>
      <c r="C3" t="s">
        <v>436</v>
      </c>
    </row>
    <row r="4" spans="1:5" x14ac:dyDescent="0.25">
      <c r="A4">
        <v>16</v>
      </c>
    </row>
    <row r="5" spans="1:5" x14ac:dyDescent="0.25">
      <c r="A5">
        <v>18</v>
      </c>
    </row>
    <row r="6" spans="1:5" x14ac:dyDescent="0.25">
      <c r="A6">
        <v>20</v>
      </c>
    </row>
    <row r="7" spans="1:5" x14ac:dyDescent="0.25">
      <c r="A7">
        <v>21</v>
      </c>
    </row>
    <row r="8" spans="1:5" x14ac:dyDescent="0.25">
      <c r="A8">
        <v>22</v>
      </c>
    </row>
    <row r="9" spans="1:5" x14ac:dyDescent="0.25">
      <c r="A9">
        <v>23</v>
      </c>
    </row>
    <row r="10" spans="1:5" x14ac:dyDescent="0.25">
      <c r="A10">
        <v>24</v>
      </c>
    </row>
    <row r="11" spans="1:5" x14ac:dyDescent="0.25">
      <c r="A11" s="30" t="s">
        <v>84</v>
      </c>
    </row>
    <row r="12" spans="1:5" x14ac:dyDescent="0.25">
      <c r="A12" s="30">
        <v>26</v>
      </c>
    </row>
    <row r="13" spans="1:5" x14ac:dyDescent="0.25">
      <c r="A13">
        <v>28</v>
      </c>
    </row>
    <row r="14" spans="1:5" x14ac:dyDescent="0.25">
      <c r="A14">
        <v>29</v>
      </c>
    </row>
    <row r="15" spans="1:5" x14ac:dyDescent="0.25">
      <c r="A15">
        <v>30</v>
      </c>
    </row>
    <row r="16" spans="1:5" x14ac:dyDescent="0.25">
      <c r="A16">
        <v>31</v>
      </c>
    </row>
    <row r="17" spans="1:1" x14ac:dyDescent="0.25">
      <c r="A17">
        <v>32</v>
      </c>
    </row>
    <row r="18" spans="1:1" x14ac:dyDescent="0.25">
      <c r="A18">
        <v>33</v>
      </c>
    </row>
    <row r="19" spans="1:1" x14ac:dyDescent="0.25">
      <c r="A19">
        <v>34</v>
      </c>
    </row>
    <row r="20" spans="1:1" x14ac:dyDescent="0.25">
      <c r="A20">
        <v>36</v>
      </c>
    </row>
    <row r="21" spans="1:1" x14ac:dyDescent="0.25">
      <c r="A21">
        <v>38</v>
      </c>
    </row>
    <row r="22" spans="1:1" x14ac:dyDescent="0.25">
      <c r="A22">
        <v>40</v>
      </c>
    </row>
    <row r="23" spans="1:1" x14ac:dyDescent="0.25">
      <c r="A23">
        <v>42</v>
      </c>
    </row>
    <row r="24" spans="1:1" x14ac:dyDescent="0.25">
      <c r="A24">
        <v>44</v>
      </c>
    </row>
    <row r="25" spans="1:1" x14ac:dyDescent="0.25">
      <c r="A25">
        <v>45</v>
      </c>
    </row>
    <row r="26" spans="1:1" x14ac:dyDescent="0.25">
      <c r="A26">
        <v>46</v>
      </c>
    </row>
    <row r="27" spans="1:1" x14ac:dyDescent="0.25">
      <c r="A27">
        <v>48</v>
      </c>
    </row>
    <row r="28" spans="1:1" x14ac:dyDescent="0.25">
      <c r="A28">
        <v>50</v>
      </c>
    </row>
    <row r="29" spans="1:1" x14ac:dyDescent="0.25">
      <c r="A29">
        <v>52</v>
      </c>
    </row>
    <row r="30" spans="1:1" x14ac:dyDescent="0.25">
      <c r="A30">
        <v>54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FF639-CE6D-441F-B0E8-50443DBF4496}">
  <sheetPr codeName="Munka4"/>
  <dimension ref="A1:F78"/>
  <sheetViews>
    <sheetView topLeftCell="A17" workbookViewId="0">
      <selection activeCell="C64" sqref="C64"/>
    </sheetView>
  </sheetViews>
  <sheetFormatPr defaultColWidth="18" defaultRowHeight="15" x14ac:dyDescent="0.25"/>
  <cols>
    <col min="4" max="4" width="9.5703125" bestFit="1" customWidth="1"/>
  </cols>
  <sheetData>
    <row r="1" spans="1:6" ht="21.75" thickBot="1" x14ac:dyDescent="0.3">
      <c r="A1" s="50" t="s">
        <v>16</v>
      </c>
      <c r="B1" s="51" t="s">
        <v>17</v>
      </c>
      <c r="C1" s="52" t="s">
        <v>15</v>
      </c>
      <c r="D1" s="53" t="s">
        <v>13</v>
      </c>
      <c r="E1" s="54" t="s">
        <v>24</v>
      </c>
      <c r="F1" s="55" t="s">
        <v>214</v>
      </c>
    </row>
    <row r="2" spans="1:6" ht="15.75" thickTop="1" x14ac:dyDescent="0.25"/>
    <row r="3" spans="1:6" x14ac:dyDescent="0.25">
      <c r="A3" s="57" t="s">
        <v>22</v>
      </c>
      <c r="B3" s="58" t="s">
        <v>23</v>
      </c>
      <c r="C3" s="59">
        <v>53</v>
      </c>
      <c r="D3" s="60">
        <f t="shared" ref="D3:D66" si="0">ROUNDUP(C3-C3*15/100,0)</f>
        <v>46</v>
      </c>
      <c r="E3" s="56" t="s">
        <v>25</v>
      </c>
      <c r="F3" s="61">
        <v>43831</v>
      </c>
    </row>
    <row r="4" spans="1:6" x14ac:dyDescent="0.25">
      <c r="A4" s="57" t="s">
        <v>27</v>
      </c>
      <c r="B4" s="58" t="s">
        <v>26</v>
      </c>
      <c r="C4" s="59">
        <v>50</v>
      </c>
      <c r="D4" s="60">
        <f t="shared" si="0"/>
        <v>43</v>
      </c>
      <c r="E4" s="56" t="s">
        <v>25</v>
      </c>
      <c r="F4" s="61">
        <v>43831</v>
      </c>
    </row>
    <row r="5" spans="1:6" x14ac:dyDescent="0.25">
      <c r="A5" s="57" t="s">
        <v>28</v>
      </c>
      <c r="B5" s="58" t="s">
        <v>32</v>
      </c>
      <c r="C5" s="59">
        <v>55</v>
      </c>
      <c r="D5" s="60">
        <f t="shared" si="0"/>
        <v>47</v>
      </c>
      <c r="E5" s="56" t="s">
        <v>25</v>
      </c>
      <c r="F5" s="61">
        <v>43831</v>
      </c>
    </row>
    <row r="6" spans="1:6" x14ac:dyDescent="0.25">
      <c r="A6" s="57" t="s">
        <v>29</v>
      </c>
      <c r="B6" s="58" t="s">
        <v>33</v>
      </c>
      <c r="C6" s="59">
        <v>80</v>
      </c>
      <c r="D6" s="60">
        <f t="shared" si="0"/>
        <v>68</v>
      </c>
      <c r="E6" s="56" t="s">
        <v>25</v>
      </c>
      <c r="F6" s="61">
        <v>43831</v>
      </c>
    </row>
    <row r="7" spans="1:6" x14ac:dyDescent="0.25">
      <c r="A7" s="57" t="s">
        <v>30</v>
      </c>
      <c r="B7" s="58" t="s">
        <v>34</v>
      </c>
      <c r="C7" s="59">
        <v>150</v>
      </c>
      <c r="D7" s="60">
        <f t="shared" si="0"/>
        <v>128</v>
      </c>
      <c r="E7" s="56" t="s">
        <v>25</v>
      </c>
      <c r="F7" s="61">
        <v>43831</v>
      </c>
    </row>
    <row r="8" spans="1:6" x14ac:dyDescent="0.25">
      <c r="A8" s="57" t="s">
        <v>31</v>
      </c>
      <c r="B8" s="58" t="s">
        <v>35</v>
      </c>
      <c r="C8" s="59">
        <v>180</v>
      </c>
      <c r="D8" s="60">
        <f t="shared" si="0"/>
        <v>153</v>
      </c>
      <c r="E8" s="56" t="s">
        <v>25</v>
      </c>
      <c r="F8" s="61">
        <v>43831</v>
      </c>
    </row>
    <row r="9" spans="1:6" x14ac:dyDescent="0.25">
      <c r="A9" s="57" t="s">
        <v>102</v>
      </c>
      <c r="B9" s="58" t="s">
        <v>41</v>
      </c>
      <c r="C9" s="59">
        <v>65</v>
      </c>
      <c r="D9" s="60">
        <f t="shared" si="0"/>
        <v>56</v>
      </c>
      <c r="E9" s="56" t="s">
        <v>25</v>
      </c>
      <c r="F9" s="61">
        <v>43831</v>
      </c>
    </row>
    <row r="10" spans="1:6" ht="23.25" x14ac:dyDescent="0.25">
      <c r="A10" s="57" t="s">
        <v>103</v>
      </c>
      <c r="B10" s="58" t="s">
        <v>42</v>
      </c>
      <c r="C10" s="59">
        <v>65</v>
      </c>
      <c r="D10" s="60">
        <f t="shared" si="0"/>
        <v>56</v>
      </c>
      <c r="E10" s="56" t="s">
        <v>25</v>
      </c>
      <c r="F10" s="61">
        <v>43831</v>
      </c>
    </row>
    <row r="11" spans="1:6" x14ac:dyDescent="0.25">
      <c r="A11" s="57" t="s">
        <v>104</v>
      </c>
      <c r="B11" s="58" t="s">
        <v>43</v>
      </c>
      <c r="C11" s="59">
        <v>65</v>
      </c>
      <c r="D11" s="60">
        <f t="shared" si="0"/>
        <v>56</v>
      </c>
      <c r="E11" s="56" t="s">
        <v>25</v>
      </c>
      <c r="F11" s="61">
        <v>43831</v>
      </c>
    </row>
    <row r="12" spans="1:6" x14ac:dyDescent="0.25">
      <c r="A12" s="57" t="s">
        <v>105</v>
      </c>
      <c r="B12" s="58" t="s">
        <v>44</v>
      </c>
      <c r="C12" s="59">
        <v>78</v>
      </c>
      <c r="D12" s="60">
        <f t="shared" si="0"/>
        <v>67</v>
      </c>
      <c r="E12" s="56" t="s">
        <v>25</v>
      </c>
      <c r="F12" s="61">
        <v>43831</v>
      </c>
    </row>
    <row r="13" spans="1:6" x14ac:dyDescent="0.25">
      <c r="A13" s="57" t="s">
        <v>106</v>
      </c>
      <c r="B13" s="58" t="s">
        <v>45</v>
      </c>
      <c r="C13" s="59">
        <v>115</v>
      </c>
      <c r="D13" s="60">
        <f t="shared" si="0"/>
        <v>98</v>
      </c>
      <c r="E13" s="56" t="s">
        <v>25</v>
      </c>
      <c r="F13" s="61">
        <v>43831</v>
      </c>
    </row>
    <row r="14" spans="1:6" x14ac:dyDescent="0.25">
      <c r="A14" s="57" t="s">
        <v>107</v>
      </c>
      <c r="B14" s="58" t="s">
        <v>47</v>
      </c>
      <c r="C14" s="59">
        <v>115</v>
      </c>
      <c r="D14" s="60">
        <f t="shared" si="0"/>
        <v>98</v>
      </c>
      <c r="E14" s="56" t="s">
        <v>25</v>
      </c>
      <c r="F14" s="61">
        <v>43831</v>
      </c>
    </row>
    <row r="15" spans="1:6" x14ac:dyDescent="0.25">
      <c r="A15" s="57" t="s">
        <v>108</v>
      </c>
      <c r="B15" s="58" t="s">
        <v>46</v>
      </c>
      <c r="C15" s="59">
        <v>135</v>
      </c>
      <c r="D15" s="60">
        <f t="shared" si="0"/>
        <v>115</v>
      </c>
      <c r="E15" s="56" t="s">
        <v>25</v>
      </c>
      <c r="F15" s="61">
        <v>43831</v>
      </c>
    </row>
    <row r="16" spans="1:6" x14ac:dyDescent="0.25">
      <c r="A16" s="57" t="s">
        <v>109</v>
      </c>
      <c r="B16" s="58" t="s">
        <v>48</v>
      </c>
      <c r="C16" s="59">
        <v>135</v>
      </c>
      <c r="D16" s="60">
        <f t="shared" si="0"/>
        <v>115</v>
      </c>
      <c r="E16" s="56" t="s">
        <v>25</v>
      </c>
      <c r="F16" s="61">
        <v>43831</v>
      </c>
    </row>
    <row r="17" spans="1:6" x14ac:dyDescent="0.25">
      <c r="A17" s="57" t="s">
        <v>49</v>
      </c>
      <c r="B17" s="58" t="s">
        <v>49</v>
      </c>
      <c r="C17" s="59">
        <v>135</v>
      </c>
      <c r="D17" s="60">
        <f t="shared" si="0"/>
        <v>115</v>
      </c>
      <c r="E17" s="56" t="s">
        <v>25</v>
      </c>
      <c r="F17" s="61">
        <v>43831</v>
      </c>
    </row>
    <row r="18" spans="1:6" x14ac:dyDescent="0.25">
      <c r="A18" s="57" t="s">
        <v>110</v>
      </c>
      <c r="B18" s="58" t="s">
        <v>50</v>
      </c>
      <c r="C18" s="59">
        <v>130</v>
      </c>
      <c r="D18" s="60">
        <f t="shared" si="0"/>
        <v>111</v>
      </c>
      <c r="E18" s="56" t="s">
        <v>25</v>
      </c>
      <c r="F18" s="61">
        <v>43831</v>
      </c>
    </row>
    <row r="19" spans="1:6" x14ac:dyDescent="0.25">
      <c r="A19" s="57" t="s">
        <v>111</v>
      </c>
      <c r="B19" s="58" t="s">
        <v>51</v>
      </c>
      <c r="C19" s="59">
        <v>130</v>
      </c>
      <c r="D19" s="60">
        <f t="shared" si="0"/>
        <v>111</v>
      </c>
      <c r="E19" s="56" t="s">
        <v>25</v>
      </c>
      <c r="F19" s="61">
        <v>43831</v>
      </c>
    </row>
    <row r="20" spans="1:6" x14ac:dyDescent="0.25">
      <c r="A20" s="57" t="s">
        <v>112</v>
      </c>
      <c r="B20" s="58" t="s">
        <v>52</v>
      </c>
      <c r="C20" s="59">
        <v>160</v>
      </c>
      <c r="D20" s="60">
        <f t="shared" si="0"/>
        <v>136</v>
      </c>
      <c r="E20" s="56" t="s">
        <v>25</v>
      </c>
      <c r="F20" s="61">
        <v>43831</v>
      </c>
    </row>
    <row r="21" spans="1:6" x14ac:dyDescent="0.25">
      <c r="A21" s="57" t="s">
        <v>113</v>
      </c>
      <c r="B21" s="58" t="s">
        <v>53</v>
      </c>
      <c r="C21" s="59">
        <v>160</v>
      </c>
      <c r="D21" s="60">
        <f t="shared" si="0"/>
        <v>136</v>
      </c>
      <c r="E21" s="56" t="s">
        <v>25</v>
      </c>
      <c r="F21" s="61">
        <v>43831</v>
      </c>
    </row>
    <row r="22" spans="1:6" x14ac:dyDescent="0.25">
      <c r="A22" s="57" t="s">
        <v>114</v>
      </c>
      <c r="B22" s="58" t="s">
        <v>54</v>
      </c>
      <c r="C22" s="59">
        <v>160</v>
      </c>
      <c r="D22" s="60">
        <f t="shared" si="0"/>
        <v>136</v>
      </c>
      <c r="E22" s="56" t="s">
        <v>25</v>
      </c>
      <c r="F22" s="61">
        <v>43831</v>
      </c>
    </row>
    <row r="23" spans="1:6" x14ac:dyDescent="0.25">
      <c r="A23" s="57" t="s">
        <v>115</v>
      </c>
      <c r="B23" s="58" t="s">
        <v>55</v>
      </c>
      <c r="C23" s="59">
        <v>160</v>
      </c>
      <c r="D23" s="60">
        <f t="shared" si="0"/>
        <v>136</v>
      </c>
      <c r="E23" s="56" t="s">
        <v>25</v>
      </c>
      <c r="F23" s="61">
        <v>43831</v>
      </c>
    </row>
    <row r="24" spans="1:6" x14ac:dyDescent="0.25">
      <c r="A24" s="57" t="s">
        <v>116</v>
      </c>
      <c r="B24" s="58" t="s">
        <v>56</v>
      </c>
      <c r="C24" s="59">
        <v>130</v>
      </c>
      <c r="D24" s="60">
        <f t="shared" si="0"/>
        <v>111</v>
      </c>
      <c r="E24" s="56" t="s">
        <v>25</v>
      </c>
      <c r="F24" s="61">
        <v>43831</v>
      </c>
    </row>
    <row r="25" spans="1:6" x14ac:dyDescent="0.25">
      <c r="A25" s="57" t="s">
        <v>57</v>
      </c>
      <c r="B25" s="58" t="s">
        <v>57</v>
      </c>
      <c r="C25" s="59">
        <v>140</v>
      </c>
      <c r="D25" s="60">
        <f t="shared" si="0"/>
        <v>119</v>
      </c>
      <c r="E25" s="56" t="s">
        <v>25</v>
      </c>
      <c r="F25" s="61">
        <v>43831</v>
      </c>
    </row>
    <row r="26" spans="1:6" x14ac:dyDescent="0.25">
      <c r="A26" s="57" t="s">
        <v>58</v>
      </c>
      <c r="B26" s="58" t="s">
        <v>59</v>
      </c>
      <c r="C26" s="59">
        <v>120</v>
      </c>
      <c r="D26" s="60">
        <f t="shared" si="0"/>
        <v>102</v>
      </c>
      <c r="E26" s="56" t="s">
        <v>25</v>
      </c>
      <c r="F26" s="61">
        <v>43831</v>
      </c>
    </row>
    <row r="27" spans="1:6" x14ac:dyDescent="0.25">
      <c r="A27" s="57" t="s">
        <v>60</v>
      </c>
      <c r="B27" s="58" t="s">
        <v>61</v>
      </c>
      <c r="C27" s="59">
        <v>200</v>
      </c>
      <c r="D27" s="60">
        <f t="shared" si="0"/>
        <v>170</v>
      </c>
      <c r="E27" s="56" t="s">
        <v>25</v>
      </c>
      <c r="F27" s="61">
        <v>43831</v>
      </c>
    </row>
    <row r="28" spans="1:6" x14ac:dyDescent="0.25">
      <c r="A28" s="57" t="s">
        <v>70</v>
      </c>
      <c r="B28" s="58" t="s">
        <v>69</v>
      </c>
      <c r="C28" s="59">
        <v>1950</v>
      </c>
      <c r="D28" s="60">
        <f t="shared" si="0"/>
        <v>1658</v>
      </c>
      <c r="E28" s="56" t="s">
        <v>25</v>
      </c>
      <c r="F28" s="61">
        <v>43831</v>
      </c>
    </row>
    <row r="29" spans="1:6" x14ac:dyDescent="0.25">
      <c r="A29" s="57" t="s">
        <v>72</v>
      </c>
      <c r="B29" s="58" t="s">
        <v>73</v>
      </c>
      <c r="C29" s="59">
        <v>54</v>
      </c>
      <c r="D29" s="60">
        <f t="shared" si="0"/>
        <v>46</v>
      </c>
      <c r="E29" s="56" t="s">
        <v>25</v>
      </c>
      <c r="F29" s="61">
        <v>43831</v>
      </c>
    </row>
    <row r="30" spans="1:6" x14ac:dyDescent="0.25">
      <c r="A30" s="57" t="s">
        <v>74</v>
      </c>
      <c r="B30" s="58" t="s">
        <v>75</v>
      </c>
      <c r="C30" s="59">
        <v>170</v>
      </c>
      <c r="D30" s="60">
        <f t="shared" si="0"/>
        <v>145</v>
      </c>
      <c r="E30" s="56" t="s">
        <v>25</v>
      </c>
      <c r="F30" s="61">
        <v>43831</v>
      </c>
    </row>
    <row r="31" spans="1:6" x14ac:dyDescent="0.25">
      <c r="A31" s="57" t="s">
        <v>76</v>
      </c>
      <c r="B31" s="58" t="s">
        <v>77</v>
      </c>
      <c r="C31" s="59">
        <v>175</v>
      </c>
      <c r="D31" s="60">
        <f t="shared" si="0"/>
        <v>149</v>
      </c>
      <c r="E31" s="56" t="s">
        <v>25</v>
      </c>
      <c r="F31" s="61">
        <v>43831</v>
      </c>
    </row>
    <row r="32" spans="1:6" x14ac:dyDescent="0.25">
      <c r="A32" s="57" t="s">
        <v>71</v>
      </c>
      <c r="B32" s="58" t="s">
        <v>210</v>
      </c>
      <c r="C32" s="59">
        <v>125</v>
      </c>
      <c r="D32" s="60">
        <f t="shared" si="0"/>
        <v>107</v>
      </c>
      <c r="E32" s="56" t="s">
        <v>25</v>
      </c>
      <c r="F32" s="61">
        <v>43831</v>
      </c>
    </row>
    <row r="33" spans="1:6" x14ac:dyDescent="0.25">
      <c r="A33" s="57" t="s">
        <v>78</v>
      </c>
      <c r="B33" s="58" t="s">
        <v>79</v>
      </c>
      <c r="C33" s="59">
        <v>200</v>
      </c>
      <c r="D33" s="60">
        <f t="shared" si="0"/>
        <v>170</v>
      </c>
      <c r="E33" s="56" t="s">
        <v>25</v>
      </c>
      <c r="F33" s="61">
        <v>43831</v>
      </c>
    </row>
    <row r="34" spans="1:6" x14ac:dyDescent="0.25">
      <c r="A34" s="57" t="s">
        <v>80</v>
      </c>
      <c r="B34" s="58" t="s">
        <v>81</v>
      </c>
      <c r="C34" s="59">
        <v>290</v>
      </c>
      <c r="D34" s="60">
        <f t="shared" si="0"/>
        <v>247</v>
      </c>
      <c r="E34" s="56" t="s">
        <v>25</v>
      </c>
      <c r="F34" s="61">
        <v>43831</v>
      </c>
    </row>
    <row r="35" spans="1:6" x14ac:dyDescent="0.25">
      <c r="A35" s="57" t="s">
        <v>82</v>
      </c>
      <c r="B35" s="58" t="s">
        <v>83</v>
      </c>
      <c r="C35" s="59">
        <v>70</v>
      </c>
      <c r="D35" s="60">
        <f t="shared" si="0"/>
        <v>60</v>
      </c>
      <c r="E35" s="56" t="s">
        <v>25</v>
      </c>
      <c r="F35" s="61">
        <v>43831</v>
      </c>
    </row>
    <row r="36" spans="1:6" x14ac:dyDescent="0.25">
      <c r="A36" s="57" t="s">
        <v>86</v>
      </c>
      <c r="B36" s="58" t="s">
        <v>87</v>
      </c>
      <c r="C36" s="59">
        <v>65</v>
      </c>
      <c r="D36" s="60">
        <f t="shared" si="0"/>
        <v>56</v>
      </c>
      <c r="E36" s="56" t="s">
        <v>25</v>
      </c>
      <c r="F36" s="61">
        <v>43831</v>
      </c>
    </row>
    <row r="37" spans="1:6" x14ac:dyDescent="0.25">
      <c r="A37" s="57" t="s">
        <v>155</v>
      </c>
      <c r="B37" s="58" t="s">
        <v>155</v>
      </c>
      <c r="C37" s="59">
        <v>130</v>
      </c>
      <c r="D37" s="60">
        <f t="shared" si="0"/>
        <v>111</v>
      </c>
      <c r="E37" s="56" t="s">
        <v>25</v>
      </c>
      <c r="F37" s="61">
        <v>43831</v>
      </c>
    </row>
    <row r="38" spans="1:6" x14ac:dyDescent="0.25">
      <c r="A38" s="156" t="s">
        <v>193</v>
      </c>
      <c r="B38" s="157" t="s">
        <v>194</v>
      </c>
      <c r="C38" s="158">
        <v>90</v>
      </c>
      <c r="D38" s="159">
        <f t="shared" si="0"/>
        <v>77</v>
      </c>
      <c r="E38" s="160" t="s">
        <v>25</v>
      </c>
      <c r="F38" s="161">
        <v>43831</v>
      </c>
    </row>
    <row r="39" spans="1:6" x14ac:dyDescent="0.25">
      <c r="A39" s="154" t="s">
        <v>86</v>
      </c>
      <c r="B39" s="154" t="s">
        <v>87</v>
      </c>
      <c r="C39" s="154">
        <v>85</v>
      </c>
      <c r="D39" s="154">
        <f t="shared" si="0"/>
        <v>73</v>
      </c>
      <c r="E39" s="154" t="s">
        <v>25</v>
      </c>
      <c r="F39" s="155">
        <v>43831</v>
      </c>
    </row>
    <row r="40" spans="1:6" x14ac:dyDescent="0.25">
      <c r="A40" s="57" t="s">
        <v>82</v>
      </c>
      <c r="B40" s="57" t="s">
        <v>83</v>
      </c>
      <c r="C40" s="57">
        <v>91</v>
      </c>
      <c r="D40" s="57">
        <f t="shared" si="0"/>
        <v>78</v>
      </c>
      <c r="E40" s="57" t="s">
        <v>25</v>
      </c>
      <c r="F40" s="61">
        <v>43831</v>
      </c>
    </row>
    <row r="41" spans="1:6" x14ac:dyDescent="0.25">
      <c r="A41" s="57" t="s">
        <v>102</v>
      </c>
      <c r="B41" s="57" t="s">
        <v>41</v>
      </c>
      <c r="C41" s="57">
        <v>85</v>
      </c>
      <c r="D41" s="57">
        <f t="shared" si="0"/>
        <v>73</v>
      </c>
      <c r="E41" s="57" t="s">
        <v>25</v>
      </c>
      <c r="F41" s="61">
        <v>43831</v>
      </c>
    </row>
    <row r="42" spans="1:6" x14ac:dyDescent="0.25">
      <c r="A42" s="57" t="s">
        <v>49</v>
      </c>
      <c r="B42" s="57" t="s">
        <v>49</v>
      </c>
      <c r="C42" s="57">
        <v>176</v>
      </c>
      <c r="D42" s="57">
        <f t="shared" si="0"/>
        <v>150</v>
      </c>
      <c r="E42" s="57" t="s">
        <v>25</v>
      </c>
      <c r="F42" s="61">
        <v>43831</v>
      </c>
    </row>
    <row r="43" spans="1:6" x14ac:dyDescent="0.25">
      <c r="A43" s="57" t="s">
        <v>109</v>
      </c>
      <c r="B43" s="57" t="s">
        <v>48</v>
      </c>
      <c r="C43" s="57">
        <v>176</v>
      </c>
      <c r="D43" s="57">
        <f t="shared" si="0"/>
        <v>150</v>
      </c>
      <c r="E43" s="57" t="s">
        <v>25</v>
      </c>
      <c r="F43" s="61">
        <v>43831</v>
      </c>
    </row>
    <row r="44" spans="1:6" x14ac:dyDescent="0.25">
      <c r="A44" s="57" t="s">
        <v>108</v>
      </c>
      <c r="B44" s="57" t="s">
        <v>46</v>
      </c>
      <c r="C44" s="57">
        <v>176</v>
      </c>
      <c r="D44" s="57">
        <f t="shared" si="0"/>
        <v>150</v>
      </c>
      <c r="E44" s="57" t="s">
        <v>25</v>
      </c>
      <c r="F44" s="61">
        <v>43831</v>
      </c>
    </row>
    <row r="45" spans="1:6" x14ac:dyDescent="0.25">
      <c r="A45" s="57" t="s">
        <v>115</v>
      </c>
      <c r="B45" s="57" t="s">
        <v>55</v>
      </c>
      <c r="C45" s="57">
        <v>208</v>
      </c>
      <c r="D45" s="57">
        <f t="shared" si="0"/>
        <v>177</v>
      </c>
      <c r="E45" s="57" t="s">
        <v>25</v>
      </c>
      <c r="F45" s="61">
        <v>43831</v>
      </c>
    </row>
    <row r="46" spans="1:6" x14ac:dyDescent="0.25">
      <c r="A46" s="57" t="s">
        <v>113</v>
      </c>
      <c r="B46" s="57" t="s">
        <v>53</v>
      </c>
      <c r="C46" s="57">
        <v>208</v>
      </c>
      <c r="D46" s="57">
        <f t="shared" si="0"/>
        <v>177</v>
      </c>
      <c r="E46" s="57" t="s">
        <v>25</v>
      </c>
      <c r="F46" s="61">
        <v>43831</v>
      </c>
    </row>
    <row r="47" spans="1:6" x14ac:dyDescent="0.25">
      <c r="A47" s="57" t="s">
        <v>114</v>
      </c>
      <c r="B47" s="57" t="s">
        <v>54</v>
      </c>
      <c r="C47" s="57">
        <v>208</v>
      </c>
      <c r="D47" s="57">
        <f t="shared" si="0"/>
        <v>177</v>
      </c>
      <c r="E47" s="57" t="s">
        <v>25</v>
      </c>
      <c r="F47" s="61">
        <v>43831</v>
      </c>
    </row>
    <row r="48" spans="1:6" x14ac:dyDescent="0.25">
      <c r="A48" s="57" t="s">
        <v>112</v>
      </c>
      <c r="B48" s="57" t="s">
        <v>52</v>
      </c>
      <c r="C48" s="57">
        <v>208</v>
      </c>
      <c r="D48" s="57">
        <f t="shared" si="0"/>
        <v>177</v>
      </c>
      <c r="E48" s="57" t="s">
        <v>25</v>
      </c>
      <c r="F48" s="61">
        <v>43831</v>
      </c>
    </row>
    <row r="49" spans="1:6" x14ac:dyDescent="0.25">
      <c r="A49" s="57" t="s">
        <v>105</v>
      </c>
      <c r="B49" s="57" t="s">
        <v>44</v>
      </c>
      <c r="C49" s="57">
        <v>102</v>
      </c>
      <c r="D49" s="57">
        <f t="shared" si="0"/>
        <v>87</v>
      </c>
      <c r="E49" s="57" t="s">
        <v>25</v>
      </c>
      <c r="F49" s="61">
        <v>43831</v>
      </c>
    </row>
    <row r="50" spans="1:6" x14ac:dyDescent="0.25">
      <c r="A50" s="57" t="s">
        <v>74</v>
      </c>
      <c r="B50" s="57" t="s">
        <v>75</v>
      </c>
      <c r="C50" s="57">
        <v>191</v>
      </c>
      <c r="D50" s="57">
        <f t="shared" si="0"/>
        <v>163</v>
      </c>
      <c r="E50" s="57" t="s">
        <v>25</v>
      </c>
      <c r="F50" s="61">
        <v>43831</v>
      </c>
    </row>
    <row r="51" spans="1:6" x14ac:dyDescent="0.25">
      <c r="A51" s="57" t="s">
        <v>339</v>
      </c>
      <c r="B51" s="57" t="s">
        <v>340</v>
      </c>
      <c r="C51" s="57">
        <v>449</v>
      </c>
      <c r="D51" s="57">
        <f>ROUNDUP(C51-C51*15/100,0)</f>
        <v>382</v>
      </c>
      <c r="E51" s="57" t="s">
        <v>25</v>
      </c>
      <c r="F51" s="61">
        <v>44754</v>
      </c>
    </row>
    <row r="52" spans="1:6" x14ac:dyDescent="0.25">
      <c r="A52" s="57" t="s">
        <v>31</v>
      </c>
      <c r="B52" s="57" t="s">
        <v>35</v>
      </c>
      <c r="C52" s="57">
        <v>198</v>
      </c>
      <c r="D52" s="57">
        <f t="shared" si="0"/>
        <v>169</v>
      </c>
      <c r="E52" s="57" t="s">
        <v>25</v>
      </c>
      <c r="F52" s="61">
        <v>43831</v>
      </c>
    </row>
    <row r="53" spans="1:6" x14ac:dyDescent="0.25">
      <c r="A53" s="57" t="s">
        <v>22</v>
      </c>
      <c r="B53" s="57" t="s">
        <v>23</v>
      </c>
      <c r="C53" s="57">
        <v>70</v>
      </c>
      <c r="D53" s="57">
        <f t="shared" si="0"/>
        <v>60</v>
      </c>
      <c r="E53" s="57" t="s">
        <v>25</v>
      </c>
      <c r="F53" s="61">
        <v>43831</v>
      </c>
    </row>
    <row r="54" spans="1:6" x14ac:dyDescent="0.25">
      <c r="A54" s="57" t="s">
        <v>27</v>
      </c>
      <c r="B54" s="57" t="s">
        <v>26</v>
      </c>
      <c r="C54" s="57">
        <v>65</v>
      </c>
      <c r="D54" s="57">
        <f t="shared" si="0"/>
        <v>56</v>
      </c>
      <c r="E54" s="57" t="s">
        <v>25</v>
      </c>
      <c r="F54" s="61">
        <v>43831</v>
      </c>
    </row>
    <row r="55" spans="1:6" x14ac:dyDescent="0.25">
      <c r="A55" s="57" t="s">
        <v>28</v>
      </c>
      <c r="B55" s="57" t="s">
        <v>32</v>
      </c>
      <c r="C55" s="57">
        <v>72</v>
      </c>
      <c r="D55" s="57">
        <f t="shared" si="0"/>
        <v>62</v>
      </c>
      <c r="E55" s="57" t="s">
        <v>25</v>
      </c>
      <c r="F55" s="61">
        <v>44396</v>
      </c>
    </row>
    <row r="56" spans="1:6" x14ac:dyDescent="0.25">
      <c r="A56" s="57" t="s">
        <v>219</v>
      </c>
      <c r="B56" s="57" t="s">
        <v>32</v>
      </c>
      <c r="C56" s="57">
        <v>67</v>
      </c>
      <c r="D56" s="57">
        <f t="shared" si="0"/>
        <v>57</v>
      </c>
      <c r="E56" s="57" t="s">
        <v>215</v>
      </c>
      <c r="F56" s="61">
        <v>44396</v>
      </c>
    </row>
    <row r="57" spans="1:6" x14ac:dyDescent="0.25">
      <c r="A57" s="57" t="s">
        <v>29</v>
      </c>
      <c r="B57" s="57" t="s">
        <v>33</v>
      </c>
      <c r="C57" s="57">
        <v>104</v>
      </c>
      <c r="D57" s="57">
        <f t="shared" si="0"/>
        <v>89</v>
      </c>
      <c r="E57" s="57" t="s">
        <v>25</v>
      </c>
      <c r="F57" s="61">
        <v>43831</v>
      </c>
    </row>
    <row r="58" spans="1:6" x14ac:dyDescent="0.25">
      <c r="A58" s="57" t="s">
        <v>30</v>
      </c>
      <c r="B58" s="57" t="s">
        <v>34</v>
      </c>
      <c r="C58" s="57">
        <v>165</v>
      </c>
      <c r="D58" s="57">
        <f t="shared" si="0"/>
        <v>141</v>
      </c>
      <c r="E58" s="57" t="s">
        <v>25</v>
      </c>
      <c r="F58" s="61">
        <v>43831</v>
      </c>
    </row>
    <row r="59" spans="1:6" x14ac:dyDescent="0.25">
      <c r="A59" s="57" t="s">
        <v>106</v>
      </c>
      <c r="B59" s="57" t="s">
        <v>45</v>
      </c>
      <c r="C59" s="57">
        <v>127</v>
      </c>
      <c r="D59" s="57">
        <f t="shared" si="0"/>
        <v>108</v>
      </c>
      <c r="E59" s="57" t="s">
        <v>25</v>
      </c>
      <c r="F59" s="61">
        <v>43831</v>
      </c>
    </row>
    <row r="60" spans="1:6" x14ac:dyDescent="0.25">
      <c r="A60" s="57" t="s">
        <v>104</v>
      </c>
      <c r="B60" s="57" t="s">
        <v>43</v>
      </c>
      <c r="C60" s="57">
        <v>85</v>
      </c>
      <c r="D60" s="57">
        <f t="shared" si="0"/>
        <v>73</v>
      </c>
      <c r="E60" s="57" t="s">
        <v>25</v>
      </c>
      <c r="F60" s="61">
        <v>43831</v>
      </c>
    </row>
    <row r="61" spans="1:6" ht="23.25" x14ac:dyDescent="0.25">
      <c r="A61" s="57" t="s">
        <v>103</v>
      </c>
      <c r="B61" s="57" t="s">
        <v>42</v>
      </c>
      <c r="C61" s="57">
        <v>85</v>
      </c>
      <c r="D61" s="57">
        <f t="shared" si="0"/>
        <v>73</v>
      </c>
      <c r="E61" s="57" t="s">
        <v>25</v>
      </c>
      <c r="F61" s="61">
        <v>43831</v>
      </c>
    </row>
    <row r="62" spans="1:6" x14ac:dyDescent="0.25">
      <c r="A62" s="57" t="s">
        <v>155</v>
      </c>
      <c r="B62" s="57" t="s">
        <v>155</v>
      </c>
      <c r="C62" s="57">
        <v>169</v>
      </c>
      <c r="D62" s="57">
        <f t="shared" si="0"/>
        <v>144</v>
      </c>
      <c r="E62" s="57" t="s">
        <v>25</v>
      </c>
      <c r="F62" s="61">
        <v>43831</v>
      </c>
    </row>
    <row r="63" spans="1:6" x14ac:dyDescent="0.25">
      <c r="A63" s="57" t="s">
        <v>107</v>
      </c>
      <c r="B63" s="57" t="s">
        <v>47</v>
      </c>
      <c r="C63" s="57">
        <v>127</v>
      </c>
      <c r="D63" s="57">
        <f t="shared" si="0"/>
        <v>108</v>
      </c>
      <c r="E63" s="57" t="s">
        <v>25</v>
      </c>
      <c r="F63" s="61">
        <v>43831</v>
      </c>
    </row>
    <row r="64" spans="1:6" x14ac:dyDescent="0.25">
      <c r="A64" s="57" t="s">
        <v>111</v>
      </c>
      <c r="B64" s="57" t="s">
        <v>51</v>
      </c>
      <c r="C64" s="57">
        <v>169</v>
      </c>
      <c r="D64" s="57">
        <f t="shared" si="0"/>
        <v>144</v>
      </c>
      <c r="E64" s="57" t="s">
        <v>25</v>
      </c>
      <c r="F64" s="61">
        <v>43831</v>
      </c>
    </row>
    <row r="65" spans="1:6" x14ac:dyDescent="0.25">
      <c r="A65" s="57" t="s">
        <v>110</v>
      </c>
      <c r="B65" s="57" t="s">
        <v>50</v>
      </c>
      <c r="C65" s="57">
        <v>169</v>
      </c>
      <c r="D65" s="57">
        <f t="shared" si="0"/>
        <v>144</v>
      </c>
      <c r="E65" s="57" t="s">
        <v>25</v>
      </c>
      <c r="F65" s="61">
        <v>43831</v>
      </c>
    </row>
    <row r="66" spans="1:6" x14ac:dyDescent="0.25">
      <c r="A66" s="57" t="s">
        <v>58</v>
      </c>
      <c r="B66" s="57" t="s">
        <v>59</v>
      </c>
      <c r="C66" s="57">
        <v>132</v>
      </c>
      <c r="D66" s="57">
        <f t="shared" si="0"/>
        <v>113</v>
      </c>
      <c r="E66" s="57" t="s">
        <v>25</v>
      </c>
      <c r="F66" s="61">
        <v>43831</v>
      </c>
    </row>
    <row r="67" spans="1:6" x14ac:dyDescent="0.25">
      <c r="A67" s="57" t="s">
        <v>60</v>
      </c>
      <c r="B67" s="57" t="s">
        <v>61</v>
      </c>
      <c r="C67" s="57">
        <v>220</v>
      </c>
      <c r="D67" s="57">
        <f t="shared" ref="D67:D77" si="1">ROUNDUP(C67-C67*15/100,0)</f>
        <v>187</v>
      </c>
      <c r="E67" s="57" t="s">
        <v>25</v>
      </c>
      <c r="F67" s="61">
        <v>43831</v>
      </c>
    </row>
    <row r="68" spans="1:6" x14ac:dyDescent="0.25">
      <c r="A68" s="57" t="s">
        <v>116</v>
      </c>
      <c r="B68" s="57" t="s">
        <v>56</v>
      </c>
      <c r="C68" s="57">
        <v>132</v>
      </c>
      <c r="D68" s="57">
        <f t="shared" si="1"/>
        <v>113</v>
      </c>
      <c r="E68" s="57" t="s">
        <v>25</v>
      </c>
      <c r="F68" s="61">
        <v>43831</v>
      </c>
    </row>
    <row r="69" spans="1:6" x14ac:dyDescent="0.25">
      <c r="A69" s="57" t="s">
        <v>193</v>
      </c>
      <c r="B69" s="57" t="s">
        <v>194</v>
      </c>
      <c r="C69" s="57">
        <v>170</v>
      </c>
      <c r="D69" s="57">
        <f t="shared" si="1"/>
        <v>145</v>
      </c>
      <c r="E69" s="57" t="s">
        <v>25</v>
      </c>
      <c r="F69" s="61">
        <v>43831</v>
      </c>
    </row>
    <row r="70" spans="1:6" x14ac:dyDescent="0.25">
      <c r="A70" s="57" t="s">
        <v>72</v>
      </c>
      <c r="B70" s="57" t="s">
        <v>73</v>
      </c>
      <c r="C70" s="57">
        <v>88</v>
      </c>
      <c r="D70" s="57">
        <f t="shared" si="1"/>
        <v>75</v>
      </c>
      <c r="E70" s="57" t="s">
        <v>25</v>
      </c>
      <c r="F70" s="61">
        <v>43831</v>
      </c>
    </row>
    <row r="71" spans="1:6" x14ac:dyDescent="0.25">
      <c r="A71" s="57" t="s">
        <v>220</v>
      </c>
      <c r="B71" s="57" t="s">
        <v>73</v>
      </c>
      <c r="C71" s="57">
        <v>80</v>
      </c>
      <c r="D71" s="57">
        <f t="shared" si="1"/>
        <v>68</v>
      </c>
      <c r="E71" s="57" t="s">
        <v>215</v>
      </c>
      <c r="F71" s="61">
        <v>44396</v>
      </c>
    </row>
    <row r="72" spans="1:6" x14ac:dyDescent="0.25">
      <c r="A72" s="57" t="s">
        <v>78</v>
      </c>
      <c r="B72" s="57" t="s">
        <v>79</v>
      </c>
      <c r="C72" s="57">
        <v>200</v>
      </c>
      <c r="D72" s="57">
        <f t="shared" si="1"/>
        <v>170</v>
      </c>
      <c r="E72" s="57" t="s">
        <v>25</v>
      </c>
      <c r="F72" s="61">
        <v>43831</v>
      </c>
    </row>
    <row r="73" spans="1:6" x14ac:dyDescent="0.25">
      <c r="A73" s="57" t="s">
        <v>80</v>
      </c>
      <c r="B73" s="57" t="s">
        <v>81</v>
      </c>
      <c r="C73" s="57">
        <v>290</v>
      </c>
      <c r="D73" s="57">
        <f t="shared" si="1"/>
        <v>247</v>
      </c>
      <c r="E73" s="57" t="s">
        <v>25</v>
      </c>
      <c r="F73" s="61">
        <v>43831</v>
      </c>
    </row>
    <row r="74" spans="1:6" x14ac:dyDescent="0.25">
      <c r="A74" s="57" t="s">
        <v>76</v>
      </c>
      <c r="B74" s="57" t="s">
        <v>77</v>
      </c>
      <c r="C74" s="57">
        <v>195</v>
      </c>
      <c r="D74" s="57">
        <f t="shared" si="1"/>
        <v>166</v>
      </c>
      <c r="E74" s="57" t="s">
        <v>25</v>
      </c>
      <c r="F74" s="61">
        <v>43831</v>
      </c>
    </row>
    <row r="75" spans="1:6" x14ac:dyDescent="0.25">
      <c r="A75" s="57" t="s">
        <v>57</v>
      </c>
      <c r="B75" s="57" t="s">
        <v>57</v>
      </c>
      <c r="C75" s="57">
        <v>154</v>
      </c>
      <c r="D75" s="57">
        <f t="shared" si="1"/>
        <v>131</v>
      </c>
      <c r="E75" s="57" t="s">
        <v>25</v>
      </c>
      <c r="F75" s="61">
        <v>43831</v>
      </c>
    </row>
    <row r="76" spans="1:6" x14ac:dyDescent="0.25">
      <c r="A76" s="57" t="s">
        <v>71</v>
      </c>
      <c r="B76" s="57" t="s">
        <v>216</v>
      </c>
      <c r="C76" s="57">
        <v>199</v>
      </c>
      <c r="D76" s="57">
        <f t="shared" si="1"/>
        <v>170</v>
      </c>
      <c r="E76" s="57" t="s">
        <v>25</v>
      </c>
      <c r="F76" s="61">
        <v>43831</v>
      </c>
    </row>
    <row r="77" spans="1:6" x14ac:dyDescent="0.25">
      <c r="A77" s="57" t="s">
        <v>70</v>
      </c>
      <c r="B77" s="57" t="s">
        <v>69</v>
      </c>
      <c r="C77" s="57">
        <v>1950</v>
      </c>
      <c r="D77" s="57">
        <f t="shared" si="1"/>
        <v>1658</v>
      </c>
      <c r="E77" s="57" t="s">
        <v>25</v>
      </c>
      <c r="F77" s="61">
        <v>43831</v>
      </c>
    </row>
    <row r="78" spans="1:6" x14ac:dyDescent="0.25">
      <c r="A78" s="156" t="s">
        <v>369</v>
      </c>
      <c r="B78" s="156" t="s">
        <v>370</v>
      </c>
      <c r="C78" s="156">
        <v>510</v>
      </c>
      <c r="D78" s="156">
        <f>ROUNDUP(C78-C78*15/100,0)</f>
        <v>434</v>
      </c>
      <c r="E78" s="156" t="s">
        <v>371</v>
      </c>
      <c r="F78" s="161" t="s">
        <v>372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44A4E-2430-4F38-A512-D9F9F7D19263}">
  <sheetPr codeName="Munka8"/>
  <dimension ref="A1:C4"/>
  <sheetViews>
    <sheetView workbookViewId="0">
      <selection activeCell="C3" sqref="C3"/>
    </sheetView>
  </sheetViews>
  <sheetFormatPr defaultRowHeight="15" x14ac:dyDescent="0.25"/>
  <cols>
    <col min="1" max="1" width="10.85546875" bestFit="1" customWidth="1"/>
    <col min="2" max="2" width="12.28515625" bestFit="1" customWidth="1"/>
    <col min="3" max="3" width="20.140625" bestFit="1" customWidth="1"/>
  </cols>
  <sheetData>
    <row r="1" spans="1:3" x14ac:dyDescent="0.25">
      <c r="A1" t="s">
        <v>425</v>
      </c>
      <c r="B1" t="s">
        <v>426</v>
      </c>
      <c r="C1" t="s">
        <v>427</v>
      </c>
    </row>
    <row r="2" spans="1:3" x14ac:dyDescent="0.25">
      <c r="A2" t="s">
        <v>420</v>
      </c>
      <c r="B2" t="s">
        <v>420</v>
      </c>
      <c r="C2" t="s">
        <v>420</v>
      </c>
    </row>
    <row r="3" spans="1:3" x14ac:dyDescent="0.25">
      <c r="A3" t="s">
        <v>422</v>
      </c>
      <c r="B3" t="s">
        <v>423</v>
      </c>
      <c r="C3" t="s">
        <v>418</v>
      </c>
    </row>
    <row r="4" spans="1:3" x14ac:dyDescent="0.25">
      <c r="C4" t="s">
        <v>419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Cimke</vt:lpstr>
      <vt:lpstr>OlvassEl</vt:lpstr>
      <vt:lpstr>Teruletszamitas</vt:lpstr>
      <vt:lpstr>Nyomtatas</vt:lpstr>
      <vt:lpstr>TSzTeljes</vt:lpstr>
      <vt:lpstr>MegrendelesSzam</vt:lpstr>
      <vt:lpstr>Keszlet</vt:lpstr>
      <vt:lpstr>keszlet 0-II</vt:lpstr>
      <vt:lpstr>Kobezol</vt:lpstr>
      <vt:lpstr>Orban, Gergely</vt:lpstr>
      <vt:lpstr>TermekKod</vt:lpstr>
      <vt:lpstr>EgyediTermekKod</vt:lpstr>
      <vt:lpstr>Termositas</vt:lpstr>
      <vt:lpstr>Vastagsag</vt:lpstr>
      <vt:lpstr>EgyediTermekKodArhiv</vt:lpstr>
      <vt:lpstr>Adalekok</vt:lpstr>
      <vt:lpstr>MegrendelSzam</vt:lpstr>
      <vt:lpstr>Nyomtatas!Print_Area</vt:lpstr>
      <vt:lpstr>Teruletszamitas!Print_Area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Tibi</dc:creator>
  <cp:lastModifiedBy>Tibor Bicsak</cp:lastModifiedBy>
  <cp:lastPrinted>2024-06-05T17:05:06Z</cp:lastPrinted>
  <dcterms:created xsi:type="dcterms:W3CDTF">2014-07-31T07:49:28Z</dcterms:created>
  <dcterms:modified xsi:type="dcterms:W3CDTF">2024-06-05T17:19:17Z</dcterms:modified>
</cp:coreProperties>
</file>